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bout" sheetId="2" state="visible" r:id="rId2"/>
    <sheet xmlns:r="http://schemas.openxmlformats.org/officeDocument/2006/relationships" name="Verification" sheetId="3" state="visible" r:id="rId3"/>
    <sheet xmlns:r="http://schemas.openxmlformats.org/officeDocument/2006/relationships" name="Refined set" sheetId="4" state="visible" r:id="rId4"/>
    <sheet xmlns:r="http://schemas.openxmlformats.org/officeDocument/2006/relationships" name="Browser queue" sheetId="5" state="visible" r:id="rId5"/>
    <sheet xmlns:r="http://schemas.openxmlformats.org/officeDocument/2006/relationships" name="Duplicates resolved" sheetId="6" state="visible" r:id="rId6"/>
    <sheet xmlns:r="http://schemas.openxmlformats.org/officeDocument/2006/relationships" name="Trimmed" sheetId="7" state="visible" r:id="rId7"/>
    <sheet xmlns:r="http://schemas.openxmlformats.org/officeDocument/2006/relationships" name="Round 2 pilot" sheetId="8" state="visible" r:id="rId8"/>
  </sheets>
  <definedNames>
    <definedName name="_xlnm._FilterDatabase" localSheetId="2" hidden="1">'Verification'!$A$1:$AM$667</definedName>
    <definedName name="_xlnm._FilterDatabase" localSheetId="3" hidden="1">'Refined set'!$A$1:$R$346</definedName>
    <definedName name="_xlnm._FilterDatabase" localSheetId="4" hidden="1">'Browser queue'!$A$1:$H$151</definedName>
    <definedName name="_xlnm._FilterDatabase" localSheetId="5" hidden="1">'Duplicates resolved'!$A$1:$E$25</definedName>
    <definedName name="_xlnm._FilterDatabase" localSheetId="6" hidden="1">'Trimmed'!$A$1:$G$496</definedName>
    <definedName name="_xlnm._FilterDatabase" localSheetId="7" hidden="1">'Round 2 pilot'!$A$1:$AB$25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sz val="10"/>
    </font>
    <font>
      <name val="Arial"/>
      <b val="1"/>
      <sz val="10"/>
    </font>
    <font>
      <name val="Arial"/>
      <b val="1"/>
      <color rgb="00FFFFFF"/>
      <sz val="10"/>
    </font>
    <font>
      <name val="Arial"/>
      <color rgb="002F5F98"/>
      <sz val="10"/>
      <u val="single"/>
    </font>
    <font>
      <name val="Arial"/>
      <i val="1"/>
      <sz val="10"/>
    </font>
    <font>
      <name val="Arial"/>
      <color rgb="000000FF"/>
      <sz val="10"/>
    </font>
    <font>
      <name val="Arial"/>
      <color rgb="00000000"/>
      <sz val="10"/>
    </font>
    <font>
      <name val="Arial"/>
      <i val="1"/>
      <sz val="9"/>
    </font>
  </fonts>
  <fills count="11">
    <fill>
      <patternFill/>
    </fill>
    <fill>
      <patternFill patternType="gray125"/>
    </fill>
    <fill>
      <patternFill patternType="solid">
        <fgColor rgb="0014213D"/>
      </patternFill>
    </fill>
    <fill>
      <patternFill patternType="solid">
        <fgColor rgb="00F5E6A3"/>
      </patternFill>
    </fill>
    <fill>
      <patternFill patternType="solid">
        <fgColor rgb="00D8EBD6"/>
      </patternFill>
    </fill>
    <fill>
      <patternFill patternType="solid">
        <fgColor rgb="00EEEEEE"/>
      </patternFill>
    </fill>
    <fill>
      <patternFill patternType="solid">
        <fgColor rgb="00FCE6C9"/>
      </patternFill>
    </fill>
    <fill>
      <patternFill patternType="solid">
        <fgColor rgb="00F6D3D0"/>
      </patternFill>
    </fill>
    <fill>
      <patternFill patternType="solid">
        <fgColor rgb="00E3E6EA"/>
      </patternFill>
    </fill>
    <fill>
      <patternFill patternType="solid">
        <fgColor rgb="00EBD9C8"/>
      </patternFill>
    </fill>
    <fill>
      <patternFill patternType="solid">
        <fgColor rgb="00DCE8F5"/>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6" fillId="0" borderId="0" pivotButton="0" quotePrefix="0" xfId="0"/>
    <xf numFmtId="0" fontId="4" fillId="2" borderId="0" pivotButton="0" quotePrefix="0" xfId="0"/>
    <xf numFmtId="0" fontId="2" fillId="0" borderId="0" pivotButton="0" quotePrefix="0" xfId="0"/>
    <xf numFmtId="0" fontId="3"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0"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5" fillId="0"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ine.es/ss/Satellite?L=es_ES&amp;c=Page&amp;cid=1259952026632&amp;p=1259952026632&amp;pagename=ProductosYServicios%2FPYSLayout" TargetMode="External" Id="rId1"/><Relationship Type="http://schemas.openxmlformats.org/officeDocument/2006/relationships/hyperlink" Target="https://www.scb.se/en/services/open-data-api/open-geodata/open-data-for-deso--demographic-statistical-areas/" TargetMode="External" Id="rId2"/><Relationship Type="http://schemas.openxmlformats.org/officeDocument/2006/relationships/hyperlink" Target="https://www.fao.org/hih-geospatial-platform/news/detail/now-available--the-global-administrative-unit-layers-(gaul)-dataset---2024-edition/en" TargetMode="External" Id="rId3"/><Relationship Type="http://schemas.openxmlformats.org/officeDocument/2006/relationships/hyperlink" Target="https://ec.europa.eu/eurostat/web/gisco/geodata/administrative-units/postal-codes" TargetMode="External" Id="rId4"/><Relationship Type="http://schemas.openxmlformats.org/officeDocument/2006/relationships/hyperlink" Target="https://catalog.data.gov/dataset/walkability-index" TargetMode="External" Id="rId5"/><Relationship Type="http://schemas.openxmlformats.org/officeDocument/2006/relationships/hyperlink" Target="https://human-settlement.emergency.copernicus.eu/datasets.php" TargetMode="External" Id="rId6"/><Relationship Type="http://schemas.openxmlformats.org/officeDocument/2006/relationships/hyperlink" Target="https://www.fnai.org/publications/gis-data" TargetMode="External" Id="rId7"/><Relationship Type="http://schemas.openxmlformats.org/officeDocument/2006/relationships/hyperlink" Target="https://human-settlement.emergency.copernicus.eu/datasets.php" TargetMode="External" Id="rId8"/><Relationship Type="http://schemas.openxmlformats.org/officeDocument/2006/relationships/hyperlink" Target="https://human-settlement.emergency.copernicus.eu/datasets.php" TargetMode="External" Id="rId9"/><Relationship Type="http://schemas.openxmlformats.org/officeDocument/2006/relationships/hyperlink" Target="https://human-settlement.emergency.copernicus.eu/datasets.php" TargetMode="External" Id="rId10"/><Relationship Type="http://schemas.openxmlformats.org/officeDocument/2006/relationships/hyperlink" Target="https://github.com/microsoft/GlobalMLBuildingFootprints" TargetMode="External" Id="rId11"/><Relationship Type="http://schemas.openxmlformats.org/officeDocument/2006/relationships/hyperlink" Target="https://sites.research.google/gr/open-buildings/" TargetMode="External" Id="rId12"/><Relationship Type="http://schemas.openxmlformats.org/officeDocument/2006/relationships/hyperlink" Target="https://geoservice.dlr.de/web/datasets/wsf_2019" TargetMode="External" Id="rId13"/><Relationship Type="http://schemas.openxmlformats.org/officeDocument/2006/relationships/hyperlink" Target="https://www.climatologylab.org/gridmet.html" TargetMode="External" Id="rId14"/><Relationship Type="http://schemas.openxmlformats.org/officeDocument/2006/relationships/hyperlink" Target="https://wildfirerisk.org/download/" TargetMode="External" Id="rId15"/><Relationship Type="http://schemas.openxmlformats.org/officeDocument/2006/relationships/hyperlink" Target="https://www.destatis.de/zensus2022" TargetMode="External" Id="rId16"/><Relationship Type="http://schemas.openxmlformats.org/officeDocument/2006/relationships/hyperlink" Target="https://www.census.gov/data/developers/data-sets/acs-5year.html" TargetMode="External" Id="rId17"/><Relationship Type="http://schemas.openxmlformats.org/officeDocument/2006/relationships/hyperlink" Target="https://www.ine.gob.cl/estadisticas/sociales/censos-de-poblacion-y-vivienda/censo-de-poblacion-y-vivienda" TargetMode="External" Id="rId18"/><Relationship Type="http://schemas.openxmlformats.org/officeDocument/2006/relationships/hyperlink" Target="https://www.cbs.nl/nl-nl/dossier/nederland-regionaal/geografische-data/kaart-van-100-meter-bij-100-meter-met-statistieken" TargetMode="External" Id="rId19"/><Relationship Type="http://schemas.openxmlformats.org/officeDocument/2006/relationships/hyperlink" Target="https://www.insee.fr/fr/statistiques/9061333" TargetMode="External" Id="rId20"/><Relationship Type="http://schemas.openxmlformats.org/officeDocument/2006/relationships/hyperlink" Target="https://www.usgs.gov/3d-hydrography-program" TargetMode="External" Id="rId21"/><Relationship Type="http://schemas.openxmlformats.org/officeDocument/2006/relationships/hyperlink" Target="https://www.eea.europa.eu/en/datahub/datahubitem-view/778ef9f5-6293-4846-badd-56a29c70880d" TargetMode="External" Id="rId22"/><Relationship Type="http://schemas.openxmlformats.org/officeDocument/2006/relationships/hyperlink" Target="https://weijing-rs.github.io/product.html" TargetMode="External" Id="rId23"/><Relationship Type="http://schemas.openxmlformats.org/officeDocument/2006/relationships/hyperlink" Target="https://catalog.data.gov/dataset/daily-census-tract-level-pm2-5-concentrations-2011-2015" TargetMode="External" Id="rId24"/><Relationship Type="http://schemas.openxmlformats.org/officeDocument/2006/relationships/hyperlink" Target="https://climate.esa.int/en/projects/soil-moisture/" TargetMode="External" Id="rId25"/><Relationship Type="http://schemas.openxmlformats.org/officeDocument/2006/relationships/hyperlink" Target="https://climate.esa.int/en/projects/land-cover/" TargetMode="External" Id="rId26"/><Relationship Type="http://schemas.openxmlformats.org/officeDocument/2006/relationships/hyperlink" Target="https://sites.wustl.edu/acag/datasets/surface-pm2-5/" TargetMode="External" Id="rId27"/><Relationship Type="http://schemas.openxmlformats.org/officeDocument/2006/relationships/hyperlink" Target="https://data.opendevelopmentmekong.net/dataset/health-facilities-in-thailand-2020" TargetMode="External" Id="rId28"/><Relationship Type="http://schemas.openxmlformats.org/officeDocument/2006/relationships/hyperlink" Target="https://www.cdc.gov/nchs/nvss/usaleep/usaleep.html" TargetMode="External" Id="rId29"/><Relationship Type="http://schemas.openxmlformats.org/officeDocument/2006/relationships/hyperlink" Target="https://www.gov.uk/government/collections/rural-urban-classification" TargetMode="External" Id="rId30"/><Relationship Type="http://schemas.openxmlformats.org/officeDocument/2006/relationships/hyperlink" Target="https://data.hrsa.gov/topics/health-workforce/ahrf" TargetMode="External" Id="rId31"/><Relationship Type="http://schemas.openxmlformats.org/officeDocument/2006/relationships/hyperlink" Target="https://www.huduser.gov/portal/datasets/cp.html" TargetMode="External" Id="rId32"/><Relationship Type="http://schemas.openxmlformats.org/officeDocument/2006/relationships/hyperlink" Target="https://zenodo-rdm.web.cern.ch/records/17187663" TargetMode="External" Id="rId33"/><Relationship Type="http://schemas.openxmlformats.org/officeDocument/2006/relationships/hyperlink" Target="https://open.canada.ca/data/dataset/ef70dc3b-1069-4037-9bce-61f47e628a1d" TargetMode="External" Id="rId34"/><Relationship Type="http://schemas.openxmlformats.org/officeDocument/2006/relationships/hyperlink" Target="https://www.abs.gov.au/statistics/standards/australian-statistical-geography-standard-asgs-edition-3/jul2021-jun2026/access-and-downloads/digital-boundary-files" TargetMode="External" Id="rId35"/><Relationship Type="http://schemas.openxmlformats.org/officeDocument/2006/relationships/hyperlink" Target="https://www.ordnancesurvey.co.uk/products/boundary-line" TargetMode="External" Id="rId36"/><Relationship Type="http://schemas.openxmlformats.org/officeDocument/2006/relationships/hyperlink" Target="https://gadm.org/data.html" TargetMode="External" Id="rId37"/><Relationship Type="http://schemas.openxmlformats.org/officeDocument/2006/relationships/hyperlink" Target="https://www.geoboundaries.org/" TargetMode="External" Id="rId38"/><Relationship Type="http://schemas.openxmlformats.org/officeDocument/2006/relationships/hyperlink" Target="https://www.geonames.org/export/" TargetMode="External" Id="rId39"/><Relationship Type="http://schemas.openxmlformats.org/officeDocument/2006/relationships/hyperlink" Target="https://www.geonames.org/export/" TargetMode="External" Id="rId40"/><Relationship Type="http://schemas.openxmlformats.org/officeDocument/2006/relationships/hyperlink" Target="https://ec.europa.eu/eurostat/web/gisco/geodata/statistical-units/local-administrative-units" TargetMode="External" Id="rId41"/><Relationship Type="http://schemas.openxmlformats.org/officeDocument/2006/relationships/hyperlink" Target="https://openaddresses.io/" TargetMode="External" Id="rId42"/><Relationship Type="http://schemas.openxmlformats.org/officeDocument/2006/relationships/hyperlink" Target="https://www.indec.gob.ar/indec/web/Institucional-Indec-Codgeo" TargetMode="External" Id="rId43"/><Relationship Type="http://schemas.openxmlformats.org/officeDocument/2006/relationships/hyperlink" Target="https://salb.un.org/en" TargetMode="External" Id="rId44"/><Relationship Type="http://schemas.openxmlformats.org/officeDocument/2006/relationships/hyperlink" Target="https://datafinder.stats.govt.nz/" TargetMode="External" Id="rId45"/><Relationship Type="http://schemas.openxmlformats.org/officeDocument/2006/relationships/hyperlink" Target="https://microdata.nbs.go.tz/index.php/catalog/49/related-materials" TargetMode="External" Id="rId46"/><Relationship Type="http://schemas.openxmlformats.org/officeDocument/2006/relationships/hyperlink" Target="https://whosonfirst.org/" TargetMode="External" Id="rId47"/><Relationship Type="http://schemas.openxmlformats.org/officeDocument/2006/relationships/hyperlink" Target="https://docs.overturemaps.org/getting-data/" TargetMode="External" Id="rId48"/><Relationship Type="http://schemas.openxmlformats.org/officeDocument/2006/relationships/hyperlink" Target="https://catalog.data.gov/dataset/smart-location-database" TargetMode="External" Id="rId49"/><Relationship Type="http://schemas.openxmlformats.org/officeDocument/2006/relationships/hyperlink" Target="https://www.mrlc.gov/data" TargetMode="External" Id="rId50"/><Relationship Type="http://schemas.openxmlformats.org/officeDocument/2006/relationships/hyperlink" Target="https://datacatalog.worldbank.org/search/dataset/0038055/Global-Electrification-Database-from-Tracking-SDG7-The-Energy-Progress-Report" TargetMode="External" Id="rId51"/><Relationship Type="http://schemas.openxmlformats.org/officeDocument/2006/relationships/hyperlink" Target="https://gis-fdot.opendata.arcgis.com/datasets/fdot::us-routes-tda/about" TargetMode="External" Id="rId52"/><Relationship Type="http://schemas.openxmlformats.org/officeDocument/2006/relationships/hyperlink" Target="https://www.earthdata.nasa.gov/data/catalog/sedac-ciesin-sedac-ulandsat-gmis-v1-1.0" TargetMode="External" Id="rId53"/><Relationship Type="http://schemas.openxmlformats.org/officeDocument/2006/relationships/hyperlink" Target="https://www.earthdata.nasa.gov/data/catalog/sedac-ciesin-sedac-groads-v1-1.0" TargetMode="External" Id="rId54"/><Relationship Type="http://schemas.openxmlformats.org/officeDocument/2006/relationships/hyperlink" Target="https://land.copernicus.eu/en/products/high-resolution-layer-imperviousness" TargetMode="External" Id="rId55"/><Relationship Type="http://schemas.openxmlformats.org/officeDocument/2006/relationships/hyperlink" Target="https://catalog.data.gov/dataset/national-agriculture-imagery-program-naip" TargetMode="External" Id="rId56"/><Relationship Type="http://schemas.openxmlformats.org/officeDocument/2006/relationships/hyperlink" Target="https://www.nrc.gov/reactors/operating/list-power-reactor-units.html" TargetMode="External" Id="rId57"/><Relationship Type="http://schemas.openxmlformats.org/officeDocument/2006/relationships/hyperlink" Target="https://www.openstreetmap.org/" TargetMode="External" Id="rId58"/><Relationship Type="http://schemas.openxmlformats.org/officeDocument/2006/relationships/hyperlink" Target="https://download.geofabrik.de/north-america/us.html" TargetMode="External" Id="rId59"/><Relationship Type="http://schemas.openxmlformats.org/officeDocument/2006/relationships/hyperlink" Target="https://www.transit.land/" TargetMode="External" Id="rId60"/><Relationship Type="http://schemas.openxmlformats.org/officeDocument/2006/relationships/hyperlink" Target="https://github.com/mittrees/Treepedia_Public" TargetMode="External" Id="rId61"/><Relationship Type="http://schemas.openxmlformats.org/officeDocument/2006/relationships/hyperlink" Target="https://climate.weather.gc.ca/climate_normals/index_e.html" TargetMode="External" Id="rId62"/><Relationship Type="http://schemas.openxmlformats.org/officeDocument/2006/relationships/hyperlink" Target="https://cds.climate.copernicus.eu/datasets/reanalysis-cerra-single-levels?tab=overview" TargetMode="External" Id="rId63"/><Relationship Type="http://schemas.openxmlformats.org/officeDocument/2006/relationships/hyperlink" Target="https://cds.climate.copernicus.eu/datasets/projections-cmip6?tab=overview" TargetMode="External" Id="rId64"/><Relationship Type="http://schemas.openxmlformats.org/officeDocument/2006/relationships/hyperlink" Target="https://cds.climate.copernicus.eu/datasets/insitu-gridded-observations-europe?tab=overview" TargetMode="External" Id="rId65"/><Relationship Type="http://schemas.openxmlformats.org/officeDocument/2006/relationships/hyperlink" Target="https://cds.climate.copernicus.eu/datasets/reanalysis-era5-single-levels?tab=overview" TargetMode="External" Id="rId66"/><Relationship Type="http://schemas.openxmlformats.org/officeDocument/2006/relationships/hyperlink" Target="https://cds.climate.copernicus.eu/datasets/reanalysis-era5-land" TargetMode="External" Id="rId67"/><Relationship Type="http://schemas.openxmlformats.org/officeDocument/2006/relationships/hyperlink" Target="https://www.isimip.org/outputdata/" TargetMode="External" Id="rId68"/><Relationship Type="http://schemas.openxmlformats.org/officeDocument/2006/relationships/hyperlink" Target="https://lancetcountdown.org/explore-our-data/" TargetMode="External" Id="rId69"/><Relationship Type="http://schemas.openxmlformats.org/officeDocument/2006/relationships/hyperlink" Target="https://scholarship.miami.edu/esploro/outputs/991032051519802976" TargetMode="External" Id="rId70"/><Relationship Type="http://schemas.openxmlformats.org/officeDocument/2006/relationships/hyperlink" Target="https://hazards.fema.gov/nri/" TargetMode="External" Id="rId71"/><Relationship Type="http://schemas.openxmlformats.org/officeDocument/2006/relationships/hyperlink" Target="https://www.earthdata.nasa.gov/data/catalog/sedac-ciesin-chrr-ndh-multi-hfd-1.0" TargetMode="External" Id="rId72"/><Relationship Type="http://schemas.openxmlformats.org/officeDocument/2006/relationships/hyperlink" Target="https://thinkhazard.org/en/about" TargetMode="External" Id="rId73"/><Relationship Type="http://schemas.openxmlformats.org/officeDocument/2006/relationships/hyperlink" Target="https://cds.climate.copernicus.eu/datasets/sis-agroclimatic-indicators?tab=overview" TargetMode="External" Id="rId74"/><Relationship Type="http://schemas.openxmlformats.org/officeDocument/2006/relationships/hyperlink" Target="https://www.emdat.be/" TargetMode="External" Id="rId75"/><Relationship Type="http://schemas.openxmlformats.org/officeDocument/2006/relationships/hyperlink" Target="https://drought.emergency.copernicus.eu/tumbo/edo/download/" TargetMode="External" Id="rId76"/><Relationship Type="http://schemas.openxmlformats.org/officeDocument/2006/relationships/hyperlink" Target="https://forest-fire.emergency.copernicus.eu/applications/data-and-services" TargetMode="External" Id="rId77"/><Relationship Type="http://schemas.openxmlformats.org/officeDocument/2006/relationships/hyperlink" Target="https://firms.modaps.eosdis.nasa.gov/" TargetMode="External" Id="rId78"/><Relationship Type="http://schemas.openxmlformats.org/officeDocument/2006/relationships/hyperlink" Target="https://www.globalquakemodel.org/products" TargetMode="External" Id="rId79"/><Relationship Type="http://schemas.openxmlformats.org/officeDocument/2006/relationships/hyperlink" Target="https://www.earthdata.nasa.gov/data/catalog/esdis-ciesin-sedac-lecz-urplaev3-3.00" TargetMode="External" Id="rId80"/><Relationship Type="http://schemas.openxmlformats.org/officeDocument/2006/relationships/hyperlink" Target="https://www.climatologylab.org/maca.html" TargetMode="External" Id="rId81"/><Relationship Type="http://schemas.openxmlformats.org/officeDocument/2006/relationships/hyperlink" Target="https://www.earthdata.nasa.gov/data/catalog/lpcloud-mcd64a1-061" TargetMode="External" Id="rId82"/><Relationship Type="http://schemas.openxmlformats.org/officeDocument/2006/relationships/hyperlink" Target="https://www.usgs.gov/programs/earthquake-hazards/science/national-seismic-hazard-model" TargetMode="External" Id="rId83"/><Relationship Type="http://schemas.openxmlformats.org/officeDocument/2006/relationships/hyperlink" Target="https://www.fema.gov/openfema-data-page/disaster-declarations-summaries-v2" TargetMode="External" Id="rId84"/><Relationship Type="http://schemas.openxmlformats.org/officeDocument/2006/relationships/hyperlink" Target="https://www.climatecentral.org/billion-dollar-disasters" TargetMode="External" Id="rId85"/><Relationship Type="http://schemas.openxmlformats.org/officeDocument/2006/relationships/hyperlink" Target="https://droughtmonitor.unl.edu/DmData/GISData.aspx" TargetMode="External" Id="rId86"/><Relationship Type="http://schemas.openxmlformats.org/officeDocument/2006/relationships/hyperlink" Target="https://s4.ad.brown.edu/projects/diversity/Researcher/LTDB.htm" TargetMode="External" Id="rId87"/><Relationship Type="http://schemas.openxmlformats.org/officeDocument/2006/relationships/hyperlink" Target="https://ourworldindata.org/about" TargetMode="External" Id="rId88"/><Relationship Type="http://schemas.openxmlformats.org/officeDocument/2006/relationships/hyperlink" Target="https://www.census.gov/data/developers/data-sets/acs-1year.html" TargetMode="External" Id="rId89"/><Relationship Type="http://schemas.openxmlformats.org/officeDocument/2006/relationships/hyperlink" Target="https://www.dane.gov.co/index.php/estadisticas-por-tema/demografia-y-poblacion/censo-nacional-de-poblacion-y-vivenda-2018" TargetMode="External" Id="rId90"/><Relationship Type="http://schemas.openxmlformats.org/officeDocument/2006/relationships/hyperlink" Target="https://www.cso.ie/en/census/census2022/census2022smallareapopulationstatistics/" TargetMode="External" Id="rId91"/><Relationship Type="http://schemas.openxmlformats.org/officeDocument/2006/relationships/hyperlink" Target="https://ec.europa.eu/eurostat/web/degree-of-urbanisation/database" TargetMode="External" Id="rId92"/><Relationship Type="http://schemas.openxmlformats.org/officeDocument/2006/relationships/hyperlink" Target="https://www.e-stat.go.jp/gis" TargetMode="External" Id="rId93"/><Relationship Type="http://schemas.openxmlformats.org/officeDocument/2006/relationships/hyperlink" Target="https://www.nhgis.org/" TargetMode="External" Id="rId94"/><Relationship Type="http://schemas.openxmlformats.org/officeDocument/2006/relationships/hyperlink" Target="https://ec.europa.eu/eurostat/web/gisco/geodata/population-distribution/population-grids" TargetMode="External" Id="rId95"/><Relationship Type="http://schemas.openxmlformats.org/officeDocument/2006/relationships/hyperlink" Target="https://www.hcp.ma/Population-legale-du-Royaume-du-Maroc-repartie-par-regions-provinces-et-prefectures-et-communes-selon-les-resultats-du_a3974.html" TargetMode="External" Id="rId96"/><Relationship Type="http://schemas.openxmlformats.org/officeDocument/2006/relationships/hyperlink" Target="https://www.stats.gov.sa/en/" TargetMode="External" Id="rId97"/><Relationship Type="http://schemas.openxmlformats.org/officeDocument/2006/relationships/hyperlink" Target="https://www.usgs.gov/3d-elevation-program" TargetMode="External" Id="rId98"/><Relationship Type="http://schemas.openxmlformats.org/officeDocument/2006/relationships/hyperlink" Target="https://docs.airnowapi.org/" TargetMode="External" Id="rId99"/><Relationship Type="http://schemas.openxmlformats.org/officeDocument/2006/relationships/hyperlink" Target="https://airqo.net/" TargetMode="External" Id="rId100"/><Relationship Type="http://schemas.openxmlformats.org/officeDocument/2006/relationships/hyperlink" Target="https://dataverse.harvard.edu/dataset.xhtml?persistentId=doi:10.7910/DVN/RHIFKL" TargetMode="External" Id="rId101"/><Relationship Type="http://schemas.openxmlformats.org/officeDocument/2006/relationships/hyperlink" Target="https://www.fao.org/aquastat/en/" TargetMode="External" Id="rId102"/><Relationship Type="http://schemas.openxmlformats.org/officeDocument/2006/relationships/hyperlink" Target="https://www.eea.europa.eu/data-and-maps/data/bathing-water-directive-status-of-bathing-water-10/bathing-water-directive-status/excel-format-zip" TargetMode="External" Id="rId103"/><Relationship Type="http://schemas.openxmlformats.org/officeDocument/2006/relationships/hyperlink" Target="https://www.breathelondon.org/" TargetMode="External" Id="rId104"/><Relationship Type="http://schemas.openxmlformats.org/officeDocument/2006/relationships/hyperlink" Target="https://www.caces.us/data" TargetMode="External" Id="rId105"/><Relationship Type="http://schemas.openxmlformats.org/officeDocument/2006/relationships/hyperlink" Target="https://www.caces.us/data" TargetMode="External" Id="rId106"/><Relationship Type="http://schemas.openxmlformats.org/officeDocument/2006/relationships/hyperlink" Target="https://ads.atmosphere.copernicus.eu/datasets/cams-europe-air-quality-reanalyses?tab=overview" TargetMode="External" Id="rId107"/><Relationship Type="http://schemas.openxmlformats.org/officeDocument/2006/relationships/hyperlink" Target="https://ads.atmosphere.copernicus.eu/datasets/cams-global-reanalysis-eac4?tab=overview" TargetMode="External" Id="rId108"/><Relationship Type="http://schemas.openxmlformats.org/officeDocument/2006/relationships/hyperlink" Target="https://campd.epa.gov/" TargetMode="External" Id="rId109"/><Relationship Type="http://schemas.openxmlformats.org/officeDocument/2006/relationships/hyperlink" Target="https://dataspace.copernicus.eu/explore-data/data-collections/copernicus-contributing-missions/collections-description/COP-DEM" TargetMode="External" Id="rId110"/><Relationship Type="http://schemas.openxmlformats.org/officeDocument/2006/relationships/hyperlink" Target="https://land.copernicus.eu/en/products/corine-land-cover" TargetMode="External" Id="rId111"/><Relationship Type="http://schemas.openxmlformats.org/officeDocument/2006/relationships/hyperlink" Target="https://www.earthdata.nasa.gov/data/catalog/esdis-ciesin-sedac-aqdh-dao3-us-1km-1.10-1.10" TargetMode="External" Id="rId112"/><Relationship Type="http://schemas.openxmlformats.org/officeDocument/2006/relationships/hyperlink" Target="https://www.earthdata.nasa.gov/data/catalog/esdis-ciesin-sedac-aqdh-dano2-us-1km-1.10-1.10" TargetMode="External" Id="rId113"/><Relationship Type="http://schemas.openxmlformats.org/officeDocument/2006/relationships/hyperlink" Target="https://www.earthdata.nasa.gov/data/catalog/esdis-ciesin-sedac-aqdh-dapm25-us-1km-1.10-1.10" TargetMode="External" Id="rId114"/><Relationship Type="http://schemas.openxmlformats.org/officeDocument/2006/relationships/hyperlink" Target="https://data.amerigeoss.org/dataset/daily-census-tract-level-ozone-concentrations-2011-2015" TargetMode="External" Id="rId115"/><Relationship Type="http://schemas.openxmlformats.org/officeDocument/2006/relationships/hyperlink" Target="https://data.cdc.gov/Environmental-Health-Toxicology/Daily-County-Level-PM2-5-Concentrations-2001-2022/53mz-4zqd/about_data" TargetMode="External" Id="rId116"/><Relationship Type="http://schemas.openxmlformats.org/officeDocument/2006/relationships/hyperlink" Target="https://esa-worldcover.org/en" TargetMode="External" Id="rId117"/><Relationship Type="http://schemas.openxmlformats.org/officeDocument/2006/relationships/hyperlink" Target="https://www.uu.nl/en/research/life-sciences/collaborate/hubs/utrecht-exposome-hub/tools" TargetMode="External" Id="rId118"/><Relationship Type="http://schemas.openxmlformats.org/officeDocument/2006/relationships/hyperlink" Target="https://www.epa.gov/hesc/rsig-related-downloadable-data-files" TargetMode="External" Id="rId119"/><Relationship Type="http://schemas.openxmlformats.org/officeDocument/2006/relationships/hyperlink" Target="https://doi.org/10.7927/H4N877QK" TargetMode="External" Id="rId120"/><Relationship Type="http://schemas.openxmlformats.org/officeDocument/2006/relationships/hyperlink" Target="https://www.earthdata.nasa.gov/data/catalog/ges-disc-haq-tropomi-no2-conus-m-l3-2.4" TargetMode="External" Id="rId121"/><Relationship Type="http://schemas.openxmlformats.org/officeDocument/2006/relationships/hyperlink" Target="https://www.earthdata.nasa.gov/data/catalog/lpcloud-hlsl30-2.0" TargetMode="External" Id="rId122"/><Relationship Type="http://schemas.openxmlformats.org/officeDocument/2006/relationships/hyperlink" Target="https://www.hydrosheds.org/products" TargetMode="External" Id="rId123"/><Relationship Type="http://schemas.openxmlformats.org/officeDocument/2006/relationships/hyperlink" Target="https://www.usgs.gov/landsat-missions/landsat-collection-2" TargetMode="External" Id="rId124"/><Relationship Type="http://schemas.openxmlformats.org/officeDocument/2006/relationships/hyperlink" Target="https://www.earthdata.nasa.gov/data/catalog/lpcloud-mod11a2-061" TargetMode="External" Id="rId125"/><Relationship Type="http://schemas.openxmlformats.org/officeDocument/2006/relationships/hyperlink" Target="https://nsidc.org/data/mod10a1/versions/61" TargetMode="External" Id="rId126"/><Relationship Type="http://schemas.openxmlformats.org/officeDocument/2006/relationships/hyperlink" Target="https://www.earthdata.nasa.gov/data/catalog/lpcloud-mod13a2-061" TargetMode="External" Id="rId127"/><Relationship Type="http://schemas.openxmlformats.org/officeDocument/2006/relationships/hyperlink" Target="https://www.earthdata.nasa.gov/data/catalog/lpcloud-mcd19a2-061" TargetMode="External" Id="rId128"/><Relationship Type="http://schemas.openxmlformats.org/officeDocument/2006/relationships/hyperlink" Target="https://www.earthdata.nasa.gov/data/catalog/lpcloud-mcd12q1-061" TargetMode="External" Id="rId129"/><Relationship Type="http://schemas.openxmlformats.org/officeDocument/2006/relationships/hyperlink" Target="https://www.earthdata.nasa.gov/data/catalog/lpcloud-nasadem-hgt-001" TargetMode="External" Id="rId130"/><Relationship Type="http://schemas.openxmlformats.org/officeDocument/2006/relationships/hyperlink" Target="https://open.canada.ca/data/en/dataset/1b36a356-defd-4813-acea-47bc3abd859b" TargetMode="External" Id="rId131"/><Relationship Type="http://schemas.openxmlformats.org/officeDocument/2006/relationships/hyperlink" Target="https://www.eea.europa.eu/en/datahub/datahubitem-view/6fc8ad2d-195d-40f4-bdec-576e7d1268e4" TargetMode="External" Id="rId132"/><Relationship Type="http://schemas.openxmlformats.org/officeDocument/2006/relationships/hyperlink" Target="https://www.eea.europa.eu/en/datahub/datahubitem-view/c952f520-8d71-42c9-b74c-b7eb002f939b" TargetMode="External" Id="rId133"/><Relationship Type="http://schemas.openxmlformats.org/officeDocument/2006/relationships/hyperlink" Target="https://www.data.gouv.fr/datasets/qualite-de-lair-de-leau-et-potentiel-radon-par-commune-francaise" TargetMode="External" Id="rId134"/><Relationship Type="http://schemas.openxmlformats.org/officeDocument/2006/relationships/hyperlink" Target="https://nsidc.org/data/spl3smp_e/versions/6" TargetMode="External" Id="rId135"/><Relationship Type="http://schemas.openxmlformats.org/officeDocument/2006/relationships/hyperlink" Target="https://www.isric.org/explore/soilgrids" TargetMode="External" Id="rId136"/><Relationship Type="http://schemas.openxmlformats.org/officeDocument/2006/relationships/hyperlink" Target="https://aqicn.org/api/" TargetMode="External" Id="rId137"/><Relationship Type="http://schemas.openxmlformats.org/officeDocument/2006/relationships/hyperlink" Target="https://www.earthdata.nasa.gov/data/catalog/lpcloud-srtmgl1-003" TargetMode="External" Id="rId138"/><Relationship Type="http://schemas.openxmlformats.org/officeDocument/2006/relationships/hyperlink" Target="https://stacks.cdc.gov/view/cdc/13321" TargetMode="External" Id="rId139"/><Relationship Type="http://schemas.openxmlformats.org/officeDocument/2006/relationships/hyperlink" Target="https://www.americashealthrankings.org/about/methodology/our-reports" TargetMode="External" Id="rId140"/><Relationship Type="http://schemas.openxmlformats.org/officeDocument/2006/relationships/hyperlink" Target="https://wonder.cdc.gov/" TargetMode="External" Id="rId141"/><Relationship Type="http://schemas.openxmlformats.org/officeDocument/2006/relationships/hyperlink" Target="https://www.cityhealthdashboard.com/" TargetMode="External" Id="rId142"/><Relationship Type="http://schemas.openxmlformats.org/officeDocument/2006/relationships/hyperlink" Target="https://www.countyhealthrankings.org/health-data/methodology-and-sources/data-documentation" TargetMode="External" Id="rId143"/><Relationship Type="http://schemas.openxmlformats.org/officeDocument/2006/relationships/hyperlink" Target="https://data.dartmouthatlas.org/" TargetMode="External" Id="rId144"/><Relationship Type="http://schemas.openxmlformats.org/officeDocument/2006/relationships/hyperlink" Target="https://fingertips.phe.org.uk/" TargetMode="External" Id="rId145"/><Relationship Type="http://schemas.openxmlformats.org/officeDocument/2006/relationships/hyperlink" Target="https://www.earthdata.nasa.gov/data/catalog/esdis-ciesin-sedac-pmp-imr-v2-2.0" TargetMode="External" Id="rId146"/><Relationship Type="http://schemas.openxmlformats.org/officeDocument/2006/relationships/hyperlink" Target="https://data.opendevelopmentmekong.net/dataset/health-facilities-in-mekong-countries-2020" TargetMode="External" Id="rId147"/><Relationship Type="http://schemas.openxmlformats.org/officeDocument/2006/relationships/hyperlink" Target="https://aho.afro.who.int/" TargetMode="External" Id="rId148"/><Relationship Type="http://schemas.openxmlformats.org/officeDocument/2006/relationships/hyperlink" Target="https://www.cdc.gov/heart-disease-stroke-atlas/about/index.html" TargetMode="External" Id="rId149"/><Relationship Type="http://schemas.openxmlformats.org/officeDocument/2006/relationships/hyperlink" Target="https://www.cdc.gov/places/index.html" TargetMode="External" Id="rId150"/><Relationship Type="http://schemas.openxmlformats.org/officeDocument/2006/relationships/hyperlink" Target="https://data.cdc.gov/Public-Health-Surveillance/United-States-COVID-19-Community-Levels-by-County/3nnm-4jni" TargetMode="External" Id="rId151"/><Relationship Type="http://schemas.openxmlformats.org/officeDocument/2006/relationships/hyperlink" Target="https://ghdx.healthdata.org/us-data" TargetMode="External" Id="rId152"/><Relationship Type="http://schemas.openxmlformats.org/officeDocument/2006/relationships/hyperlink" Target="https://platform.who.int/mortality" TargetMode="External" Id="rId153"/><Relationship Type="http://schemas.openxmlformats.org/officeDocument/2006/relationships/hyperlink" Target="https://www.who.int/teams/global-programme-on-tuberculosis-and-lung-health/data" TargetMode="External" Id="rId154"/><Relationship Type="http://schemas.openxmlformats.org/officeDocument/2006/relationships/hyperlink" Target="https://ucdp.uu.se/downloads/" TargetMode="External" Id="rId155"/><Relationship Type="http://schemas.openxmlformats.org/officeDocument/2006/relationships/hyperlink" Target="https://ukdataservice.ac.uk/find-data/" TargetMode="External" Id="rId156"/><Relationship Type="http://schemas.openxmlformats.org/officeDocument/2006/relationships/hyperlink" Target="https://data.geods.ac.uk/dataset/access-to-healthy-assets-hazards-ahah" TargetMode="External" Id="rId157"/><Relationship Type="http://schemas.openxmlformats.org/officeDocument/2006/relationships/hyperlink" Target="https://www.ahrq.gov/data/innovations/clh-data.html" TargetMode="External" Id="rId158"/><Relationship Type="http://schemas.openxmlformats.org/officeDocument/2006/relationships/hyperlink" Target="https://www.neighborhoodatlas.medicine.wisc.edu/" TargetMode="External" Id="rId159"/><Relationship Type="http://schemas.openxmlformats.org/officeDocument/2006/relationships/hyperlink" Target="http://ivs.ipea.gov.br/" TargetMode="External" Id="rId160"/><Relationship Type="http://schemas.openxmlformats.org/officeDocument/2006/relationships/hyperlink" Target="https://www.ine.es/dyngs/INEbase/es/operacion.htm?c=Estadistica_C&amp;cid=1254736177088&amp;menu=ultiDatos&amp;idp=1254735976608" TargetMode="External" Id="rId161"/><Relationship Type="http://schemas.openxmlformats.org/officeDocument/2006/relationships/hyperlink" Target="https://www.diversitydatakids.org/child-opportunity-index" TargetMode="External" Id="rId162"/><Relationship Type="http://schemas.openxmlformats.org/officeDocument/2006/relationships/hyperlink" Target="https://www.gov.uk/government/collections/english-indices-of-deprivation" TargetMode="External" Id="rId163"/><Relationship Type="http://schemas.openxmlformats.org/officeDocument/2006/relationships/hyperlink" Target="https://ec.europa.eu/eurostat/web/regions/database" TargetMode="External" Id="rId164"/><Relationship Type="http://schemas.openxmlformats.org/officeDocument/2006/relationships/hyperlink" Target="https://evictionlab.org/eviction-tracking/get-the-data/" TargetMode="External" Id="rId165"/><Relationship Type="http://schemas.openxmlformats.org/officeDocument/2006/relationships/hyperlink" Target="https://www.huduser.gov/portal/datasets/fmr.html" TargetMode="External" Id="rId166"/><Relationship Type="http://schemas.openxmlformats.org/officeDocument/2006/relationships/hyperlink" Target="https://datacatalog.worldbank.org/search/dataset/0042041/global-subnational-atlas-of-poverty" TargetMode="External" Id="rId167"/><Relationship Type="http://schemas.openxmlformats.org/officeDocument/2006/relationships/hyperlink" Target="https://data.hrsa.gov/data/download" TargetMode="External" Id="rId168"/><Relationship Type="http://schemas.openxmlformats.org/officeDocument/2006/relationships/hyperlink" Target="https://data.hrsa.gov/topics/health-workforce/shortage-areas" TargetMode="External" Id="rId169"/><Relationship Type="http://schemas.openxmlformats.org/officeDocument/2006/relationships/hyperlink" Target="https://www.datalumos.org/datalumos/project/240592/version/V1/view" TargetMode="External" Id="rId170"/><Relationship Type="http://schemas.openxmlformats.org/officeDocument/2006/relationships/hyperlink" Target="https://data.cms.gov/provider-data/dataset/xubh-q36u" TargetMode="External" Id="rId171"/><Relationship Type="http://schemas.openxmlformats.org/officeDocument/2006/relationships/hyperlink" Target="https://www.gob.mx/conapo/documentos/indices-de-marginacion-2020-284372" TargetMode="External" Id="rId172"/><Relationship Type="http://schemas.openxmlformats.org/officeDocument/2006/relationships/hyperlink" Target="https://www.worldbank.org/en/programs/lsms" TargetMode="External" Id="rId173"/><Relationship Type="http://schemas.openxmlformats.org/officeDocument/2006/relationships/hyperlink" Target="https://data.cms.gov/provider-data/dataset/4pq5-n9py" TargetMode="External" Id="rId174"/><Relationship Type="http://schemas.openxmlformats.org/officeDocument/2006/relationships/hyperlink" Target="https://www.fema.gov/openfema-data-page/fima-nfip-redacted-claims-v2" TargetMode="External" Id="rId175"/><Relationship Type="http://schemas.openxmlformats.org/officeDocument/2006/relationships/hyperlink" Target="https://www.data.gouv.fr/datasets/revenus-a-la-commune-en-france" TargetMode="External" Id="rId176"/><Relationship Type="http://schemas.openxmlformats.org/officeDocument/2006/relationships/hyperlink" Target="https://opportunityinsights.org/data/" TargetMode="External" Id="rId177"/><Relationship Type="http://schemas.openxmlformats.org/officeDocument/2006/relationships/hyperlink" Target="https://www.graham-center.org/maps-data-tools/social-deprivation-index.html" TargetMode="External" Id="rId178"/><Relationship Type="http://schemas.openxmlformats.org/officeDocument/2006/relationships/hyperlink" Target="https://www.abs.gov.au/statistics/people/people-and-communities/socio-economic-indexes-areas-seifa-australia/latest-release" TargetMode="External" Id="rId179"/><Relationship Type="http://schemas.openxmlformats.org/officeDocument/2006/relationships/hyperlink" Target="https://developer.va.gov/explore/api/va-facilities" TargetMode="External" Id="rId180"/><Relationship Type="http://schemas.openxmlformats.org/officeDocument/2006/relationships/hyperlink" Target="https://microdata.worldbank.org/index.php/home" TargetMode="External" Id="rId181"/><Relationship Type="http://schemas.openxmlformats.org/officeDocument/2006/relationships/hyperlink" Target="https://www.epa.gov/AirToxScreen/2020-airtoxscreen-assessment-results" TargetMode="External" Id="rId182"/><Relationship Type="http://schemas.openxmlformats.org/officeDocument/2006/relationships/hyperlink" Target="https://catalog.data.gov/dataset/calenviroscreen-4-0" TargetMode="External" Id="rId183"/><Relationship Type="http://schemas.openxmlformats.org/officeDocument/2006/relationships/hyperlink" Target="https://echo.epa.gov/tools/data-downloads" TargetMode="External" Id="rId184"/><Relationship Type="http://schemas.openxmlformats.org/officeDocument/2006/relationships/hyperlink" Target="https://www.epa.gov/enviro/web-services" TargetMode="External" Id="rId185"/><Relationship Type="http://schemas.openxmlformats.org/officeDocument/2006/relationships/hyperlink" Target="https://www.epa.gov/frs/frs-data-resources" TargetMode="External" Id="rId186"/><Relationship Type="http://schemas.openxmlformats.org/officeDocument/2006/relationships/hyperlink" Target="https://fracfocus.org/data-download" TargetMode="External" Id="rId187"/><Relationship Type="http://schemas.openxmlformats.org/officeDocument/2006/relationships/hyperlink" Target="https://sdi.eea.europa.eu/catalogue/srv/api/records/3da7d329-beea-4a7b-89bc-d45fc1c4b8ac" TargetMode="External" Id="rId188"/><Relationship Type="http://schemas.openxmlformats.org/officeDocument/2006/relationships/hyperlink" Target="https://www.cdpr.ca.gov/pesticide-use-in-california/pesticide-use-reporting/" TargetMode="External" Id="rId189"/><Relationship Type="http://schemas.openxmlformats.org/officeDocument/2006/relationships/hyperlink" Target="https://www.census.gov/geographies/mapping-files/time-series/geo/carto-boundary-file.html" TargetMode="External" Id="rId190"/><Relationship Type="http://schemas.openxmlformats.org/officeDocument/2006/relationships/hyperlink" Target="https://www.census.gov/library/reference/code-lists.html" TargetMode="External" Id="rId191"/><Relationship Type="http://schemas.openxmlformats.org/officeDocument/2006/relationships/hyperlink" Target="https://geocoding.geo.census.gov/geocoder/" TargetMode="External" Id="rId192"/><Relationship Type="http://schemas.openxmlformats.org/officeDocument/2006/relationships/hyperlink" Target="https://dataportal.ssb.no/classifications/1" TargetMode="External" Id="rId193"/><Relationship Type="http://schemas.openxmlformats.org/officeDocument/2006/relationships/hyperlink" Target="http://www.ers.usda.gov/data-products/frontier-and-remote-area-codes" TargetMode="External" Id="rId194"/><Relationship Type="http://schemas.openxmlformats.org/officeDocument/2006/relationships/hyperlink" Target="https://www.census.gov/geographies/reference-files/time-series/geo/relationship-files.html" TargetMode="External" Id="rId195"/><Relationship Type="http://schemas.openxmlformats.org/officeDocument/2006/relationships/hyperlink" Target="https://www.geopostcodes.com/" TargetMode="External" Id="rId196"/><Relationship Type="http://schemas.openxmlformats.org/officeDocument/2006/relationships/hyperlink" Target="https://www.data.gov.uk/dataset/fa9ec151-618c-4b01-adb4-ecf772bd16fb/national-statistics-postcode-lookup-august-2026" TargetMode="External" Id="rId197"/><Relationship Type="http://schemas.openxmlformats.org/officeDocument/2006/relationships/hyperlink" Target="https://www.cdc.gov/nchs/data_access/urban_rural.htm" TargetMode="External" Id="rId198"/><Relationship Type="http://schemas.openxmlformats.org/officeDocument/2006/relationships/hyperlink" Target="https://www.cdfifund.gov/opportunity-zones" TargetMode="External" Id="rId199"/><Relationship Type="http://schemas.openxmlformats.org/officeDocument/2006/relationships/hyperlink" Target="http://www.ers.usda.gov/data-products/rural-urban-commuting-area-codes" TargetMode="External" Id="rId200"/><Relationship Type="http://schemas.openxmlformats.org/officeDocument/2006/relationships/hyperlink" Target="http://www.ers.usda.gov/data-products/rural-urban-continuum-codes" TargetMode="External" Id="rId201"/><Relationship Type="http://schemas.openxmlformats.org/officeDocument/2006/relationships/hyperlink" Target="https://ec.europa.eu/eurostat/web/gisco/geodata/statistical-units/territorial-units-statistics" TargetMode="External" Id="rId202"/><Relationship Type="http://schemas.openxmlformats.org/officeDocument/2006/relationships/hyperlink" Target="https://www.usgs.gov/programs/national-geospatial-program/national-map" TargetMode="External" Id="rId203"/><Relationship Type="http://schemas.openxmlformats.org/officeDocument/2006/relationships/hyperlink" Target="https://www.census.gov/geographies/mapping-files/time-series/geo/tiger-line-file.html" TargetMode="External" Id="rId204"/><Relationship Type="http://schemas.openxmlformats.org/officeDocument/2006/relationships/hyperlink" Target="https://www.census.gov/geographies/mapping-files/time-series/geo/tiger-line-file.html" TargetMode="External" Id="rId205"/><Relationship Type="http://schemas.openxmlformats.org/officeDocument/2006/relationships/hyperlink" Target="https://www.census.gov/geographies/reference-files/time-series/geo/gazetteer-files.html" TargetMode="External" Id="rId206"/><Relationship Type="http://schemas.openxmlformats.org/officeDocument/2006/relationships/hyperlink" Target="https://www.census.gov/programs-surveys/geography/guidance/geo-areas/urban-rural.html" TargetMode="External" Id="rId207"/><Relationship Type="http://schemas.openxmlformats.org/officeDocument/2006/relationships/hyperlink" Target="http://www.ers.usda.gov/data-products/urban-influence-codes" TargetMode="External" Id="rId208"/><Relationship Type="http://schemas.openxmlformats.org/officeDocument/2006/relationships/hyperlink" Target="https://www.census.gov/geographies/reference-files/time-series/geo/gazetteer-files.html" TargetMode="External" Id="rId209"/><Relationship Type="http://schemas.openxmlformats.org/officeDocument/2006/relationships/hyperlink" Target="https://www.deweydata.io/" TargetMode="External" Id="rId210"/><Relationship Type="http://schemas.openxmlformats.org/officeDocument/2006/relationships/hyperlink" Target="https://www.epa.gov/enviroatlas/data-download" TargetMode="External" Id="rId211"/><Relationship Type="http://schemas.openxmlformats.org/officeDocument/2006/relationships/hyperlink" Target="https://www.who.int/data/GIS/GHFD" TargetMode="External" Id="rId212"/><Relationship Type="http://schemas.openxmlformats.org/officeDocument/2006/relationships/hyperlink" Target="https://hifld.publicenvirodata.org" TargetMode="External" Id="rId213"/><Relationship Type="http://schemas.openxmlformats.org/officeDocument/2006/relationships/hyperlink" Target="https://portal.datarescueproject.org/datasets/hifld-open-natural-gas-interstate-and-intrastate-pipelines/" TargetMode="External" Id="rId214"/><Relationship Type="http://schemas.openxmlformats.org/officeDocument/2006/relationships/hyperlink" Target="https://portal.datarescueproject.org/datasets/hifld-open-power-plants/" TargetMode="External" Id="rId215"/><Relationship Type="http://schemas.openxmlformats.org/officeDocument/2006/relationships/hyperlink" Target="https://broadbandusa.ntia.gov/node/7522" TargetMode="External" Id="rId216"/><Relationship Type="http://schemas.openxmlformats.org/officeDocument/2006/relationships/hyperlink" Target="https://ladsweb.modaps.eosdis.nasa.gov/missions-and-measurements/products/VNP46A4/" TargetMode="External" Id="rId217"/><Relationship Type="http://schemas.openxmlformats.org/officeDocument/2006/relationships/hyperlink" Target="https://catalog.data.gov/dataset/2015-street-tree-census-tree-data" TargetMode="External" Id="rId218"/><Relationship Type="http://schemas.openxmlformats.org/officeDocument/2006/relationships/hyperlink" Target="https://coast.noaa.gov/digitalcoast/data/ccapregional.html" TargetMode="External" Id="rId219"/><Relationship Type="http://schemas.openxmlformats.org/officeDocument/2006/relationships/hyperlink" Target="https://www.cotality.com/resources/cotality-property-data-for-academic-research" TargetMode="External" Id="rId220"/><Relationship Type="http://schemas.openxmlformats.org/officeDocument/2006/relationships/hyperlink" Target="https://www.census.gov/programs-surveys/cbp.html" TargetMode="External" Id="rId221"/><Relationship Type="http://schemas.openxmlformats.org/officeDocument/2006/relationships/hyperlink" Target="https://www.inegi.org.mx/app/mapa/denue/" TargetMode="External" Id="rId222"/><Relationship Type="http://schemas.openxmlformats.org/officeDocument/2006/relationships/hyperlink" Target="https://www.fhwa.dot.gov/policyinformation/hpms.cfm" TargetMode="External" Id="rId223"/><Relationship Type="http://schemas.openxmlformats.org/officeDocument/2006/relationships/hyperlink" Target="https://www.usgs.gov/special-topics/lcmap" TargetMode="External" Id="rId224"/><Relationship Type="http://schemas.openxmlformats.org/officeDocument/2006/relationships/hyperlink" Target="https://gis-mdc.opendata.arcgis.com/datasets/MDC::bus-stop/about" TargetMode="External" Id="rId225"/><Relationship Type="http://schemas.openxmlformats.org/officeDocument/2006/relationships/hyperlink" Target="https://gis-mdc.opendata.arcgis.com/datasets/MDC::county-library/about" TargetMode="External" Id="rId226"/><Relationship Type="http://schemas.openxmlformats.org/officeDocument/2006/relationships/hyperlink" Target="https://gisweb.miamidade.gov/arcgis/rest/services/LandManagement/MD_Zoning/MapServer/1" TargetMode="External" Id="rId227"/><Relationship Type="http://schemas.openxmlformats.org/officeDocument/2006/relationships/hyperlink" Target="https://gis-mdc.opendata.arcgis.com/datasets/MDC::fire-station/about" TargetMode="External" Id="rId228"/><Relationship Type="http://schemas.openxmlformats.org/officeDocument/2006/relationships/hyperlink" Target="https://gis-mdc.opendata.arcgis.com/datasets/MDC::metrorail-station/about" TargetMode="External" Id="rId229"/><Relationship Type="http://schemas.openxmlformats.org/officeDocument/2006/relationships/hyperlink" Target="https://gis-mdc.opendata.arcgis.com/datasets/MDC::property-point-view/about" TargetMode="External" Id="rId230"/><Relationship Type="http://schemas.openxmlformats.org/officeDocument/2006/relationships/hyperlink" Target="https://gis-mdc.opendata.arcgis.com/datasets/MDC::police-station/about" TargetMode="External" Id="rId231"/><Relationship Type="http://schemas.openxmlformats.org/officeDocument/2006/relationships/hyperlink" Target="https://gis-mdc.opendata.arcgis.com/datasets/MDC::street/about" TargetMode="External" Id="rId232"/><Relationship Type="http://schemas.openxmlformats.org/officeDocument/2006/relationships/hyperlink" Target="https://www.usgs.gov/programs/gap-analysis-project/science/pad-us-data-overview" TargetMode="External" Id="rId233"/><Relationship Type="http://schemas.openxmlformats.org/officeDocument/2006/relationships/hyperlink" Target="https://geoservidorperu.minam.gob.pe/arcgis/rest/services/Servicio_Degradacion_tematicas/MapServer/1" TargetMode="External" Id="rId234"/><Relationship Type="http://schemas.openxmlformats.org/officeDocument/2006/relationships/hyperlink" Target="https://www.globalfiredata.org/" TargetMode="External" Id="rId235"/><Relationship Type="http://schemas.openxmlformats.org/officeDocument/2006/relationships/hyperlink" Target="https://www.metoffice.gov.uk/research/climate/maps-and-data/data/haduk-grid/haduk-grid" TargetMode="External" Id="rId236"/><Relationship Type="http://schemas.openxmlformats.org/officeDocument/2006/relationships/hyperlink" Target="https://www.ospo.noaa.gov/products/land/hms.html" TargetMode="External" Id="rId237"/><Relationship Type="http://schemas.openxmlformats.org/officeDocument/2006/relationships/hyperlink" Target="https://drmkc.jrc.ec.europa.eu/inform-index" TargetMode="External" Id="rId238"/><Relationship Type="http://schemas.openxmlformats.org/officeDocument/2006/relationships/hyperlink" Target="https://gmao.gsfc.nasa.gov/gmao-products/merra-2/" TargetMode="External" Id="rId239"/><Relationship Type="http://schemas.openxmlformats.org/officeDocument/2006/relationships/hyperlink" Target="https://toolkit.climate.gov/tool/heat-watch-campaigns" TargetMode="External" Id="rId240"/><Relationship Type="http://schemas.openxmlformats.org/officeDocument/2006/relationships/hyperlink" Target="https://www.wpc.ncep.noaa.gov/heatrisk/" TargetMode="External" Id="rId241"/><Relationship Type="http://schemas.openxmlformats.org/officeDocument/2006/relationships/hyperlink" Target="https://www.ncei.noaa.gov/products/land-based-station/us-climate-normals" TargetMode="External" Id="rId242"/><Relationship Type="http://schemas.openxmlformats.org/officeDocument/2006/relationships/hyperlink" Target="https://chelsa-climate.org/" TargetMode="External" Id="rId243"/><Relationship Type="http://schemas.openxmlformats.org/officeDocument/2006/relationships/hyperlink" Target="https://crudata.uea.ac.uk/cru/data/hrg/" TargetMode="External" Id="rId244"/><Relationship Type="http://schemas.openxmlformats.org/officeDocument/2006/relationships/hyperlink" Target="https://daymet.ornl.gov/" TargetMode="External" Id="rId245"/><Relationship Type="http://schemas.openxmlformats.org/officeDocument/2006/relationships/hyperlink" Target="https://www.desinventar.net/" TargetMode="External" Id="rId246"/><Relationship Type="http://schemas.openxmlformats.org/officeDocument/2006/relationships/hyperlink" Target="https://msc.fema.gov/portal/home" TargetMode="External" Id="rId247"/><Relationship Type="http://schemas.openxmlformats.org/officeDocument/2006/relationships/hyperlink" Target="https://glidenumber.net/glide/public/about.jsp" TargetMode="External" Id="rId248"/><Relationship Type="http://schemas.openxmlformats.org/officeDocument/2006/relationships/hyperlink" Target="https://www.ncei.noaa.gov/products/land-based-station/global-historical-climatology-network-daily" TargetMode="External" Id="rId249"/><Relationship Type="http://schemas.openxmlformats.org/officeDocument/2006/relationships/hyperlink" Target="https://landfire.gov/" TargetMode="External" Id="rId250"/><Relationship Type="http://schemas.openxmlformats.org/officeDocument/2006/relationships/hyperlink" Target="https://gis-mdc.opendata.arcgis.com/datasets/MDC::fema-flood-zone/about" TargetMode="External" Id="rId251"/><Relationship Type="http://schemas.openxmlformats.org/officeDocument/2006/relationships/hyperlink" Target="https://www.mtbs.gov/" TargetMode="External" Id="rId252"/><Relationship Type="http://schemas.openxmlformats.org/officeDocument/2006/relationships/hyperlink" Target="https://www.munichre.com/en/solutions/for-industry-clients/natcatservice.html" TargetMode="External" Id="rId253"/><Relationship Type="http://schemas.openxmlformats.org/officeDocument/2006/relationships/hyperlink" Target="https://www.nccs.nasa.gov/services/data-collections/land-based-products/nex-gddp-cmip6" TargetMode="External" Id="rId254"/><Relationship Type="http://schemas.openxmlformats.org/officeDocument/2006/relationships/hyperlink" Target="https://power.larc.nasa.gov/" TargetMode="External" Id="rId255"/><Relationship Type="http://schemas.openxmlformats.org/officeDocument/2006/relationships/hyperlink" Target="https://www.fema.gov/flood-maps/national-flood-hazard-layer" TargetMode="External" Id="rId256"/><Relationship Type="http://schemas.openxmlformats.org/officeDocument/2006/relationships/hyperlink" Target="https://www.ncei.noaa.gov/products/land-based-station/nclimgrid-daily" TargetMode="External" Id="rId257"/><Relationship Type="http://schemas.openxmlformats.org/officeDocument/2006/relationships/hyperlink" Target="https://hdsc.nws.noaa.gov/pfds/" TargetMode="External" Id="rId258"/><Relationship Type="http://schemas.openxmlformats.org/officeDocument/2006/relationships/hyperlink" Target="https://www.ncei.noaa.gov/products/natural-hazards/tsunamis-earthquakes-volcanoes/tsunamis" TargetMode="External" Id="rId259"/><Relationship Type="http://schemas.openxmlformats.org/officeDocument/2006/relationships/hyperlink" Target="https://coast.noaa.gov/slrdata/" TargetMode="External" Id="rId260"/><Relationship Type="http://schemas.openxmlformats.org/officeDocument/2006/relationships/hyperlink" Target="https://tidesandcurrents.noaa.gov/trends-and-extremes/" TargetMode="External" Id="rId261"/><Relationship Type="http://schemas.openxmlformats.org/officeDocument/2006/relationships/hyperlink" Target="https://www.ncei.noaa.gov/stormevents/" TargetMode="External" Id="rId262"/><Relationship Type="http://schemas.openxmlformats.org/officeDocument/2006/relationships/hyperlink" Target="https://www.climatologylab.org/terraclimate.html" TargetMode="External" Id="rId263"/><Relationship Type="http://schemas.openxmlformats.org/officeDocument/2006/relationships/hyperlink" Target="https://www.usgs.gov/mission-areas/water-resources/science/flood-inundation-mapping-fim-program" TargetMode="External" Id="rId264"/><Relationship Type="http://schemas.openxmlformats.org/officeDocument/2006/relationships/hyperlink" Target="http://www.ers.usda.gov/data-products/atlas-of-rural-and-small-town-america" TargetMode="External" Id="rId265"/><Relationship Type="http://schemas.openxmlformats.org/officeDocument/2006/relationships/hyperlink" Target="https://grid3.org/geospatial-data-nigeria" TargetMode="External" Id="rId266"/><Relationship Type="http://schemas.openxmlformats.org/officeDocument/2006/relationships/hyperlink" Target="https://www.census.gov/programs-surveys/popest.html" TargetMode="External" Id="rId267"/><Relationship Type="http://schemas.openxmlformats.org/officeDocument/2006/relationships/hyperlink" Target="https://datatopics.worldbank.org/world-development-indicators/" TargetMode="External" Id="rId268"/><Relationship Type="http://schemas.openxmlformats.org/officeDocument/2006/relationships/hyperlink" Target="https://www.census.gov/data/tables/2023/dec/2020-census-dhc.html" TargetMode="External" Id="rId269"/><Relationship Type="http://schemas.openxmlformats.org/officeDocument/2006/relationships/hyperlink" Target="https://www.statsghana.gov.gh/census-surveys/population-housing-census" TargetMode="External" Id="rId270"/><Relationship Type="http://schemas.openxmlformats.org/officeDocument/2006/relationships/hyperlink" Target="https://bdl.stat.gov.pl/bdl/start" TargetMode="External" Id="rId271"/><Relationship Type="http://schemas.openxmlformats.org/officeDocument/2006/relationships/hyperlink" Target="https://www.inei.gob.pe/estadisticas/censos/" TargetMode="External" Id="rId272"/><Relationship Type="http://schemas.openxmlformats.org/officeDocument/2006/relationships/hyperlink" Target="https://www.abs.gov.au/census/find-census-data/datapacks" TargetMode="External" Id="rId273"/><Relationship Type="http://schemas.openxmlformats.org/officeDocument/2006/relationships/hyperlink" Target="https://www.census.gov/topics/research/guidance/planning-databases.html" TargetMode="External" Id="rId274"/><Relationship Type="http://schemas.openxmlformats.org/officeDocument/2006/relationships/hyperlink" Target="https://www.census.gov/programs-surveys/decennial-census/about/rdo/summary-files.html" TargetMode="External" Id="rId275"/><Relationship Type="http://schemas.openxmlformats.org/officeDocument/2006/relationships/hyperlink" Target="https://www.dst.dk/da/TilSalg/produkter/geodata/kvadratnet" TargetMode="External" Id="rId276"/><Relationship Type="http://schemas.openxmlformats.org/officeDocument/2006/relationships/hyperlink" Target="https://www.esri.com/en-us/arcgis/products/data/data-portfolio/demographics" TargetMode="External" Id="rId277"/><Relationship Type="http://schemas.openxmlformats.org/officeDocument/2006/relationships/hyperlink" Target="https://dtm.iom.int/data-and-analysis/dtm-api" TargetMode="External" Id="rId278"/><Relationship Type="http://schemas.openxmlformats.org/officeDocument/2006/relationships/hyperlink" Target="https://lehd.ces.census.gov/data/" TargetMode="External" Id="rId279"/><Relationship Type="http://schemas.openxmlformats.org/officeDocument/2006/relationships/hyperlink" Target="https://sgis.mods.go.kr/view/index" TargetMode="External" Id="rId280"/><Relationship Type="http://schemas.openxmlformats.org/officeDocument/2006/relationships/hyperlink" Target="https://data.un.org/" TargetMode="External" Id="rId281"/><Relationship Type="http://schemas.openxmlformats.org/officeDocument/2006/relationships/hyperlink" Target="https://www.cbs.nl/nl-nl/dossier/nederland-regionaal/geografische-data/wijk-en-buurtkaart-2024" TargetMode="External" Id="rId282"/><Relationship Type="http://schemas.openxmlformats.org/officeDocument/2006/relationships/hyperlink" Target="https://population.un.org/wup/" TargetMode="External" Id="rId283"/><Relationship Type="http://schemas.openxmlformats.org/officeDocument/2006/relationships/hyperlink" Target="https://catalog.data.gov/dataset/air-quality" TargetMode="External" Id="rId284"/><Relationship Type="http://schemas.openxmlformats.org/officeDocument/2006/relationships/hyperlink" Target="https://aqs.epa.gov/aqsweb/documents/data_api.html" TargetMode="External" Id="rId285"/><Relationship Type="http://schemas.openxmlformats.org/officeDocument/2006/relationships/hyperlink" Target="https://aqs.epa.gov/aqsweb/airdata/download_files.html" TargetMode="External" Id="rId286"/><Relationship Type="http://schemas.openxmlformats.org/officeDocument/2006/relationships/hyperlink" Target="https://www.epa.gov/outdoor-air-quality-data" TargetMode="External" Id="rId287"/><Relationship Type="http://schemas.openxmlformats.org/officeDocument/2006/relationships/hyperlink" Target="https://data.nasa.gov/dataset/anthropogenic-biomes-of-the-world-version-2-2000" TargetMode="External" Id="rId288"/><Relationship Type="http://schemas.openxmlformats.org/officeDocument/2006/relationships/hyperlink" Target="https://canue.ca/data-tools/canue-data/" TargetMode="External" Id="rId289"/><Relationship Type="http://schemas.openxmlformats.org/officeDocument/2006/relationships/hyperlink" Target="https://www.stanfordecholab.com/wildfire_smoke" TargetMode="External" Id="rId290"/><Relationship Type="http://schemas.openxmlformats.org/officeDocument/2006/relationships/hyperlink" Target="https://www.epa.gov/enviroatlas/enviroatlas-data" TargetMode="External" Id="rId291"/><Relationship Type="http://schemas.openxmlformats.org/officeDocument/2006/relationships/hyperlink" Target="https://www.epa.gov/enviroatlas/data-download" TargetMode="External" Id="rId292"/><Relationship Type="http://schemas.openxmlformats.org/officeDocument/2006/relationships/hyperlink" Target="https://esa-worldcereal.org/en" TargetMode="External" Id="rId293"/><Relationship Type="http://schemas.openxmlformats.org/officeDocument/2006/relationships/hyperlink" Target="https://airindex.eea.europa.eu/AQI/index.html" TargetMode="External" Id="rId294"/><Relationship Type="http://schemas.openxmlformats.org/officeDocument/2006/relationships/hyperlink" Target="https://www.gecco.nl/" TargetMode="External" Id="rId295"/><Relationship Type="http://schemas.openxmlformats.org/officeDocument/2006/relationships/hyperlink" Target="https://data.nasa.gov/dataset/global-annual-pm2-5-grids-from-modis-misr-seawifs-and-viirs-aerosol-optical-depth-aod-1998" TargetMode="External" Id="rId296"/><Relationship Type="http://schemas.openxmlformats.org/officeDocument/2006/relationships/hyperlink" Target="https://grace.jpl.nasa.gov/data/get-data/jpl_global_mascons/" TargetMode="External" Id="rId297"/><Relationship Type="http://schemas.openxmlformats.org/officeDocument/2006/relationships/hyperlink" Target="https://www.epa.gov/green-book/green-book-data-download" TargetMode="External" Id="rId298"/><Relationship Type="http://schemas.openxmlformats.org/officeDocument/2006/relationships/hyperlink" Target="https://www.epa.gov/ghgreporting/data-sets" TargetMode="External" Id="rId299"/><Relationship Type="http://schemas.openxmlformats.org/officeDocument/2006/relationships/hyperlink" Target="https://www.fao.org/livestock-systems/global-distributions/en/" TargetMode="External" Id="rId300"/><Relationship Type="http://schemas.openxmlformats.org/officeDocument/2006/relationships/hyperlink" Target="https://www.fao.org/soils-portal/data-hub/soil-maps-and-databases/harmonized-world-soil-database-v20/en/" TargetMode="External" Id="rId301"/><Relationship Type="http://schemas.openxmlformats.org/officeDocument/2006/relationships/hyperlink" Target="https://howloud.com/soundscore/" TargetMode="External" Id="rId302"/><Relationship Type="http://schemas.openxmlformats.org/officeDocument/2006/relationships/hyperlink" Target="https://www.cdc.gov/nceh/tracking/" TargetMode="External" Id="rId303"/><Relationship Type="http://schemas.openxmlformats.org/officeDocument/2006/relationships/hyperlink" Target="https://catalog.data.gov/dataset/national-transportation-noise-map" TargetMode="External" Id="rId304"/><Relationship Type="http://schemas.openxmlformats.org/officeDocument/2006/relationships/hyperlink" Target="https://data.fs.usda.gov/geodata/rastergateway/treecanopycover/" TargetMode="External" Id="rId305"/><Relationship Type="http://schemas.openxmlformats.org/officeDocument/2006/relationships/hyperlink" Target="https://openaq.org/" TargetMode="External" Id="rId306"/><Relationship Type="http://schemas.openxmlformats.org/officeDocument/2006/relationships/hyperlink" Target="https://sites.wustl.edu/acag/datasets/surface-pm2-5/" TargetMode="External" Id="rId307"/><Relationship Type="http://schemas.openxmlformats.org/officeDocument/2006/relationships/hyperlink" Target="https://biobank.ndph.ox.ac.uk/showcase/label.cgi?id=114" TargetMode="External" Id="rId308"/><Relationship Type="http://schemas.openxmlformats.org/officeDocument/2006/relationships/hyperlink" Target="https://www.who.int/data/gho/data/themes/air-pollution/who-air-quality-database" TargetMode="External" Id="rId309"/><Relationship Type="http://schemas.openxmlformats.org/officeDocument/2006/relationships/hyperlink" Target="http://www.ers.usda.gov/data-products/food-access-research-atlas" TargetMode="External" Id="rId310"/><Relationship Type="http://schemas.openxmlformats.org/officeDocument/2006/relationships/hyperlink" Target="http://www.ers.usda.gov/data-products/food-environment-atlas" TargetMode="External" Id="rId311"/><Relationship Type="http://schemas.openxmlformats.org/officeDocument/2006/relationships/hyperlink" Target="https://catalog.data.gov/dataset/grocery-stores-2013" TargetMode="External" Id="rId312"/><Relationship Type="http://schemas.openxmlformats.org/officeDocument/2006/relationships/hyperlink" Target="https://www.cdc.gov/places/about/index.html" TargetMode="External" Id="rId313"/><Relationship Type="http://schemas.openxmlformats.org/officeDocument/2006/relationships/hyperlink" Target="https://catalog.data.gov/dataset/age-adjusted-incidence-rates-for-all-cancer-sites-by-jurisdiction-gender-and-race-mar-2009" TargetMode="External" Id="rId314"/><Relationship Type="http://schemas.openxmlformats.org/officeDocument/2006/relationships/hyperlink" Target="https://www.cdc.gov/brfss/smart/smart_data.htm" TargetMode="External" Id="rId315"/><Relationship Type="http://schemas.openxmlformats.org/officeDocument/2006/relationships/hyperlink" Target="https://ephtracking.cdc.gov/Applications/heatTracker/" TargetMode="External" Id="rId316"/><Relationship Type="http://schemas.openxmlformats.org/officeDocument/2006/relationships/hyperlink" Target="https://catalog.data.gov/dataset/combined-asthma-emergency-department-and-hospitalizations-by-census-tract-town-c-2010-2014" TargetMode="External" Id="rId317"/><Relationship Type="http://schemas.openxmlformats.org/officeDocument/2006/relationships/hyperlink" Target="https://www.gavi.org/programmes-impact/our-impact/measuring-our-performance" TargetMode="External" Id="rId318"/><Relationship Type="http://schemas.openxmlformats.org/officeDocument/2006/relationships/hyperlink" Target="https://www.who.int/data/gho/data/themes/malaria" TargetMode="External" Id="rId319"/><Relationship Type="http://schemas.openxmlformats.org/officeDocument/2006/relationships/hyperlink" Target="https://www.who.int/data/global-health-estimates" TargetMode="External" Id="rId320"/><Relationship Type="http://schemas.openxmlformats.org/officeDocument/2006/relationships/hyperlink" Target="https://www.who.int/data/gho" TargetMode="External" Id="rId321"/><Relationship Type="http://schemas.openxmlformats.org/officeDocument/2006/relationships/hyperlink" Target="https://seer.cancer.gov/data/access.html" TargetMode="External" Id="rId322"/><Relationship Type="http://schemas.openxmlformats.org/officeDocument/2006/relationships/hyperlink" Target="https://statecancerprofiles.cancer.gov/" TargetMode="External" Id="rId323"/><Relationship Type="http://schemas.openxmlformats.org/officeDocument/2006/relationships/hyperlink" Target="https://www.cdc.gov/cdi/index.html" TargetMode="External" Id="rId324"/><Relationship Type="http://schemas.openxmlformats.org/officeDocument/2006/relationships/hyperlink" Target="https://arxiv.org/html/2511.03750v1" TargetMode="External" Id="rId325"/><Relationship Type="http://schemas.openxmlformats.org/officeDocument/2006/relationships/hyperlink" Target="https://www.niehs.nih.gov/research/programs/chords" TargetMode="External" Id="rId326"/><Relationship Type="http://schemas.openxmlformats.org/officeDocument/2006/relationships/hyperlink" Target="https://echochildren.org/" TargetMode="External" Id="rId327"/><Relationship Type="http://schemas.openxmlformats.org/officeDocument/2006/relationships/hyperlink" Target="https://www.humanexposome.eu/2024/02/22/helix-cohort-overview-and-access/" TargetMode="External" Id="rId328"/><Relationship Type="http://schemas.openxmlformats.org/officeDocument/2006/relationships/hyperlink" Target="https://www.screening-tools.com" TargetMode="External" Id="rId329"/><Relationship Type="http://schemas.openxmlformats.org/officeDocument/2006/relationships/hyperlink" Target="https://acleddata.com/" TargetMode="External" Id="rId330"/><Relationship Type="http://schemas.openxmlformats.org/officeDocument/2006/relationships/hyperlink" Target="https://www.aiddata.org/datasets" TargetMode="External" Id="rId331"/><Relationship Type="http://schemas.openxmlformats.org/officeDocument/2006/relationships/hyperlink" Target="https://geoservicios.sernanp.gob.pe/arcgis/rest/services/base_fisica/peru_sernanp_0102/MapServer/0" TargetMode="External" Id="rId332"/><Relationship Type="http://schemas.openxmlformats.org/officeDocument/2006/relationships/hyperlink" Target="https://civic.miami.edu/" TargetMode="External" Id="rId333"/><Relationship Type="http://schemas.openxmlformats.org/officeDocument/2006/relationships/hyperlink" Target="https://www.idep.gob.pe/geoportal/rest/services/SERVICIOS_IGN/HIDROGRAFIA_100K/MapServer/0" TargetMode="External" Id="rId334"/><Relationship Type="http://schemas.openxmlformats.org/officeDocument/2006/relationships/hyperlink" Target="https://www.abs.gov.au/statistics/standards/australian-statistical-geography-standard-asgs-edition-3/jul2021-jun2026/remoteness-structure" TargetMode="External" Id="rId335"/><Relationship Type="http://schemas.openxmlformats.org/officeDocument/2006/relationships/hyperlink" Target="https://athleteproject.eu/" TargetMode="External" Id="rId336"/><Relationship Type="http://schemas.openxmlformats.org/officeDocument/2006/relationships/hyperlink" Target="https://www.humanexposome.eu/" TargetMode="External" Id="rId337"/><Relationship Type="http://schemas.openxmlformats.org/officeDocument/2006/relationships/hyperlink" Target="https://expanseproject.eu/" TargetMode="External" Id="rId338"/><Relationship Type="http://schemas.openxmlformats.org/officeDocument/2006/relationships/hyperlink" Target="https://exposome.nl/" TargetMode="External" Id="rId339"/><Relationship Type="http://schemas.openxmlformats.org/officeDocument/2006/relationships/hyperlink" Target="https://ghdx.healthdata.org/" TargetMode="External" Id="rId340"/><Relationship Type="http://schemas.openxmlformats.org/officeDocument/2006/relationships/hyperlink" Target="https://www.niehs.nih.gov/research/clinical/studies/pegs" TargetMode="External" Id="rId341"/><Relationship Type="http://schemas.openxmlformats.org/officeDocument/2006/relationships/hyperlink" Target="https://www.who.int/publications/i/item/9789241507806" TargetMode="External" Id="rId342"/><Relationship Type="http://schemas.openxmlformats.org/officeDocument/2006/relationships/hyperlink" Target="https://www.ahadata.com/aha-annual-survey-database" TargetMode="External" Id="rId343"/><Relationship Type="http://schemas.openxmlformats.org/officeDocument/2006/relationships/hyperlink" Target="https://www.researchallofus.org/data-tools/data-sources/" TargetMode="External" Id="rId344"/><Relationship Type="http://schemas.openxmlformats.org/officeDocument/2006/relationships/hyperlink" Target="https://www150.statcan.gc.ca/n1/en/catalogue/45200001" TargetMode="External" Id="rId345"/><Relationship Type="http://schemas.openxmlformats.org/officeDocument/2006/relationships/hyperlink" Target="https://www.atsdr.cdc.gov/place-health/php/svi/svi-data-documentation-download.html" TargetMode="External" Id="rId346"/><Relationship Type="http://schemas.openxmlformats.org/officeDocument/2006/relationships/hyperlink" Target="https://public-environmental-data-partners.github.io/j40-cejst-2/en/downloads" TargetMode="External" Id="rId347"/><Relationship Type="http://schemas.openxmlformats.org/officeDocument/2006/relationships/hyperlink" Target="https://www.census.gov/programs-surveys/community-resilience-estimates.html" TargetMode="External" Id="rId348"/><Relationship Type="http://schemas.openxmlformats.org/officeDocument/2006/relationships/hyperlink" Target="https://eig.org/distressed-communities/" TargetMode="External" Id="rId349"/><Relationship Type="http://schemas.openxmlformats.org/officeDocument/2006/relationships/hyperlink" Target="https://screening-tools.com/epa-ejscreen" TargetMode="External" Id="rId350"/><Relationship Type="http://schemas.openxmlformats.org/officeDocument/2006/relationships/hyperlink" Target="https://www.atsdr.cdc.gov/place-health/php/eji/index.html" TargetMode="External" Id="rId351"/><Relationship Type="http://schemas.openxmlformats.org/officeDocument/2006/relationships/hyperlink" Target="https://eelp.law.harvard.edu/tracker/epa-added-environmental-health-indicators-to-ejscreen/" TargetMode="External" Id="rId352"/><Relationship Type="http://schemas.openxmlformats.org/officeDocument/2006/relationships/hyperlink" Target="https://www.who.int/data/inequality-monitor" TargetMode="External" Id="rId353"/><Relationship Type="http://schemas.openxmlformats.org/officeDocument/2006/relationships/hyperlink" Target="https://catalog.data.gov/dataset/heat-vulnerability-index-rankings" TargetMode="External" Id="rId354"/><Relationship Type="http://schemas.openxmlformats.org/officeDocument/2006/relationships/hyperlink" Target="https://services.arcgis.com/jIL9msH9OI208GCb/arcgis/rest/services/HOLC_Neighborhood_Redlining/FeatureServer" TargetMode="External" Id="rId355"/><Relationship Type="http://schemas.openxmlformats.org/officeDocument/2006/relationships/hyperlink" Target="https://minorityhealth.hhs.gov/minority-health-svi" TargetMode="External" Id="rId356"/><Relationship Type="http://schemas.openxmlformats.org/officeDocument/2006/relationships/hyperlink" Target="https://hgd.auckland.ac.nz/?p=270" TargetMode="External" Id="rId357"/><Relationship Type="http://schemas.openxmlformats.org/officeDocument/2006/relationships/hyperlink" Target="https://www.nisra.gov.uk/statistics/deprivation/northern-ireland-multiple-deprivation-measure-2017-nimdm2017" TargetMode="External" Id="rId358"/><Relationship Type="http://schemas.openxmlformats.org/officeDocument/2006/relationships/hyperlink" Target="https://www.oecdregionalwellbeing.org/" TargetMode="External" Id="rId359"/><Relationship Type="http://schemas.openxmlformats.org/officeDocument/2006/relationships/hyperlink" Target="https://www.publichealthontario.ca/en/data-and-analysis/health-equity/ontario-marginalization-index" TargetMode="External" Id="rId360"/><Relationship Type="http://schemas.openxmlformats.org/officeDocument/2006/relationships/hyperlink" Target="https://www.policymap.com/data" TargetMode="External" Id="rId361"/><Relationship Type="http://schemas.openxmlformats.org/officeDocument/2006/relationships/hyperlink" Target="https://www.redfin.com/news/data-center/" TargetMode="External" Id="rId362"/><Relationship Type="http://schemas.openxmlformats.org/officeDocument/2006/relationships/hyperlink" Target="https://www.epa.gov/ground-water-and-drinking-water/safe-drinking-water-information-system-sdwis-federal-reporting" TargetMode="External" Id="rId363"/><Relationship Type="http://schemas.openxmlformats.org/officeDocument/2006/relationships/hyperlink" Target="https://www.census.gov/programs-surveys/sahie.html" TargetMode="External" Id="rId364"/><Relationship Type="http://schemas.openxmlformats.org/officeDocument/2006/relationships/hyperlink" Target="https://www.census.gov/programs-surveys/saipe.html" TargetMode="External" Id="rId365"/><Relationship Type="http://schemas.openxmlformats.org/officeDocument/2006/relationships/hyperlink" Target="https://globaldatalab.org/shdi/" TargetMode="External" Id="rId366"/><Relationship Type="http://schemas.openxmlformats.org/officeDocument/2006/relationships/hyperlink" Target="https://www.gov.wales/welsh-index-multiple-deprivation" TargetMode="External" Id="rId367"/><Relationship Type="http://schemas.openxmlformats.org/officeDocument/2006/relationships/hyperlink" Target="https://washdata.org/data" TargetMode="External" Id="rId368"/><Relationship Type="http://schemas.openxmlformats.org/officeDocument/2006/relationships/hyperlink" Target="https://www.epa.gov/cleanups/cleanups-my-community" TargetMode="External" Id="rId369"/><Relationship Type="http://schemas.openxmlformats.org/officeDocument/2006/relationships/hyperlink" Target="https://water.usgs.gov/nawqa/pnsp/usage/maps/" TargetMode="External" Id="rId370"/><Relationship Type="http://schemas.openxmlformats.org/officeDocument/2006/relationships/hyperlink" Target="https://www.epa.gov/air-emissions-inventories/2020-national-emissions-inventory-nei-data" TargetMode="External" Id="rId371"/><Relationship Type="http://schemas.openxmlformats.org/officeDocument/2006/relationships/hyperlink" Target="https://www.eia.gov/pressroom/releases/press449.php" TargetMode="External" Id="rId372"/><Relationship Type="http://schemas.openxmlformats.org/officeDocument/2006/relationships/hyperlink" Target="https://catalog.data.gov/dataset/pipeline-incident-flagged-files" TargetMode="External" Id="rId373"/><Relationship Type="http://schemas.openxmlformats.org/officeDocument/2006/relationships/hyperlink" Target="https://www.epa.gov/rmp" TargetMode="External" Id="rId374"/><Relationship Type="http://schemas.openxmlformats.org/officeDocument/2006/relationships/hyperlink" Target="https://www.epa.gov/rsei/ways-get-rsei-results" TargetMode="External" Id="rId375"/><Relationship Type="http://schemas.openxmlformats.org/officeDocument/2006/relationships/hyperlink" Target="https://www.epa.gov/rsei/rsei-geographic-microdata-rsei-gm" TargetMode="External" Id="rId376"/><Relationship Type="http://schemas.openxmlformats.org/officeDocument/2006/relationships/hyperlink" Target="https://sdwis.epa.gov/ords/sfdw_pub/r/sfdw/sdwis_fed_reports_public/service-line-inventory" TargetMode="External" Id="rId377"/><Relationship Type="http://schemas.openxmlformats.org/officeDocument/2006/relationships/hyperlink" Target="https://www.epa.gov/toxics-release-inventory-tri-program/tri-basic-data-files-calendar-years-1987-present" TargetMode="External" Id="rId378"/><Relationship Type="http://schemas.openxmlformats.org/officeDocument/2006/relationships/hyperlink" Target="https://www.epa.gov/dwucmr/occurrence-data-unregulated-contaminant-monitoring-rule" TargetMode="External" Id="rId379"/><Relationship Type="http://schemas.openxmlformats.org/officeDocument/2006/relationships/hyperlink" Target="https://www.usgs.gov/centers/gggsc/science/usmin-mineral-deposit-database" TargetMode="External" Id="rId380"/><Relationship Type="http://schemas.openxmlformats.org/officeDocument/2006/relationships/hyperlink" Target="https://www.istat.it/notizia/basi-territoriali-e-variabili-censuarie/" TargetMode="External" Id="rId381"/><Relationship Type="http://schemas.openxmlformats.org/officeDocument/2006/relationships/hyperlink" Target="https://www.idep.gob.pe/geoportal/rest/services/DATOS_GEOESPACIALES/CENTROS_POBLADOS/FeatureServer/2" TargetMode="External" Id="rId382"/><Relationship Type="http://schemas.openxmlformats.org/officeDocument/2006/relationships/hyperlink" Target="https://datahub-miamigis.opendata.arcgis.com/datasets/1ff4f95b49e142ee8d4e93bb33a9f42d_0/explore" TargetMode="External" Id="rId383"/><Relationship Type="http://schemas.openxmlformats.org/officeDocument/2006/relationships/hyperlink" Target="https://www.huduser.gov/portal/datasets/usps_crosswalk.html" TargetMode="External" Id="rId384"/><Relationship Type="http://schemas.openxmlformats.org/officeDocument/2006/relationships/hyperlink" Target="https://geoservidorperu.minam.gob.pe/arcgis/rest/services/ServicioBase/MapServer/14" TargetMode="External" Id="rId385"/><Relationship Type="http://schemas.openxmlformats.org/officeDocument/2006/relationships/hyperlink" Target="https://www.ibge.gov.br/geociencias/organizacao-do-territorio/malhas-territoriais/15774-malhas.html" TargetMode="External" Id="rId386"/><Relationship Type="http://schemas.openxmlformats.org/officeDocument/2006/relationships/hyperlink" Target="https://www.inegi.org.mx/temas/mg/" TargetMode="External" Id="rId387"/><Relationship Type="http://schemas.openxmlformats.org/officeDocument/2006/relationships/hyperlink" Target="https://geoportal.dane.gov.co/" TargetMode="External" Id="rId388"/><Relationship Type="http://schemas.openxmlformats.org/officeDocument/2006/relationships/hyperlink" Target="https://gis-mdc.opendata.arcgis.com/datasets/21f56c05380e477ea3008fd527ddafe4_0/explore" TargetMode="External" Id="rId389"/><Relationship Type="http://schemas.openxmlformats.org/officeDocument/2006/relationships/hyperlink" Target="https://gis-mdc.opendata.arcgis.com/datasets/276ee4451b604600b8fcd8e870bd524a_0/explore" TargetMode="External" Id="rId390"/><Relationship Type="http://schemas.openxmlformats.org/officeDocument/2006/relationships/hyperlink" Target="https://www.huduser.gov/portal/datasets/qct.html" TargetMode="External" Id="rId391"/><Relationship Type="http://schemas.openxmlformats.org/officeDocument/2006/relationships/hyperlink" Target="https://statbel.fgov.be/en/open-data/statistical-sectors-2023" TargetMode="External" Id="rId392"/><Relationship Type="http://schemas.openxmlformats.org/officeDocument/2006/relationships/hyperlink" Target="https://broadbandmap.fcc.gov/" TargetMode="External" Id="rId393"/><Relationship Type="http://schemas.openxmlformats.org/officeDocument/2006/relationships/hyperlink" Target="https://data.grid3.org/" TargetMode="External" Id="rId394"/><Relationship Type="http://schemas.openxmlformats.org/officeDocument/2006/relationships/hyperlink" Target="https://gis-mdc.opendata.arcgis.com/datasets/MDC::municipal-park-boundary/about" TargetMode="External" Id="rId395"/><Relationship Type="http://schemas.openxmlformats.org/officeDocument/2006/relationships/hyperlink" Target="https://gis-mdc.opendata.arcgis.com/datasets/MDC::county-park-boundary-view/about" TargetMode="External" Id="rId396"/><Relationship Type="http://schemas.openxmlformats.org/officeDocument/2006/relationships/hyperlink" Target="https://www.tpl.org/park-data-downloads" TargetMode="External" Id="rId397"/><Relationship Type="http://schemas.openxmlformats.org/officeDocument/2006/relationships/hyperlink" Target="https://energydata.info/dataset?tags=AICD" TargetMode="External" Id="rId398"/><Relationship Type="http://schemas.openxmlformats.org/officeDocument/2006/relationships/hyperlink" Target="https://geocatmin.ingemmet.gob.pe/arcgis/rest/services/SERV_CATASTRO_MINERO_WGS84/MapServer/0" TargetMode="External" Id="rId399"/><Relationship Type="http://schemas.openxmlformats.org/officeDocument/2006/relationships/hyperlink" Target="https://georural.midagri.gob.pe/geoservicios/rest/services/public/Catastro_Rural/MapServer/0" TargetMode="External" Id="rId400"/><Relationship Type="http://schemas.openxmlformats.org/officeDocument/2006/relationships/hyperlink" Target="https://nanda.isr.umich.edu/2026/04/09/12-nanda-datasets-updated-through-2022/" TargetMode="External" Id="rId401"/><Relationship Type="http://schemas.openxmlformats.org/officeDocument/2006/relationships/hyperlink" Target="https://www.icpsr.umich.edu/web/ICPSR/studies/38584" TargetMode="External" Id="rId402"/><Relationship Type="http://schemas.openxmlformats.org/officeDocument/2006/relationships/hyperlink" Target="https://transit.dot.gov/ntd" TargetMode="External" Id="rId403"/><Relationship Type="http://schemas.openxmlformats.org/officeDocument/2006/relationships/hyperlink" Target="https://geodata.bts.gov/" TargetMode="External" Id="rId404"/><Relationship Type="http://schemas.openxmlformats.org/officeDocument/2006/relationships/hyperlink" Target="https://www.naturequant.com/naturescore/" TargetMode="External" Id="rId405"/><Relationship Type="http://schemas.openxmlformats.org/officeDocument/2006/relationships/hyperlink" Target="https://www.bps.go.id/en/publication/2024/12/10/2f5217e2d6a695a0830290a7/statistik-potensi-desa-indonesia-2024.html" TargetMode="External" Id="rId406"/><Relationship Type="http://schemas.openxmlformats.org/officeDocument/2006/relationships/hyperlink" Target="https://atlas.eia.gov/" TargetMode="External" Id="rId407"/><Relationship Type="http://schemas.openxmlformats.org/officeDocument/2006/relationships/hyperlink" Target="https://land.copernicus.eu/en/products/urban-atlas" TargetMode="External" Id="rId408"/><Relationship Type="http://schemas.openxmlformats.org/officeDocument/2006/relationships/hyperlink" Target="https://firststreet.org/" TargetMode="External" Id="rId409"/><Relationship Type="http://schemas.openxmlformats.org/officeDocument/2006/relationships/hyperlink" Target="https://www.heat.gov/" TargetMode="External" Id="rId410"/><Relationship Type="http://schemas.openxmlformats.org/officeDocument/2006/relationships/hyperlink" Target="https://data.humdata.org/dataset/venezuela-earthquake-hazardous-facilities" TargetMode="External" Id="rId411"/><Relationship Type="http://schemas.openxmlformats.org/officeDocument/2006/relationships/hyperlink" Target="https://european-flood.emergency.copernicus.eu/en/about-efas" TargetMode="External" Id="rId412"/><Relationship Type="http://schemas.openxmlformats.org/officeDocument/2006/relationships/hyperlink" Target="https://global-flood.emergency.copernicus.eu/" TargetMode="External" Id="rId413"/><Relationship Type="http://schemas.openxmlformats.org/officeDocument/2006/relationships/hyperlink" Target="https://global-flood-database.cloudtostreet.ai/" TargetMode="External" Id="rId414"/><Relationship Type="http://schemas.openxmlformats.org/officeDocument/2006/relationships/hyperlink" Target="https://www.dwd.de/EN/ourservices/gpcc/gpcc.html" TargetMode="External" Id="rId415"/><Relationship Type="http://schemas.openxmlformats.org/officeDocument/2006/relationships/hyperlink" Target="https://data.jrc.ec.europa.eu/collection/id-0054" TargetMode="External" Id="rId416"/><Relationship Type="http://schemas.openxmlformats.org/officeDocument/2006/relationships/hyperlink" Target="https://prism.oregonstate.edu/" TargetMode="External" Id="rId417"/><Relationship Type="http://schemas.openxmlformats.org/officeDocument/2006/relationships/hyperlink" Target="https://volcano.si.edu/gvp_votw.cfm" TargetMode="External" Id="rId418"/><Relationship Type="http://schemas.openxmlformats.org/officeDocument/2006/relationships/hyperlink" Target="https://data-nifc.opendata.arcgis.com/" TargetMode="External" Id="rId419"/><Relationship Type="http://schemas.openxmlformats.org/officeDocument/2006/relationships/hyperlink" Target="https://population.un.org/wpp/" TargetMode="External" Id="rId420"/><Relationship Type="http://schemas.openxmlformats.org/officeDocument/2006/relationships/hyperlink" Target="https://hub.worldpop.org/project/categories?id=3" TargetMode="External" Id="rId421"/><Relationship Type="http://schemas.openxmlformats.org/officeDocument/2006/relationships/hyperlink" Target="https://www.knbs.or.ke/2019-kenya-population-and-housing-census-results/" TargetMode="External" Id="rId422"/><Relationship Type="http://schemas.openxmlformats.org/officeDocument/2006/relationships/hyperlink" Target="https://psa.gov.ph/population-and-housing" TargetMode="External" Id="rId423"/><Relationship Type="http://schemas.openxmlformats.org/officeDocument/2006/relationships/hyperlink" Target="https://sensa.nbs.go.tz/" TargetMode="External" Id="rId424"/><Relationship Type="http://schemas.openxmlformats.org/officeDocument/2006/relationships/hyperlink" Target="https://www.stats.govt.nz/2023-census/" TargetMode="External" Id="rId425"/><Relationship Type="http://schemas.openxmlformats.org/officeDocument/2006/relationships/hyperlink" Target="https://veriportali.tuik.gov.tr/Kategori/GetKategori?p=nufus-ve-demografi-109" TargetMode="External" Id="rId426"/><Relationship Type="http://schemas.openxmlformats.org/officeDocument/2006/relationships/hyperlink" Target="https://www.inegi.org.mx/programas/ccpv/2020/" TargetMode="External" Id="rId427"/><Relationship Type="http://schemas.openxmlformats.org/officeDocument/2006/relationships/hyperlink" Target="https://www.ibge.gov.br/estatisticas/sociais/populacao/22827-censo-demografico-2022.html" TargetMode="External" Id="rId428"/><Relationship Type="http://schemas.openxmlformats.org/officeDocument/2006/relationships/hyperlink" Target="https://census.statssa.gov.za/" TargetMode="External" Id="rId429"/><Relationship Type="http://schemas.openxmlformats.org/officeDocument/2006/relationships/hyperlink" Target="https://censusindia.gov.in/census.website/data/census-tables" TargetMode="External" Id="rId430"/><Relationship Type="http://schemas.openxmlformats.org/officeDocument/2006/relationships/hyperlink" Target="https://www12.statcan.gc.ca/census-recensement/2021/dp-pd/prof/index.cfm?Lang=E" TargetMode="External" Id="rId431"/><Relationship Type="http://schemas.openxmlformats.org/officeDocument/2006/relationships/hyperlink" Target="https://unhabitat.org/global-urban-indicators-database" TargetMode="External" Id="rId432"/><Relationship Type="http://schemas.openxmlformats.org/officeDocument/2006/relationships/hyperlink" Target="https://ai.meta.com/ai-for-good/datasets/high-resolution-population-density-maps/" TargetMode="External" Id="rId433"/><Relationship Type="http://schemas.openxmlformats.org/officeDocument/2006/relationships/hyperlink" Target="https://www.ubos.org/explore-statistics/20/" TargetMode="External" Id="rId434"/><Relationship Type="http://schemas.openxmlformats.org/officeDocument/2006/relationships/hyperlink" Target="https://bbs.gov.bd/" TargetMode="External" Id="rId435"/><Relationship Type="http://schemas.openxmlformats.org/officeDocument/2006/relationships/hyperlink" Target="https://www.unhcr.org/refugee-statistics/" TargetMode="External" Id="rId436"/><Relationship Type="http://schemas.openxmlformats.org/officeDocument/2006/relationships/hyperlink" Target="https://www.stats.gov.cn/english/" TargetMode="External" Id="rId437"/><Relationship Type="http://schemas.openxmlformats.org/officeDocument/2006/relationships/hyperlink" Target="https://www.bfs.admin.ch/bfs/en/home/services/geostat/swiss-federal-statistics-geodata/population-buildings-dwellings-persons/population-housholds-from-2010.html" TargetMode="External" Id="rId438"/><Relationship Type="http://schemas.openxmlformats.org/officeDocument/2006/relationships/hyperlink" Target="https://hub.worldpop.org/project/categories?id=3" TargetMode="External" Id="rId439"/><Relationship Type="http://schemas.openxmlformats.org/officeDocument/2006/relationships/hyperlink" Target="https://exposome.g2aging.org/" TargetMode="External" Id="rId440"/><Relationship Type="http://schemas.openxmlformats.org/officeDocument/2006/relationships/hyperlink" Target="https://ghdx.healthdata.org/record/ihme-data/gbd-2021-air-pollution-exposure-estimates-1990-2021" TargetMode="External" Id="rId441"/><Relationship Type="http://schemas.openxmlformats.org/officeDocument/2006/relationships/hyperlink" Target="https://gaez.fao.org/" TargetMode="External" Id="rId442"/><Relationship Type="http://schemas.openxmlformats.org/officeDocument/2006/relationships/hyperlink" Target="https://sedac.ciesin.columbia.edu/data/set/lulc-human-modification-terrestrial-systems" TargetMode="External" Id="rId443"/><Relationship Type="http://schemas.openxmlformats.org/officeDocument/2006/relationships/hyperlink" Target="https://www.globalmangrovewatch.org/" TargetMode="External" Id="rId444"/><Relationship Type="http://schemas.openxmlformats.org/officeDocument/2006/relationships/hyperlink" Target="https://globalsolaratlas.info/" TargetMode="External" Id="rId445"/><Relationship Type="http://schemas.openxmlformats.org/officeDocument/2006/relationships/hyperlink" Target="https://figshare.com/articles/dataset/Global_surface_NO2_concentrations_1990-2020/12968114/4" TargetMode="External" Id="rId446"/><Relationship Type="http://schemas.openxmlformats.org/officeDocument/2006/relationships/hyperlink" Target="https://globalwindatlas.info/en/about/introduction" TargetMode="External" Id="rId447"/><Relationship Type="http://schemas.openxmlformats.org/officeDocument/2006/relationships/hyperlink" Target="https://disc.gsfc.nasa.gov/datasets/M2T1NXAER_5.12.4/summary" TargetMode="External" Id="rId448"/><Relationship Type="http://schemas.openxmlformats.org/officeDocument/2006/relationships/hyperlink" Target="https://www.icpsr.umich.edu/web/ICPSR/studies/38598" TargetMode="External" Id="rId449"/><Relationship Type="http://schemas.openxmlformats.org/officeDocument/2006/relationships/hyperlink" Target="https://disc.gsfc.nasa.gov/datasets/OMNO2d_003/summary" TargetMode="External" Id="rId450"/><Relationship Type="http://schemas.openxmlformats.org/officeDocument/2006/relationships/hyperlink" Target="https://www.purpleair.com/api" TargetMode="External" Id="rId451"/><Relationship Type="http://schemas.openxmlformats.org/officeDocument/2006/relationships/hyperlink" Target="https://www.mdpi.com/2072-4292/12/23/3872" TargetMode="External" Id="rId452"/><Relationship Type="http://schemas.openxmlformats.org/officeDocument/2006/relationships/hyperlink" Target="https://disc.gsfc.nasa.gov/datasets/S5P_L2__NO2____HiR_2/summary" TargetMode="External" Id="rId453"/><Relationship Type="http://schemas.openxmlformats.org/officeDocument/2006/relationships/hyperlink" Target="http://tapdata.org.cn/" TargetMode="External" Id="rId454"/><Relationship Type="http://schemas.openxmlformats.org/officeDocument/2006/relationships/hyperlink" Target="https://data.apps.fao.org/wapor/" TargetMode="External" Id="rId455"/><Relationship Type="http://schemas.openxmlformats.org/officeDocument/2006/relationships/hyperlink" Target="https://www.waterqualitydata.us/" TargetMode="External" Id="rId456"/><Relationship Type="http://schemas.openxmlformats.org/officeDocument/2006/relationships/hyperlink" Target="https://wad.jrc.ec.europa.eu/" TargetMode="External" Id="rId457"/><Relationship Type="http://schemas.openxmlformats.org/officeDocument/2006/relationships/hyperlink" Target="https://data.humdata.org/dataset/cox-s-bazar-district-teknaf-and-ukhia-upazila-para-and-ward-locations" TargetMode="External" Id="rId458"/><Relationship Type="http://schemas.openxmlformats.org/officeDocument/2006/relationships/hyperlink" Target="https://data.humdata.org/dataset/ethiopia-market-centers" TargetMode="External" Id="rId459"/><Relationship Type="http://schemas.openxmlformats.org/officeDocument/2006/relationships/hyperlink" Target="https://www.fao.org/faostat/en/" TargetMode="External" Id="rId460"/><Relationship Type="http://schemas.openxmlformats.org/officeDocument/2006/relationships/hyperlink" Target="https://data.humdata.org/dataset/food-market-locations" TargetMode="External" Id="rId461"/><Relationship Type="http://schemas.openxmlformats.org/officeDocument/2006/relationships/hyperlink" Target="https://hungermap.wfp.org/" TargetMode="External" Id="rId462"/><Relationship Type="http://schemas.openxmlformats.org/officeDocument/2006/relationships/hyperlink" Target="https://gis-mdc.opendata.arcgis.com/datasets/MDC::commercial-property/about" TargetMode="External" Id="rId463"/><Relationship Type="http://schemas.openxmlformats.org/officeDocument/2006/relationships/hyperlink" Target="https://gis-mdc.opendata.arcgis.com/datasets/MDC::federally-qualified-health-center/about" TargetMode="External" Id="rId464"/><Relationship Type="http://schemas.openxmlformats.org/officeDocument/2006/relationships/hyperlink" Target="https://gis-mdc.opendata.arcgis.com/datasets/MDC::hospital/about" TargetMode="External" Id="rId465"/><Relationship Type="http://schemas.openxmlformats.org/officeDocument/2006/relationships/hyperlink" Target="https://nanda.isr.umich.edu/2026/04/09/12-nanda-datasets-updated-through-2022/" TargetMode="External" Id="rId466"/><Relationship Type="http://schemas.openxmlformats.org/officeDocument/2006/relationships/hyperlink" Target="https://www.fns.usda.gov/snap/retailer-locator" TargetMode="External" Id="rId467"/><Relationship Type="http://schemas.openxmlformats.org/officeDocument/2006/relationships/hyperlink" Target="https://data.humdata.org/dataset/united-republic-of-tanzania-rapid-assessment-survey-of-market-prices" TargetMode="External" Id="rId468"/><Relationship Type="http://schemas.openxmlformats.org/officeDocument/2006/relationships/hyperlink" Target="https://data.humdata.org/dataset/brazil-epidemiological-and-hospital-indicators-on-covid-19-in-ouro-preto" TargetMode="External" Id="rId469"/><Relationship Type="http://schemas.openxmlformats.org/officeDocument/2006/relationships/hyperlink" Target="https://data.humdata.org/dataset/colombia-health-facilities-2021" TargetMode="External" Id="rId470"/><Relationship Type="http://schemas.openxmlformats.org/officeDocument/2006/relationships/hyperlink" Target="https://datasus.saude.gov.br/transferencia-de-arquivos/" TargetMode="External" Id="rId471"/><Relationship Type="http://schemas.openxmlformats.org/officeDocument/2006/relationships/hyperlink" Target="https://atlas.ecdc.europa.eu/public/index.aspx" TargetMode="External" Id="rId472"/><Relationship Type="http://schemas.openxmlformats.org/officeDocument/2006/relationships/hyperlink" Target="https://data.humdata.org/dataset/ethiopian-health-facilities" TargetMode="External" Id="rId473"/><Relationship Type="http://schemas.openxmlformats.org/officeDocument/2006/relationships/hyperlink" Target="https://gateway.euro.who.int/en/" TargetMode="External" Id="rId474"/><Relationship Type="http://schemas.openxmlformats.org/officeDocument/2006/relationships/hyperlink" Target="https://data.humdata.org/dataset/unicef-hva-pmtct-stat-num" TargetMode="External" Id="rId475"/><Relationship Type="http://schemas.openxmlformats.org/officeDocument/2006/relationships/hyperlink" Target="https://data.humdata.org/dataset/hotosm_gha_health_facilities" TargetMode="External" Id="rId476"/><Relationship Type="http://schemas.openxmlformats.org/officeDocument/2006/relationships/hyperlink" Target="https://data.humdata.org/dataset/hotosm_ind_health_facilities" TargetMode="External" Id="rId477"/><Relationship Type="http://schemas.openxmlformats.org/officeDocument/2006/relationships/hyperlink" Target="https://data.humdata.org/dataset/hotosm_idn_health_facilities" TargetMode="External" Id="rId478"/><Relationship Type="http://schemas.openxmlformats.org/officeDocument/2006/relationships/hyperlink" Target="https://data.humdata.org/dataset/hotosm_ken_health_facilities" TargetMode="External" Id="rId479"/><Relationship Type="http://schemas.openxmlformats.org/officeDocument/2006/relationships/hyperlink" Target="https://data.humdata.org/dataset/hotosm_phl_health_facilities" TargetMode="External" Id="rId480"/><Relationship Type="http://schemas.openxmlformats.org/officeDocument/2006/relationships/hyperlink" Target="https://data.humdata.org/dataset/osgeonepal_npl_hospitals" TargetMode="External" Id="rId481"/><Relationship Type="http://schemas.openxmlformats.org/officeDocument/2006/relationships/hyperlink" Target="https://data.malariaatlas.org/" TargetMode="External" Id="rId482"/><Relationship Type="http://schemas.openxmlformats.org/officeDocument/2006/relationships/hyperlink" Target="https://mics.unicef.org/surveys" TargetMode="External" Id="rId483"/><Relationship Type="http://schemas.openxmlformats.org/officeDocument/2006/relationships/hyperlink" Target="https://data.humdata.org/dataset/nigeria-health-facilities" TargetMode="External" Id="rId484"/><Relationship Type="http://schemas.openxmlformats.org/officeDocument/2006/relationships/hyperlink" Target="https://data.humdata.org/dataset/nigeria-hospitals-and-clinics-with-registration-status-and-location" TargetMode="External" Id="rId485"/><Relationship Type="http://schemas.openxmlformats.org/officeDocument/2006/relationships/hyperlink" Target="https://data.humdata.org/dataset/mimu-geonode-public-hospitals-in-myanmar" TargetMode="External" Id="rId486"/><Relationship Type="http://schemas.openxmlformats.org/officeDocument/2006/relationships/hyperlink" Target="https://data.humdata.org/dataset/somalia-health-facilities-data" TargetMode="External" Id="rId487"/><Relationship Type="http://schemas.openxmlformats.org/officeDocument/2006/relationships/hyperlink" Target="https://data.humdata.org/dataset/sudan-prevalence-of-diseases-in-outpatient-clinics-per-state" TargetMode="External" Id="rId488"/><Relationship Type="http://schemas.openxmlformats.org/officeDocument/2006/relationships/hyperlink" Target="https://data.humdata.org/dataset/ugandan-regional-and-general-hospitals" TargetMode="External" Id="rId489"/><Relationship Type="http://schemas.openxmlformats.org/officeDocument/2006/relationships/hyperlink" Target="https://www.icpsr.umich.edu/web/pages/" TargetMode="External" Id="rId490"/><Relationship Type="http://schemas.openxmlformats.org/officeDocument/2006/relationships/hyperlink" Target="https://n3c.ncats.nih.gov/" TargetMode="External" Id="rId491"/><Relationship Type="http://schemas.openxmlformats.org/officeDocument/2006/relationships/hyperlink" Target="https://www.start.umd.edu/gtd/" TargetMode="External" Id="rId492"/><Relationship Type="http://schemas.openxmlformats.org/officeDocument/2006/relationships/hyperlink" Target="https://gis-mdc.opendata.arcgis.com/documents/MDC::2015-miami-dade-county-dem-10ft/about" TargetMode="External" Id="rId493"/><Relationship Type="http://schemas.openxmlformats.org/officeDocument/2006/relationships/hyperlink" Target="https://geosnirh.ana.gob.pe/server/rest/services/P%C3%BAblico/Glaciares/MapServer" TargetMode="External" Id="rId494"/><Relationship Type="http://schemas.openxmlformats.org/officeDocument/2006/relationships/hyperlink" Target="https://data.apps.fao.org/" TargetMode="External" Id="rId495"/><Relationship Type="http://schemas.openxmlformats.org/officeDocument/2006/relationships/hyperlink" Target="https://datacochageoespacial.inaigem.gob.pe/geonetwork/srv/spa/catalog.search#/metadata/0b17e18e-2622-4158-9cc5-a31a587743df" TargetMode="External" Id="rId496"/><Relationship Type="http://schemas.openxmlformats.org/officeDocument/2006/relationships/hyperlink" Target="https://geosnirh.ana.gob.pe/server/rest/services/P%C3%BAblico/Lagunas/MapServer/36" TargetMode="External" Id="rId497"/><Relationship Type="http://schemas.openxmlformats.org/officeDocument/2006/relationships/hyperlink" Target="https://gis-mdc.opendata.arcgis.com/datasets/MDC::water-p/about" TargetMode="External" Id="rId498"/><Relationship Type="http://schemas.openxmlformats.org/officeDocument/2006/relationships/hyperlink" Target="https://digital.nhs.uk/services/organisation-data-service/export-data-files/csv-downloads/gp-and-gp-practice-related-data" TargetMode="External" Id="rId499"/><Relationship Type="http://schemas.openxmlformats.org/officeDocument/2006/relationships/hyperlink" Target="https://geosnirh.ana.gob.pe/server/rest/services/P%C3%BAblico/Rios/MapServer/37" TargetMode="External" Id="rId500"/><Relationship Type="http://schemas.openxmlformats.org/officeDocument/2006/relationships/hyperlink" Target="https://dataverse.harvard.edu/dataverse/ciesin" TargetMode="External" Id="rId501"/><Relationship Type="http://schemas.openxmlformats.org/officeDocument/2006/relationships/hyperlink" Target="https://dataverse.harvard.edu/" TargetMode="External" Id="rId502"/><Relationship Type="http://schemas.openxmlformats.org/officeDocument/2006/relationships/hyperlink" Target="https://hhearprogram.org/" TargetMode="External" Id="rId503"/><Relationship Type="http://schemas.openxmlformats.org/officeDocument/2006/relationships/hyperlink" Target="https://datosabiertos.bogota.gov.co/dataset/estratificacion-para-bogota" TargetMode="External" Id="rId504"/><Relationship Type="http://schemas.openxmlformats.org/officeDocument/2006/relationships/hyperlink" Target="https://www.huduser.gov/portal/datasets/usps.html" TargetMode="External" Id="rId505"/><Relationship Type="http://schemas.openxmlformats.org/officeDocument/2006/relationships/hyperlink" Target="https://hudgis-hud.opendata.arcgis.com/" TargetMode="External" Id="rId506"/><Relationship Type="http://schemas.openxmlformats.org/officeDocument/2006/relationships/hyperlink" Target="https://www.istat.it/produzione-editoriale/le-misure-della-vulnerabilita-unapplicazione-a-diversi-ambiti-territoriali" TargetMode="External" Id="rId507"/><Relationship Type="http://schemas.openxmlformats.org/officeDocument/2006/relationships/hyperlink" Target="https://data.humdata.org/dataset/kenya-household-income-statistics-in-bomet-county" TargetMode="External" Id="rId508"/><Relationship Type="http://schemas.openxmlformats.org/officeDocument/2006/relationships/hyperlink" Target="https://www.huduser.gov/portal/datasets/lihtc.html" TargetMode="External" Id="rId509"/><Relationship Type="http://schemas.openxmlformats.org/officeDocument/2006/relationships/hyperlink" Target="https://www.inspq.qc.ca/en/deprivation/material-and-social-deprivation-index" TargetMode="External" Id="rId510"/><Relationship Type="http://schemas.openxmlformats.org/officeDocument/2006/relationships/hyperlink" Target="https://gis-mdc.opendata.arcgis.com/datasets/MDC::community-redevelopment-area/about" TargetMode="External" Id="rId511"/><Relationship Type="http://schemas.openxmlformats.org/officeDocument/2006/relationships/hyperlink" Target="https://gis-mdc.opendata.arcgis.com/datasets/MDC::qualified-opportunity-zones/about" TargetMode="External" Id="rId512"/><Relationship Type="http://schemas.openxmlformats.org/officeDocument/2006/relationships/hyperlink" Target="https://nanda.isr.umich.edu/data/" TargetMode="External" Id="rId513"/><Relationship Type="http://schemas.openxmlformats.org/officeDocument/2006/relationships/hyperlink" Target="https://nanda.isr.umich.edu/2026/04/09/12-nanda-datasets-updated-through-2022/" TargetMode="External" Id="rId514"/><Relationship Type="http://schemas.openxmlformats.org/officeDocument/2006/relationships/hyperlink" Target="https://www.icpsr.umich.edu/web/ICPSR/studies/38528" TargetMode="External" Id="rId515"/><Relationship Type="http://schemas.openxmlformats.org/officeDocument/2006/relationships/hyperlink" Target="https://www.otago.ac.nz/wellington/departments/publichealth/research/hirp/socioeconomic-deprivation-indexes-nzdep-and-nzidep-department-of-public-health" TargetMode="External" Id="rId516"/><Relationship Type="http://schemas.openxmlformats.org/officeDocument/2006/relationships/hyperlink" Target="https://www.oecd.org/en/data/datasets/regional-statistics-database.html" TargetMode="External" Id="rId517"/><Relationship Type="http://schemas.openxmlformats.org/officeDocument/2006/relationships/hyperlink" Target="https://www.huduser.gov/portal/datasets/assthsg.html" TargetMode="External" Id="rId518"/><Relationship Type="http://schemas.openxmlformats.org/officeDocument/2006/relationships/hyperlink" Target="https://www.pobal.ie/pobal-hp-deprivation-index/" TargetMode="External" Id="rId519"/><Relationship Type="http://schemas.openxmlformats.org/officeDocument/2006/relationships/hyperlink" Target="https://data.cms.gov/provider-characteristics/hospitals-and-other-facilities/provider-of-services-file-hospital-non-hospital-facilities" TargetMode="External" Id="rId520"/><Relationship Type="http://schemas.openxmlformats.org/officeDocument/2006/relationships/hyperlink" Target="https://hudgis-hud.opendata.arcgis.com/datasets/HUD::public-housing-developments-1/about" TargetMode="External" Id="rId521"/><Relationship Type="http://schemas.openxmlformats.org/officeDocument/2006/relationships/hyperlink" Target="https://www.gov.scot/collections/scottish-index-of-multiple-deprivation-2020/" TargetMode="External" Id="rId522"/><Relationship Type="http://schemas.openxmlformats.org/officeDocument/2006/relationships/hyperlink" Target="https://unstats.un.org/sdgs/dataportal" TargetMode="External" Id="rId523"/><Relationship Type="http://schemas.openxmlformats.org/officeDocument/2006/relationships/hyperlink" Target="https://www.zillow.com/research/data/" TargetMode="External" Id="rId524"/><Relationship Type="http://schemas.openxmlformats.org/officeDocument/2006/relationships/hyperlink" Target="https://geodata.dep.state.fl.us/datasets/FDEP::florida-superfund-waste-cleanup-sites/about" TargetMode="External" Id="rId525"/><Relationship Type="http://schemas.openxmlformats.org/officeDocument/2006/relationships/hyperlink" Target="https://www.nrdc.org/resources/lead-pipes-are-widespread-and-used-every-state" TargetMode="External" Id="rId526"/><Relationship Type="http://schemas.openxmlformats.org/officeDocument/2006/relationships/hyperlink" Target="https://gis-mdc.opendata.arcgis.com/datasets/MDC::brownfield/about" TargetMode="External" Id="rId527"/><Relationship Type="http://schemas.openxmlformats.org/officeDocument/2006/relationships/hyperlink" Target="https://gis-mdc.opendata.arcgis.com/datasets/MDC::super-fund-site/about" TargetMode="External" Id="rId528"/><Relationship Type="http://schemas.openxmlformats.org/officeDocument/2006/relationships/hyperlink" Target="https://rcrapublic.epa.gov/rcra-public-export" TargetMode="External" Id="rId529"/><Relationship Type="http://schemas.openxmlformats.org/officeDocument/2006/relationships/hyperlink" Target="https://www.ams.usda.gov/datasets/pdp" TargetMode="External" Id="rId530"/><Relationship Type="http://schemas.openxmlformats.org/officeDocument/2006/relationships/hyperlink" Target="https://mapas.ine.pt/download/index2021.phtml" TargetMode="External" Id="rId531"/><Relationship Type="http://schemas.openxmlformats.org/officeDocument/2006/relationships/hyperlink" Target="https://arcgis4.inei.gob.pe:6443/arcgis/rest/services/VISOR_DE_MAPAS/VISOR_DE_INDICADOR_GEOESPACIAL_A/MapServer/0" TargetMode="External" Id="rId532"/><Relationship Type="http://schemas.openxmlformats.org/officeDocument/2006/relationships/hyperlink" Target="https://ec.europa.eu/eurostat/web/gisco/geodata/statistical-units/urban-audit" TargetMode="External" Id="rId533"/><Relationship Type="http://schemas.openxmlformats.org/officeDocument/2006/relationships/hyperlink" Target="https://sg.geodatenzentrum.de/web_public/gdz/lizenz/eng/nutzungsbedingungen_vg250_eng.pdf" TargetMode="External" Id="rId534"/><Relationship Type="http://schemas.openxmlformats.org/officeDocument/2006/relationships/hyperlink" Target="https://gis-mdc.opendata.arcgis.com/datasets/MDC::park-facility" TargetMode="External" Id="rId535"/><Relationship Type="http://schemas.openxmlformats.org/officeDocument/2006/relationships/hyperlink" Target="https://www.walkscore.com/professional/research.php" TargetMode="External" Id="rId536"/><Relationship Type="http://schemas.openxmlformats.org/officeDocument/2006/relationships/hyperlink" Target="https://africapolis.org/en/data" TargetMode="External" Id="rId537"/><Relationship Type="http://schemas.openxmlformats.org/officeDocument/2006/relationships/hyperlink" Target="https://www.globio.info/download-grip-dataset" TargetMode="External" Id="rId538"/><Relationship Type="http://schemas.openxmlformats.org/officeDocument/2006/relationships/hyperlink" Target="https://www.earthdata.nasa.gov/data/catalog/esdis-ciesin-sedac-grumpv1-ext02-1.02" TargetMode="External" Id="rId539"/><Relationship Type="http://schemas.openxmlformats.org/officeDocument/2006/relationships/hyperlink" Target="https://github.com/microsoft/USBuildingFootprints" TargetMode="External" Id="rId540"/><Relationship Type="http://schemas.openxmlformats.org/officeDocument/2006/relationships/hyperlink" Target="https://www.ncei.noaa.gov/access/monitoring/climate-at-a-glance/county/time-series" TargetMode="External" Id="rId541"/><Relationship Type="http://schemas.openxmlformats.org/officeDocument/2006/relationships/hyperlink" Target="https://geospatial.yale.edu/research/global-surface-uhi-explorer" TargetMode="External" Id="rId542"/><Relationship Type="http://schemas.openxmlformats.org/officeDocument/2006/relationships/hyperlink" Target="https://www.data.gov.uk/dataset/50545819-8149-4999-9d9f-c082e7234257/risk-of-flooding-from-rivers-and-sea-key-summary-information" TargetMode="External" Id="rId543"/><Relationship Type="http://schemas.openxmlformats.org/officeDocument/2006/relationships/hyperlink" Target="https://www.ncei.noaa.gov/access/billions/" TargetMode="External" Id="rId544"/><Relationship Type="http://schemas.openxmlformats.org/officeDocument/2006/relationships/hyperlink" Target="https://stat.fi/tup/paavo/index_en.html" TargetMode="External" Id="rId545"/><Relationship Type="http://schemas.openxmlformats.org/officeDocument/2006/relationships/hyperlink" Target="https://www.pbs.gov.pk/digital-census/detailed-results" TargetMode="External" Id="rId546"/><Relationship Type="http://schemas.openxmlformats.org/officeDocument/2006/relationships/hyperlink" Target="https://www.nomisweb.co.uk/sources/census_2021" TargetMode="External" Id="rId547"/><Relationship Type="http://schemas.openxmlformats.org/officeDocument/2006/relationships/hyperlink" Target="https://www.airnow.gov/international/us-embassies-and-consulates/" TargetMode="External" Id="rId548"/><Relationship Type="http://schemas.openxmlformats.org/officeDocument/2006/relationships/hyperlink" Target="https://www.ciesin.columbia.edu/data/aqdh/pm25component-EC-NH4-NO3-OC-SO4-2000-2019" TargetMode="External" Id="rId549"/><Relationship Type="http://schemas.openxmlformats.org/officeDocument/2006/relationships/hyperlink" Target="https://sedac.ciesin.columbia.edu/data/set/aqdh-pm2-5-concentrations-contiguous-us-1-km-2000-2016" TargetMode="External" Id="rId550"/><Relationship Type="http://schemas.openxmlformats.org/officeDocument/2006/relationships/hyperlink" Target="https://www.elapseproject.eu/" TargetMode="External" Id="rId551"/><Relationship Type="http://schemas.openxmlformats.org/officeDocument/2006/relationships/hyperlink" Target="https://www.epa.gov/radon/epa-map-radon-zones" TargetMode="External" Id="rId552"/><Relationship Type="http://schemas.openxmlformats.org/officeDocument/2006/relationships/hyperlink" Target="https://uk-air.defra.gov.uk/data/pcm-data" TargetMode="External" Id="rId553"/><Relationship Type="http://schemas.openxmlformats.org/officeDocument/2006/relationships/hyperlink" Target="https://land.copernicus.eu/en/products/vegetation/normalised-difference-vegetation-index-v3-0-1km" TargetMode="External" Id="rId554"/><Relationship Type="http://schemas.openxmlformats.org/officeDocument/2006/relationships/hyperlink" Target="https://catalog.data.gov/dataset/cancer-rates" TargetMode="External" Id="rId555"/><Relationship Type="http://schemas.openxmlformats.org/officeDocument/2006/relationships/hyperlink" Target="https://www.healthdata.org/research-analysis/health-risks-issues/local-burden-disease" TargetMode="External" Id="rId556"/><Relationship Type="http://schemas.openxmlformats.org/officeDocument/2006/relationships/hyperlink" Target="https://catalog.data.gov/dataset/public-health-statistics-life-expectancy-by-community-area-historical" TargetMode="External" Id="rId557"/><Relationship Type="http://schemas.openxmlformats.org/officeDocument/2006/relationships/hyperlink" Target="https://catalog.data.gov/dataset/public-health-statistics-selected-public-health-indicators-by-chicago-community-area-histo" TargetMode="External" Id="rId558"/><Relationship Type="http://schemas.openxmlformats.org/officeDocument/2006/relationships/hyperlink" Target="https://www.cdc.gov/diabetes/php/data-research/data-and-statistics-faqs.html" TargetMode="External" Id="rId559"/><Relationship Type="http://schemas.openxmlformats.org/officeDocument/2006/relationships/hyperlink" Target="https://longitools.org/" TargetMode="External" Id="rId560"/><Relationship Type="http://schemas.openxmlformats.org/officeDocument/2006/relationships/hyperlink" Target="https://www150.statcan.gc.ca/n1/en/catalogue/92-154-X" TargetMode="External" Id="rId561"/><Relationship Type="http://schemas.openxmlformats.org/officeDocument/2006/relationships/hyperlink" Target="https://www.cbs.gov.il/en/subjects/Pages/Statistical-Areas.aspx" TargetMode="External" Id="rId562"/><Relationship Type="http://schemas.openxmlformats.org/officeDocument/2006/relationships/hyperlink" Target="https://globaldatalab.org/areadata/" TargetMode="External" Id="rId563"/><Relationship Type="http://schemas.openxmlformats.org/officeDocument/2006/relationships/hyperlink" Target="https://www.rki.de/DE/Themen/Gesundheit-und-Gesellschaft/Soziale-Lage/German-Index-of-Socioeconomic-Deprivation/gisd-node.html" TargetMode="External" Id="rId564"/><Relationship Type="http://schemas.openxmlformats.org/officeDocument/2006/relationships/hyperlink" Target="https://catalog.data.gov/dataset/heat-vulnerability-by-census-tract" TargetMode="External" Id="rId565"/><Relationship Type="http://schemas.openxmlformats.org/officeDocument/2006/relationships/hyperlink" Target="https://hudgis-hud.opendata.arcgis.com/datasets/b7ffe3607e8c4212bf7cf2428208dbb6" TargetMode="External" Id="rId566"/><Relationship Type="http://schemas.openxmlformats.org/officeDocument/2006/relationships/hyperlink" Target="https://www.atsdr.cdc.gov/ntsip/docs/2014DictionaryWEB.docx" TargetMode="External" Id="rId567"/><Relationship Type="http://schemas.openxmlformats.org/officeDocument/2006/relationships/hyperlink" Target="https://catalog.data.gov/dataset/npl-superfund-site-boundaries-epa" TargetMode="External" Id="rId568"/><Relationship Type="http://schemas.openxmlformats.org/officeDocument/2006/relationships/hyperlink" Target="https://www.pureearth.org/lead-pollution-map/" TargetMode="External" Id="rId569"/><Relationship Type="http://schemas.openxmlformats.org/officeDocument/2006/relationships/hyperlink" Target="https://atlas.eia.gov/datasets/eia::nuclear/about" TargetMode="External" Id="rId570"/><Relationship Type="http://schemas.openxmlformats.org/officeDocument/2006/relationships/hyperlink" Target="https://www.census.gov/library/working-papers/2021/demo/SEHSD-WP2021-03.html" TargetMode="External" Id="rId571"/><Relationship Type="http://schemas.openxmlformats.org/officeDocument/2006/relationships/hyperlink" Target="https://www.earthdata.nasa.gov/data/projects/cyan" TargetMode="External" Id="rId572"/><Relationship Type="http://schemas.openxmlformats.org/officeDocument/2006/relationships/hyperlink" Target="https://diva-gis.org/data.html" TargetMode="External" Id="rId573"/><Relationship Type="http://schemas.openxmlformats.org/officeDocument/2006/relationships/hyperlink" Target="https://aqs.epa.gov/aqsweb/airdata/download_files.html" TargetMode="External" Id="rId574"/><Relationship Type="http://schemas.openxmlformats.org/officeDocument/2006/relationships/hyperlink" Target="https://www.epa.gov/dwucmr/occurrence-data-unregulated-contaminant-monitoring-rule" TargetMode="External" Id="rId575"/><Relationship Type="http://schemas.openxmlformats.org/officeDocument/2006/relationships/hyperlink" Target="https://spatialdata.dhsprogram.com/home/" TargetMode="External" Id="rId576"/><Relationship Type="http://schemas.openxmlformats.org/officeDocument/2006/relationships/hyperlink" Target="https://www.epa.gov/dwucmr/occurrence-data-unregulated-contaminant-monitoring-rule" TargetMode="External" Id="rId577"/><Relationship Type="http://schemas.openxmlformats.org/officeDocument/2006/relationships/hyperlink" Target="https://air.discomap.eea.europa.eu/arcgis/rest/services/AirQuality/AirQualityDownloadServiceEUMonitoringStations/MapServer" TargetMode="External" Id="rId578"/><Relationship Type="http://schemas.openxmlformats.org/officeDocument/2006/relationships/hyperlink" Target="https://api.dhsprogram.com/" TargetMode="External" Id="rId579"/><Relationship Type="http://schemas.openxmlformats.org/officeDocument/2006/relationships/hyperlink" Target="https://doi.org/10.60541/235t-fj52" TargetMode="External" Id="rId580"/><Relationship Type="http://schemas.openxmlformats.org/officeDocument/2006/relationships/hyperlink" Target="https://doi.org/10.60541/y7q0-ms78" TargetMode="External" Id="rId581"/><Relationship Type="http://schemas.openxmlformats.org/officeDocument/2006/relationships/hyperlink" Target="https://doi.org/10.60541/kshg-k144" TargetMode="External" Id="rId582"/><Relationship Type="http://schemas.openxmlformats.org/officeDocument/2006/relationships/hyperlink" Target="https://doi.org/10.60541/rq4m-pk67" TargetMode="External" Id="rId583"/><Relationship Type="http://schemas.openxmlformats.org/officeDocument/2006/relationships/hyperlink" Target="https://doi.org/10.60541/tq0g-2c27" TargetMode="External" Id="rId584"/><Relationship Type="http://schemas.openxmlformats.org/officeDocument/2006/relationships/hyperlink" Target="https://doi.org/10.60541/ethb-2t35" TargetMode="External" Id="rId585"/><Relationship Type="http://schemas.openxmlformats.org/officeDocument/2006/relationships/hyperlink" Target="https://doi.org/10.60541/snt6-m904" TargetMode="External" Id="rId586"/><Relationship Type="http://schemas.openxmlformats.org/officeDocument/2006/relationships/hyperlink" Target="https://doi.org/10.60541/26gc-yv35" TargetMode="External" Id="rId587"/><Relationship Type="http://schemas.openxmlformats.org/officeDocument/2006/relationships/hyperlink" Target="https://doi.org/10.60541/fe0h-sx30" TargetMode="External" Id="rId588"/><Relationship Type="http://schemas.openxmlformats.org/officeDocument/2006/relationships/hyperlink" Target="https://doi.org/10.3886/icpsr37363" TargetMode="External" Id="rId589"/><Relationship Type="http://schemas.openxmlformats.org/officeDocument/2006/relationships/hyperlink" Target="https://doi.org/10.3886/e204041" TargetMode="External" Id="rId590"/><Relationship Type="http://schemas.openxmlformats.org/officeDocument/2006/relationships/hyperlink" Target="https://doi.org/10.3886/e119446" TargetMode="External" Id="rId591"/><Relationship Type="http://schemas.openxmlformats.org/officeDocument/2006/relationships/hyperlink" Target="https://doi.org/10.7910/dvn/mlhfaf" TargetMode="External" Id="rId592"/><Relationship Type="http://schemas.openxmlformats.org/officeDocument/2006/relationships/hyperlink" Target="https://doi.org/10.7910/dvn/wtnahq" TargetMode="External" Id="rId593"/><Relationship Type="http://schemas.openxmlformats.org/officeDocument/2006/relationships/hyperlink" Target="https://doi.org/10.7910/dvn/0ljjoj" TargetMode="External" Id="rId594"/><Relationship Type="http://schemas.openxmlformats.org/officeDocument/2006/relationships/hyperlink" Target="https://doi.org/10.7910/dvn/rkrw8q" TargetMode="External" Id="rId595"/><Relationship Type="http://schemas.openxmlformats.org/officeDocument/2006/relationships/hyperlink" Target="https://doi.org/10.57966/tk74-ep75" TargetMode="External" Id="rId596"/><Relationship Type="http://schemas.openxmlformats.org/officeDocument/2006/relationships/hyperlink" Target="https://doi.org/10.3886/e224321" TargetMode="External" Id="rId597"/><Relationship Type="http://schemas.openxmlformats.org/officeDocument/2006/relationships/hyperlink" Target="https://doi.org/10.71646/aqjlzz" TargetMode="External" Id="rId598"/><Relationship Type="http://schemas.openxmlformats.org/officeDocument/2006/relationships/hyperlink" Target="https://doi.org/10.71646/uf5ewr" TargetMode="External" Id="rId599"/><Relationship Type="http://schemas.openxmlformats.org/officeDocument/2006/relationships/hyperlink" Target="https://doi.org/10.71646/ljsccn" TargetMode="External" Id="rId600"/><Relationship Type="http://schemas.openxmlformats.org/officeDocument/2006/relationships/hyperlink" Target="https://doi.org/10.23719/1366973" TargetMode="External" Id="rId601"/><Relationship Type="http://schemas.openxmlformats.org/officeDocument/2006/relationships/hyperlink" Target="https://doi.org/10.25921/wzk1-r208" TargetMode="External" Id="rId602"/><Relationship Type="http://schemas.openxmlformats.org/officeDocument/2006/relationships/hyperlink" Target="https://doi.org/10.25921/q053-h813" TargetMode="External" Id="rId603"/><Relationship Type="http://schemas.openxmlformats.org/officeDocument/2006/relationships/hyperlink" Target="https://doi.org/10.6073/pasta/12b922a74c9efc87403fca24bdca05b7" TargetMode="External" Id="rId604"/><Relationship Type="http://schemas.openxmlformats.org/officeDocument/2006/relationships/hyperlink" Target="https://doi.org/10.17632/66dm3vs3g2" TargetMode="External" Id="rId605"/><Relationship Type="http://schemas.openxmlformats.org/officeDocument/2006/relationships/hyperlink" Target="https://doi.org/10.25380/iastate.28025432" TargetMode="External" Id="rId606"/><Relationship Type="http://schemas.openxmlformats.org/officeDocument/2006/relationships/hyperlink" Target="https://doi.org/10.17632/hy28gb37tg" TargetMode="External" Id="rId607"/><Relationship Type="http://schemas.openxmlformats.org/officeDocument/2006/relationships/hyperlink" Target="https://doi.org/10.5281/zenodo.23113632" TargetMode="External" Id="rId608"/><Relationship Type="http://schemas.openxmlformats.org/officeDocument/2006/relationships/hyperlink" Target="https://doi.org/10.25903/pase-na93" TargetMode="External" Id="rId609"/><Relationship Type="http://schemas.openxmlformats.org/officeDocument/2006/relationships/hyperlink" Target="https://doi.org/10.5067/modis/mod11a1.061" TargetMode="External" Id="rId610"/><Relationship Type="http://schemas.openxmlformats.org/officeDocument/2006/relationships/hyperlink" Target="https://doi.org/10.5067/viirs/vnp21a1d.001" TargetMode="External" Id="rId611"/><Relationship Type="http://schemas.openxmlformats.org/officeDocument/2006/relationships/hyperlink" Target="https://doi.org/10.25921/c4gt-r169" TargetMode="External" Id="rId612"/><Relationship Type="http://schemas.openxmlformats.org/officeDocument/2006/relationships/hyperlink" Target="https://doi.org/10.7910/dvn/djgkdj" TargetMode="External" Id="rId613"/><Relationship Type="http://schemas.openxmlformats.org/officeDocument/2006/relationships/hyperlink" Target="https://doi.org/10.7927/fq7g-ny13" TargetMode="External" Id="rId614"/><Relationship Type="http://schemas.openxmlformats.org/officeDocument/2006/relationships/hyperlink" Target="https://doi.org/10.5281/zenodo.15199025" TargetMode="External" Id="rId615"/><Relationship Type="http://schemas.openxmlformats.org/officeDocument/2006/relationships/hyperlink" Target="https://doi.org/10.5285/2d1613955e1b4cd1b156e5f3edbd7e66" TargetMode="External" Id="rId616"/><Relationship Type="http://schemas.openxmlformats.org/officeDocument/2006/relationships/hyperlink" Target="https://doi.org/10.5281/zenodo.15187724" TargetMode="External" Id="rId617"/><Relationship Type="http://schemas.openxmlformats.org/officeDocument/2006/relationships/hyperlink" Target="https://doi.org/10.6084/m9.figshare.24821538" TargetMode="External" Id="rId618"/><Relationship Type="http://schemas.openxmlformats.org/officeDocument/2006/relationships/hyperlink" Target="https://doi.org/10.5281/zenodo.6559121" TargetMode="External" Id="rId619"/><Relationship Type="http://schemas.openxmlformats.org/officeDocument/2006/relationships/hyperlink" Target="https://doi.org/10.5281/zenodo.17644686" TargetMode="External" Id="rId620"/><Relationship Type="http://schemas.openxmlformats.org/officeDocument/2006/relationships/hyperlink" Target="https://doi.org/10.25919/5d8adf30f001e" TargetMode="External" Id="rId621"/><Relationship Type="http://schemas.openxmlformats.org/officeDocument/2006/relationships/hyperlink" Target="https://doi.org/10.3886/e210581" TargetMode="External" Id="rId622"/><Relationship Type="http://schemas.openxmlformats.org/officeDocument/2006/relationships/hyperlink" Target="https://doi.org/10.7910/dvn/arbhpk" TargetMode="External" Id="rId623"/><Relationship Type="http://schemas.openxmlformats.org/officeDocument/2006/relationships/hyperlink" Target="https://doi.org/10.7910/dvn/vosv99" TargetMode="External" Id="rId624"/><Relationship Type="http://schemas.openxmlformats.org/officeDocument/2006/relationships/hyperlink" Target="https://doi.org/10.25614/ndi_2010_trt_allstates" TargetMode="External" Id="rId625"/><Relationship Type="http://schemas.openxmlformats.org/officeDocument/2006/relationships/hyperlink" Target="https://doi.org/10.25417/uic.28684901.v1" TargetMode="External" Id="rId626"/><Relationship Type="http://schemas.openxmlformats.org/officeDocument/2006/relationships/hyperlink" Target="https://doi.org/10.5281/zenodo.22974765" TargetMode="External" Id="rId627"/><Relationship Type="http://schemas.openxmlformats.org/officeDocument/2006/relationships/hyperlink" Target="https://doi.org/10.5525/gla.researchdata.980" TargetMode="External" Id="rId628"/><Relationship Type="http://schemas.openxmlformats.org/officeDocument/2006/relationships/hyperlink" Target="https://doi.org/10.71646/6jgclo" TargetMode="External" Id="rId629"/><Relationship Type="http://schemas.openxmlformats.org/officeDocument/2006/relationships/hyperlink" Target="https://doi.org/10.2908/ilc_mddd21" TargetMode="External" Id="rId630"/><Relationship Type="http://schemas.openxmlformats.org/officeDocument/2006/relationships/hyperlink" Target="https://data.cms.gov/provider-data/dataset/hbf-map" TargetMode="External" Id="rId631"/><Relationship Type="http://schemas.openxmlformats.org/officeDocument/2006/relationships/hyperlink" Target="https://data.cms.gov/provider-data/dataset/7t8x-u3ir" TargetMode="External" Id="rId632"/><Relationship Type="http://schemas.openxmlformats.org/officeDocument/2006/relationships/hyperlink" Target="https://data.cms.gov/provider-data/dataset/azum-44iv" TargetMode="External" Id="rId633"/><Relationship Type="http://schemas.openxmlformats.org/officeDocument/2006/relationships/hyperlink" Target="https://data.cms.gov/provider-data/dataset/uyx4-5s7f" TargetMode="External" Id="rId634"/><Relationship Type="http://schemas.openxmlformats.org/officeDocument/2006/relationships/hyperlink" Target="https://data.cms.gov/provider-data/dataset/z8ax-x9j1" TargetMode="External" Id="rId635"/><Relationship Type="http://schemas.openxmlformats.org/officeDocument/2006/relationships/hyperlink" Target="https://data.cms.gov/provider-data/dataset/m5eg-upu5" TargetMode="External" Id="rId636"/><Relationship Type="http://schemas.openxmlformats.org/officeDocument/2006/relationships/hyperlink" Target="https://data.cms.gov/provider-data/dataset/95rg-2usp" TargetMode="External" Id="rId637"/><Relationship Type="http://schemas.openxmlformats.org/officeDocument/2006/relationships/hyperlink" Target="https://pdaps.org/datasets/pdmp-mandates" TargetMode="External" Id="rId638"/><Relationship Type="http://schemas.openxmlformats.org/officeDocument/2006/relationships/hyperlink" Target="https://pdaps.org/datasets/good-samaritan-overdose-laws-1501695153" TargetMode="External" Id="rId639"/><Relationship Type="http://schemas.openxmlformats.org/officeDocument/2006/relationships/hyperlink" Target="https://pdaps.org/datasets/opioid-analgesics-prescribing-limits" TargetMode="External" Id="rId640"/><Relationship Type="http://schemas.openxmlformats.org/officeDocument/2006/relationships/hyperlink" Target="https://pdaps.org/datasets/laws-regulating-administration-of-naloxone-1501695139" TargetMode="External" Id="rId641"/><Relationship Type="http://schemas.openxmlformats.org/officeDocument/2006/relationships/hyperlink" Target="https://pdaps.org/datasets/syringe-services-programs-laws" TargetMode="External" Id="rId642"/><Relationship Type="http://schemas.openxmlformats.org/officeDocument/2006/relationships/hyperlink" Target="https://pdaps.org/datasets/pdmp-implementation-dates" TargetMode="External" Id="rId643"/><Relationship Type="http://schemas.openxmlformats.org/officeDocument/2006/relationships/hyperlink" Target="https://pdaps.org/datasets/medicaid-expansion-1115-waivers" TargetMode="External" Id="rId644"/><Relationship Type="http://schemas.openxmlformats.org/officeDocument/2006/relationships/hyperlink" Target="https://pdaps.org/datasets/drugged-driving-laws" TargetMode="External" Id="rId645"/><Relationship Type="http://schemas.openxmlformats.org/officeDocument/2006/relationships/hyperlink" Target="https://pdaps.org/datasets/pain-management-clinic-laws" TargetMode="External" Id="rId646"/><Relationship Type="http://schemas.openxmlformats.org/officeDocument/2006/relationships/hyperlink" Target="https://lawatlas.org/datasets/prescription-drug-monitoring-program-laws-reporting-mandates-access-2014-2023" TargetMode="External" Id="rId647"/><Relationship Type="http://schemas.openxmlformats.org/officeDocument/2006/relationships/hyperlink" Target="https://lawatlas.org/datasets/state-hiv-criminalization-laws" TargetMode="External" Id="rId648"/><Relationship Type="http://schemas.openxmlformats.org/officeDocument/2006/relationships/hyperlink" Target="https://lawatlas.org/datasets/state-minors-consent-laws" TargetMode="External" Id="rId649"/><Relationship Type="http://schemas.openxmlformats.org/officeDocument/2006/relationships/hyperlink" Target="https://lawatlas.org/datasets/state-laboratory-reporting-laws" TargetMode="External" Id="rId650"/><Relationship Type="http://schemas.openxmlformats.org/officeDocument/2006/relationships/hyperlink" Target="https://lawatlas.org/datasets/state-perinatal-hiv-testing-laws" TargetMode="External" Id="rId651"/><Relationship Type="http://schemas.openxmlformats.org/officeDocument/2006/relationships/hyperlink" Target="https://lawatlas.org/datasets/state-minimum-wage-laws" TargetMode="External" Id="rId652"/><Relationship Type="http://schemas.openxmlformats.org/officeDocument/2006/relationships/hyperlink" Target="https://lawatlas.org/datasets/local-eviction-laws" TargetMode="External" Id="rId653"/><Relationship Type="http://schemas.openxmlformats.org/officeDocument/2006/relationships/hyperlink" Target="https://lawatlas.org/datasets/hia-bills" TargetMode="External" Id="rId654"/><Relationship Type="http://schemas.openxmlformats.org/officeDocument/2006/relationships/hyperlink" Target="https://doi.org/10.3886/ICPSR38580" TargetMode="External" Id="rId655"/><Relationship Type="http://schemas.openxmlformats.org/officeDocument/2006/relationships/hyperlink" Target="https://doi.org/10.3886/ICPSR38586" TargetMode="External" Id="rId656"/><Relationship Type="http://schemas.openxmlformats.org/officeDocument/2006/relationships/hyperlink" Target="https://doi.org/10.3886/ICPSR38585" TargetMode="External" Id="rId657"/><Relationship Type="http://schemas.openxmlformats.org/officeDocument/2006/relationships/hyperlink" Target="https://doi.org/10.3886/ICPSR38597" TargetMode="External" Id="rId658"/><Relationship Type="http://schemas.openxmlformats.org/officeDocument/2006/relationships/hyperlink" Target="https://doi.org/10.3886/ICPSR38605" TargetMode="External" Id="rId659"/><Relationship Type="http://schemas.openxmlformats.org/officeDocument/2006/relationships/hyperlink" Target="https://doi.org/10.3886/ICPSR200038" TargetMode="External" Id="rId660"/><Relationship Type="http://schemas.openxmlformats.org/officeDocument/2006/relationships/hyperlink" Target="https://doi.org/10.3886/e208684" TargetMode="External" Id="rId661"/><Relationship Type="http://schemas.openxmlformats.org/officeDocument/2006/relationships/hyperlink" Target="https://doi.org/10.3886/e208207" TargetMode="External" Id="rId662"/><Relationship Type="http://schemas.openxmlformats.org/officeDocument/2006/relationships/hyperlink" Target="https://dirac.iaea.org/" TargetMode="External" Id="rId663"/><Relationship Type="http://schemas.openxmlformats.org/officeDocument/2006/relationships/hyperlink" Target="https://dirac.iaea.org/Query/Countries" TargetMode="External" Id="rId664"/><Relationship Type="http://schemas.openxmlformats.org/officeDocument/2006/relationships/hyperlink" Target="https://dirac.iaea.org/Query/EquipmentAge" TargetMode="External" Id="rId665"/></Relationships>
</file>

<file path=xl/worksheets/_rels/sheet4.xml.rels><Relationships xmlns="http://schemas.openxmlformats.org/package/2006/relationships"><Relationship Type="http://schemas.openxmlformats.org/officeDocument/2006/relationships/hyperlink" Target="https://doi.org/10.7910/dvn/arbhpk" TargetMode="External" Id="rId1"/><Relationship Type="http://schemas.openxmlformats.org/officeDocument/2006/relationships/hyperlink" Target="https://doi.org/10.5281/zenodo.23113632" TargetMode="External" Id="rId2"/><Relationship Type="http://schemas.openxmlformats.org/officeDocument/2006/relationships/hyperlink" Target="https://data.cms.gov/provider-data/dataset/hbf-map" TargetMode="External" Id="rId3"/><Relationship Type="http://schemas.openxmlformats.org/officeDocument/2006/relationships/hyperlink" Target="https://doi.org/10.60541/snt6-m904" TargetMode="External" Id="rId4"/><Relationship Type="http://schemas.openxmlformats.org/officeDocument/2006/relationships/hyperlink" Target="https://doi.org/10.17632/hy28gb37tg" TargetMode="External" Id="rId5"/><Relationship Type="http://schemas.openxmlformats.org/officeDocument/2006/relationships/hyperlink" Target="https://doi.org/10.25903/pase-na93" TargetMode="External" Id="rId6"/><Relationship Type="http://schemas.openxmlformats.org/officeDocument/2006/relationships/hyperlink" Target="https://data.cms.gov/provider-data/dataset/z8ax-x9j1" TargetMode="External" Id="rId7"/><Relationship Type="http://schemas.openxmlformats.org/officeDocument/2006/relationships/hyperlink" Target="https://doi.org/10.3886/e119446" TargetMode="External" Id="rId8"/><Relationship Type="http://schemas.openxmlformats.org/officeDocument/2006/relationships/hyperlink" Target="https://doi.org/10.60541/ethb-2t35" TargetMode="External" Id="rId9"/><Relationship Type="http://schemas.openxmlformats.org/officeDocument/2006/relationships/hyperlink" Target="https://doi.org/10.25921/wzk1-r208" TargetMode="External" Id="rId10"/><Relationship Type="http://schemas.openxmlformats.org/officeDocument/2006/relationships/hyperlink" Target="https://doi.org/10.17632/66dm3vs3g2" TargetMode="External" Id="rId11"/><Relationship Type="http://schemas.openxmlformats.org/officeDocument/2006/relationships/hyperlink" Target="https://doi.org/10.5281/zenodo.17644686" TargetMode="External" Id="rId12"/><Relationship Type="http://schemas.openxmlformats.org/officeDocument/2006/relationships/hyperlink" Target="https://doi.org/10.60541/rq4m-pk67" TargetMode="External" Id="rId13"/><Relationship Type="http://schemas.openxmlformats.org/officeDocument/2006/relationships/hyperlink" Target="https://doi.org/10.5281/zenodo.6559121" TargetMode="External" Id="rId14"/><Relationship Type="http://schemas.openxmlformats.org/officeDocument/2006/relationships/hyperlink" Target="https://doi.org/10.25921/q053-h813" TargetMode="External" Id="rId15"/><Relationship Type="http://schemas.openxmlformats.org/officeDocument/2006/relationships/hyperlink" Target="https://doi.org/10.5281/zenodo.15187724" TargetMode="External" Id="rId16"/><Relationship Type="http://schemas.openxmlformats.org/officeDocument/2006/relationships/hyperlink" Target="https://doi.org/10.7910/dvn/vosv99" TargetMode="External" Id="rId17"/><Relationship Type="http://schemas.openxmlformats.org/officeDocument/2006/relationships/hyperlink" Target="https://doi.org/10.7927/fq7g-ny13" TargetMode="External" Id="rId18"/><Relationship Type="http://schemas.openxmlformats.org/officeDocument/2006/relationships/hyperlink" Target="https://doi.org/10.7910/dvn/mlhfaf" TargetMode="External" Id="rId19"/><Relationship Type="http://schemas.openxmlformats.org/officeDocument/2006/relationships/hyperlink" Target="https://pdaps.org/datasets/good-samaritan-overdose-laws-1501695153" TargetMode="External" Id="rId20"/><Relationship Type="http://schemas.openxmlformats.org/officeDocument/2006/relationships/hyperlink" Target="https://doi.org/10.7910/dvn/djgkdj" TargetMode="External" Id="rId21"/><Relationship Type="http://schemas.openxmlformats.org/officeDocument/2006/relationships/hyperlink" Target="https://doi.org/10.5285/2d1613955e1b4cd1b156e5f3edbd7e66" TargetMode="External" Id="rId22"/><Relationship Type="http://schemas.openxmlformats.org/officeDocument/2006/relationships/hyperlink" Target="https://lawatlas.org/datasets/hia-bills" TargetMode="External" Id="rId23"/><Relationship Type="http://schemas.openxmlformats.org/officeDocument/2006/relationships/hyperlink" Target="https://data.cms.gov/provider-data/dataset/m5eg-upu5" TargetMode="External" Id="rId24"/><Relationship Type="http://schemas.openxmlformats.org/officeDocument/2006/relationships/hyperlink" Target="https://data.cms.gov/provider-data/dataset/95rg-2usp" TargetMode="External" Id="rId25"/><Relationship Type="http://schemas.openxmlformats.org/officeDocument/2006/relationships/hyperlink" Target="https://data.cms.gov/provider-data/dataset/7t8x-u3ir" TargetMode="External" Id="rId26"/><Relationship Type="http://schemas.openxmlformats.org/officeDocument/2006/relationships/hyperlink" Target="https://doi.org/10.60541/fe0h-sx30" TargetMode="External" Id="rId27"/><Relationship Type="http://schemas.openxmlformats.org/officeDocument/2006/relationships/hyperlink" Target="https://lawatlas.org/datasets/local-eviction-laws" TargetMode="External" Id="rId28"/><Relationship Type="http://schemas.openxmlformats.org/officeDocument/2006/relationships/hyperlink" Target="https://data.cms.gov/provider-data/dataset/azum-44iv" TargetMode="External" Id="rId29"/><Relationship Type="http://schemas.openxmlformats.org/officeDocument/2006/relationships/hyperlink" Target="https://doi.org/10.5067/modis/mod11a1.061" TargetMode="External" Id="rId30"/><Relationship Type="http://schemas.openxmlformats.org/officeDocument/2006/relationships/hyperlink" Target="https://pdaps.org/datasets/laws-regulating-administration-of-naloxone-1501695139" TargetMode="External" Id="rId31"/><Relationship Type="http://schemas.openxmlformats.org/officeDocument/2006/relationships/hyperlink" Target="https://doi.org/10.71646/ljsccn" TargetMode="External" Id="rId32"/><Relationship Type="http://schemas.openxmlformats.org/officeDocument/2006/relationships/hyperlink" Target="https://doi.org/10.57966/tk74-ep75" TargetMode="External" Id="rId33"/><Relationship Type="http://schemas.openxmlformats.org/officeDocument/2006/relationships/hyperlink" Target="https://doi.org/10.25614/ndi_2010_trt_allstates" TargetMode="External" Id="rId34"/><Relationship Type="http://schemas.openxmlformats.org/officeDocument/2006/relationships/hyperlink" Target="https://doi.org/10.25921/c4gt-r169" TargetMode="External" Id="rId35"/><Relationship Type="http://schemas.openxmlformats.org/officeDocument/2006/relationships/hyperlink" Target="https://doi.org/10.7910/dvn/wtnahq" TargetMode="External" Id="rId36"/><Relationship Type="http://schemas.openxmlformats.org/officeDocument/2006/relationships/hyperlink" Target="https://doi.org/10.7910/dvn/0ljjoj" TargetMode="External" Id="rId37"/><Relationship Type="http://schemas.openxmlformats.org/officeDocument/2006/relationships/hyperlink" Target="https://doi.org/10.7910/dvn/rkrw8q" TargetMode="External" Id="rId38"/><Relationship Type="http://schemas.openxmlformats.org/officeDocument/2006/relationships/hyperlink" Target="https://lawatlas.org/datasets/prescription-drug-monitoring-program-laws-reporting-mandates-access-2014-2023" TargetMode="External" Id="rId39"/><Relationship Type="http://schemas.openxmlformats.org/officeDocument/2006/relationships/hyperlink" Target="https://pdaps.org/datasets/pdmp-mandates" TargetMode="External" Id="rId40"/><Relationship Type="http://schemas.openxmlformats.org/officeDocument/2006/relationships/hyperlink" Target="https://doi.org/10.60541/235t-fj52" TargetMode="External" Id="rId41"/><Relationship Type="http://schemas.openxmlformats.org/officeDocument/2006/relationships/hyperlink" Target="https://doi.org/10.5525/gla.researchdata.980" TargetMode="External" Id="rId42"/><Relationship Type="http://schemas.openxmlformats.org/officeDocument/2006/relationships/hyperlink" Target="https://lawatlas.org/datasets/state-hiv-criminalization-laws" TargetMode="External" Id="rId43"/><Relationship Type="http://schemas.openxmlformats.org/officeDocument/2006/relationships/hyperlink" Target="https://lawatlas.org/datasets/state-laboratory-reporting-laws" TargetMode="External" Id="rId44"/><Relationship Type="http://schemas.openxmlformats.org/officeDocument/2006/relationships/hyperlink" Target="https://lawatlas.org/datasets/state-minors-consent-laws" TargetMode="External" Id="rId45"/><Relationship Type="http://schemas.openxmlformats.org/officeDocument/2006/relationships/hyperlink" Target="https://pdaps.org/datasets/opioid-analgesics-prescribing-limits" TargetMode="External" Id="rId46"/><Relationship Type="http://schemas.openxmlformats.org/officeDocument/2006/relationships/hyperlink" Target="https://lawatlas.org/datasets/state-minimum-wage-laws" TargetMode="External" Id="rId47"/><Relationship Type="http://schemas.openxmlformats.org/officeDocument/2006/relationships/hyperlink" Target="https://lawatlas.org/datasets/state-perinatal-hiv-testing-laws" TargetMode="External" Id="rId48"/><Relationship Type="http://schemas.openxmlformats.org/officeDocument/2006/relationships/hyperlink" Target="https://doi.org/10.60541/kshg-k144" TargetMode="External" Id="rId49"/><Relationship Type="http://schemas.openxmlformats.org/officeDocument/2006/relationships/hyperlink" Target="https://doi.org/10.60541/26gc-yv35" TargetMode="External" Id="rId50"/><Relationship Type="http://schemas.openxmlformats.org/officeDocument/2006/relationships/hyperlink" Target="https://pdaps.org/datasets/syringe-services-programs-laws" TargetMode="External" Id="rId51"/><Relationship Type="http://schemas.openxmlformats.org/officeDocument/2006/relationships/hyperlink" Target="https://doi.org/10.60541/tq0g-2c27" TargetMode="External" Id="rId52"/><Relationship Type="http://schemas.openxmlformats.org/officeDocument/2006/relationships/hyperlink" Target="https://data.cms.gov/provider-data/dataset/uyx4-5s7f" TargetMode="External" Id="rId53"/><Relationship Type="http://schemas.openxmlformats.org/officeDocument/2006/relationships/hyperlink" Target="https://doi.org/10.5281/zenodo.15199025" TargetMode="External" Id="rId54"/><Relationship Type="http://schemas.openxmlformats.org/officeDocument/2006/relationships/hyperlink" Target="https://aqs.epa.gov/aqsweb/airdata/download_files.html" TargetMode="External" Id="rId55"/><Relationship Type="http://schemas.openxmlformats.org/officeDocument/2006/relationships/hyperlink" Target="https://www.census.gov/geographies/mapping-files/time-series/geo/carto-boundary-file.html" TargetMode="External" Id="rId56"/><Relationship Type="http://schemas.openxmlformats.org/officeDocument/2006/relationships/hyperlink" Target="https://open.canada.ca/data/dataset/ef70dc3b-1069-4037-9bce-61f47e628a1d" TargetMode="External" Id="rId57"/><Relationship Type="http://schemas.openxmlformats.org/officeDocument/2006/relationships/hyperlink" Target="https://www.abs.gov.au/statistics/standards/australian-statistical-geography-standard-asgs-edition-3/jul2021-jun2026/access-and-downloads/digital-boundary-files" TargetMode="External" Id="rId58"/><Relationship Type="http://schemas.openxmlformats.org/officeDocument/2006/relationships/hyperlink" Target="https://www.ordnancesurvey.co.uk/products/boundary-line" TargetMode="External" Id="rId59"/><Relationship Type="http://schemas.openxmlformats.org/officeDocument/2006/relationships/hyperlink" Target="https://www.ine.es/ss/Satellite?L=es_ES&amp;c=Page&amp;cid=1259952026632&amp;p=1259952026632&amp;pagename=ProductosYServicios%2FPYSLayout" TargetMode="External" Id="rId60"/><Relationship Type="http://schemas.openxmlformats.org/officeDocument/2006/relationships/hyperlink" Target="https://www.census.gov/library/reference/code-lists.html" TargetMode="External" Id="rId61"/><Relationship Type="http://schemas.openxmlformats.org/officeDocument/2006/relationships/hyperlink" Target="https://geocoding.geo.census.gov/geocoder/" TargetMode="External" Id="rId62"/><Relationship Type="http://schemas.openxmlformats.org/officeDocument/2006/relationships/hyperlink" Target="https://www.scb.se/en/services/open-data-api/open-geodata/open-data-for-deso--demographic-statistical-areas/" TargetMode="External" Id="rId63"/><Relationship Type="http://schemas.openxmlformats.org/officeDocument/2006/relationships/hyperlink" Target="http://www.ers.usda.gov/data-products/frontier-and-remote-area-codes" TargetMode="External" Id="rId64"/><Relationship Type="http://schemas.openxmlformats.org/officeDocument/2006/relationships/hyperlink" Target="https://gadm.org/data.html" TargetMode="External" Id="rId65"/><Relationship Type="http://schemas.openxmlformats.org/officeDocument/2006/relationships/hyperlink" Target="https://www.geoboundaries.org/" TargetMode="External" Id="rId66"/><Relationship Type="http://schemas.openxmlformats.org/officeDocument/2006/relationships/hyperlink" Target="https://www.census.gov/geographies/reference-files/time-series/geo/relationship-files.html" TargetMode="External" Id="rId67"/><Relationship Type="http://schemas.openxmlformats.org/officeDocument/2006/relationships/hyperlink" Target="https://www.geonames.org/export/" TargetMode="External" Id="rId68"/><Relationship Type="http://schemas.openxmlformats.org/officeDocument/2006/relationships/hyperlink" Target="https://www.geonames.org/export/" TargetMode="External" Id="rId69"/><Relationship Type="http://schemas.openxmlformats.org/officeDocument/2006/relationships/hyperlink" Target="https://www.fao.org/hih-geospatial-platform/news/detail/now-available--the-global-administrative-unit-layers-(gaul)-dataset---2024-edition/en" TargetMode="External" Id="rId70"/><Relationship Type="http://schemas.openxmlformats.org/officeDocument/2006/relationships/hyperlink" Target="https://ec.europa.eu/eurostat/web/gisco/geodata/statistical-units/local-administrative-units" TargetMode="External" Id="rId71"/><Relationship Type="http://schemas.openxmlformats.org/officeDocument/2006/relationships/hyperlink" Target="https://www.cdc.gov/nchs/data_access/urban_rural.htm" TargetMode="External" Id="rId72"/><Relationship Type="http://schemas.openxmlformats.org/officeDocument/2006/relationships/hyperlink" Target="https://openaddresses.io/" TargetMode="External" Id="rId73"/><Relationship Type="http://schemas.openxmlformats.org/officeDocument/2006/relationships/hyperlink" Target="https://ec.europa.eu/eurostat/web/gisco/geodata/administrative-units/postal-codes" TargetMode="External" Id="rId74"/><Relationship Type="http://schemas.openxmlformats.org/officeDocument/2006/relationships/hyperlink" Target="https://www.cdfifund.gov/opportunity-zones" TargetMode="External" Id="rId75"/><Relationship Type="http://schemas.openxmlformats.org/officeDocument/2006/relationships/hyperlink" Target="https://www.indec.gob.ar/indec/web/Institucional-Indec-Codgeo" TargetMode="External" Id="rId76"/><Relationship Type="http://schemas.openxmlformats.org/officeDocument/2006/relationships/hyperlink" Target="http://www.ers.usda.gov/data-products/rural-urban-commuting-area-codes" TargetMode="External" Id="rId77"/><Relationship Type="http://schemas.openxmlformats.org/officeDocument/2006/relationships/hyperlink" Target="http://www.ers.usda.gov/data-products/rural-urban-continuum-codes" TargetMode="External" Id="rId78"/><Relationship Type="http://schemas.openxmlformats.org/officeDocument/2006/relationships/hyperlink" Target="https://salb.un.org/en" TargetMode="External" Id="rId79"/><Relationship Type="http://schemas.openxmlformats.org/officeDocument/2006/relationships/hyperlink" Target="https://datafinder.stats.govt.nz/" TargetMode="External" Id="rId80"/><Relationship Type="http://schemas.openxmlformats.org/officeDocument/2006/relationships/hyperlink" Target="https://microdata.nbs.go.tz/index.php/catalog/49/related-materials" TargetMode="External" Id="rId81"/><Relationship Type="http://schemas.openxmlformats.org/officeDocument/2006/relationships/hyperlink" Target="https://www.usgs.gov/programs/national-geospatial-program/national-map" TargetMode="External" Id="rId82"/><Relationship Type="http://schemas.openxmlformats.org/officeDocument/2006/relationships/hyperlink" Target="https://www.census.gov/geographies/mapping-files/time-series/geo/tiger-line-file.html" TargetMode="External" Id="rId83"/><Relationship Type="http://schemas.openxmlformats.org/officeDocument/2006/relationships/hyperlink" Target="https://www.census.gov/geographies/mapping-files/time-series/geo/tiger-line-file.html" TargetMode="External" Id="rId84"/><Relationship Type="http://schemas.openxmlformats.org/officeDocument/2006/relationships/hyperlink" Target="https://www.census.gov/geographies/reference-files/time-series/geo/gazetteer-files.html" TargetMode="External" Id="rId85"/><Relationship Type="http://schemas.openxmlformats.org/officeDocument/2006/relationships/hyperlink" Target="https://www.census.gov/programs-surveys/geography/guidance/geo-areas/urban-rural.html" TargetMode="External" Id="rId86"/><Relationship Type="http://schemas.openxmlformats.org/officeDocument/2006/relationships/hyperlink" Target="http://www.ers.usda.gov/data-products/urban-influence-codes" TargetMode="External" Id="rId87"/><Relationship Type="http://schemas.openxmlformats.org/officeDocument/2006/relationships/hyperlink" Target="https://whosonfirst.org/" TargetMode="External" Id="rId88"/><Relationship Type="http://schemas.openxmlformats.org/officeDocument/2006/relationships/hyperlink" Target="https://www.census.gov/geographies/reference-files/time-series/geo/gazetteer-files.html" TargetMode="External" Id="rId89"/><Relationship Type="http://schemas.openxmlformats.org/officeDocument/2006/relationships/hyperlink" Target="https://www.epa.gov/enviroatlas/data-download" TargetMode="External" Id="rId90"/><Relationship Type="http://schemas.openxmlformats.org/officeDocument/2006/relationships/hyperlink" Target="https://broadbandusa.ntia.gov/node/7522" TargetMode="External" Id="rId91"/><Relationship Type="http://schemas.openxmlformats.org/officeDocument/2006/relationships/hyperlink" Target="https://catalog.data.gov/dataset/walkability-index" TargetMode="External" Id="rId92"/><Relationship Type="http://schemas.openxmlformats.org/officeDocument/2006/relationships/hyperlink" Target="https://docs.overturemaps.org/getting-data/" TargetMode="External" Id="rId93"/><Relationship Type="http://schemas.openxmlformats.org/officeDocument/2006/relationships/hyperlink" Target="https://catalog.data.gov/dataset/smart-location-database" TargetMode="External" Id="rId94"/><Relationship Type="http://schemas.openxmlformats.org/officeDocument/2006/relationships/hyperlink" Target="https://ladsweb.modaps.eosdis.nasa.gov/missions-and-measurements/products/VNP46A4/" TargetMode="External" Id="rId95"/><Relationship Type="http://schemas.openxmlformats.org/officeDocument/2006/relationships/hyperlink" Target="https://www.mrlc.gov/data" TargetMode="External" Id="rId96"/><Relationship Type="http://schemas.openxmlformats.org/officeDocument/2006/relationships/hyperlink" Target="https://coast.noaa.gov/digitalcoast/data/ccapregional.html" TargetMode="External" Id="rId97"/><Relationship Type="http://schemas.openxmlformats.org/officeDocument/2006/relationships/hyperlink" Target="https://www.census.gov/programs-surveys/cbp.html" TargetMode="External" Id="rId98"/><Relationship Type="http://schemas.openxmlformats.org/officeDocument/2006/relationships/hyperlink" Target="https://datacatalog.worldbank.org/search/dataset/0038055/Global-Electrification-Database-from-Tracking-SDG7-The-Energy-Progress-Report" TargetMode="External" Id="rId99"/><Relationship Type="http://schemas.openxmlformats.org/officeDocument/2006/relationships/hyperlink" Target="https://human-settlement.emergency.copernicus.eu/datasets.php" TargetMode="External" Id="rId100"/><Relationship Type="http://schemas.openxmlformats.org/officeDocument/2006/relationships/hyperlink" Target="https://www.fnai.org/publications/gis-data" TargetMode="External" Id="rId101"/><Relationship Type="http://schemas.openxmlformats.org/officeDocument/2006/relationships/hyperlink" Target="https://gis-fdot.opendata.arcgis.com/datasets/fdot::us-routes-tda/about" TargetMode="External" Id="rId102"/><Relationship Type="http://schemas.openxmlformats.org/officeDocument/2006/relationships/hyperlink" Target="https://human-settlement.emergency.copernicus.eu/datasets.php" TargetMode="External" Id="rId103"/><Relationship Type="http://schemas.openxmlformats.org/officeDocument/2006/relationships/hyperlink" Target="https://human-settlement.emergency.copernicus.eu/datasets.php" TargetMode="External" Id="rId104"/><Relationship Type="http://schemas.openxmlformats.org/officeDocument/2006/relationships/hyperlink" Target="https://human-settlement.emergency.copernicus.eu/datasets.php" TargetMode="External" Id="rId105"/><Relationship Type="http://schemas.openxmlformats.org/officeDocument/2006/relationships/hyperlink" Target="https://www.earthdata.nasa.gov/data/catalog/sedac-ciesin-sedac-ulandsat-gmis-v1-1.0" TargetMode="External" Id="rId106"/><Relationship Type="http://schemas.openxmlformats.org/officeDocument/2006/relationships/hyperlink" Target="https://www.earthdata.nasa.gov/data/catalog/sedac-ciesin-sedac-groads-v1-1.0" TargetMode="External" Id="rId107"/><Relationship Type="http://schemas.openxmlformats.org/officeDocument/2006/relationships/hyperlink" Target="https://land.copernicus.eu/en/products/high-resolution-layer-imperviousness" TargetMode="External" Id="rId108"/><Relationship Type="http://schemas.openxmlformats.org/officeDocument/2006/relationships/hyperlink" Target="https://www.fhwa.dot.gov/policyinformation/hpms.cfm" TargetMode="External" Id="rId109"/><Relationship Type="http://schemas.openxmlformats.org/officeDocument/2006/relationships/hyperlink" Target="https://www.usgs.gov/special-topics/lcmap" TargetMode="External" Id="rId110"/><Relationship Type="http://schemas.openxmlformats.org/officeDocument/2006/relationships/hyperlink" Target="https://github.com/microsoft/GlobalMLBuildingFootprints" TargetMode="External" Id="rId111"/><Relationship Type="http://schemas.openxmlformats.org/officeDocument/2006/relationships/hyperlink" Target="https://catalog.data.gov/dataset/national-agriculture-imagery-program-naip" TargetMode="External" Id="rId112"/><Relationship Type="http://schemas.openxmlformats.org/officeDocument/2006/relationships/hyperlink" Target="https://www.nrc.gov/reactors/operating/list-power-reactor-units.html" TargetMode="External" Id="rId113"/><Relationship Type="http://schemas.openxmlformats.org/officeDocument/2006/relationships/hyperlink" Target="https://sites.research.google/gr/open-buildings/" TargetMode="External" Id="rId114"/><Relationship Type="http://schemas.openxmlformats.org/officeDocument/2006/relationships/hyperlink" Target="https://www.openstreetmap.org/" TargetMode="External" Id="rId115"/><Relationship Type="http://schemas.openxmlformats.org/officeDocument/2006/relationships/hyperlink" Target="https://download.geofabrik.de/north-america/us.html" TargetMode="External" Id="rId116"/><Relationship Type="http://schemas.openxmlformats.org/officeDocument/2006/relationships/hyperlink" Target="https://www.usgs.gov/programs/gap-analysis-project/science/pad-us-data-overview" TargetMode="External" Id="rId117"/><Relationship Type="http://schemas.openxmlformats.org/officeDocument/2006/relationships/hyperlink" Target="https://www.transit.land/" TargetMode="External" Id="rId118"/><Relationship Type="http://schemas.openxmlformats.org/officeDocument/2006/relationships/hyperlink" Target="https://github.com/mittrees/Treepedia_Public" TargetMode="External" Id="rId119"/><Relationship Type="http://schemas.openxmlformats.org/officeDocument/2006/relationships/hyperlink" Target="https://geoservice.dlr.de/web/datasets/wsf_2019" TargetMode="External" Id="rId120"/><Relationship Type="http://schemas.openxmlformats.org/officeDocument/2006/relationships/hyperlink" Target="https://climate.weather.gc.ca/climate_normals/index_e.html" TargetMode="External" Id="rId121"/><Relationship Type="http://schemas.openxmlformats.org/officeDocument/2006/relationships/hyperlink" Target="https://cds.climate.copernicus.eu/datasets/reanalysis-cerra-single-levels?tab=overview" TargetMode="External" Id="rId122"/><Relationship Type="http://schemas.openxmlformats.org/officeDocument/2006/relationships/hyperlink" Target="https://cds.climate.copernicus.eu/datasets/projections-cmip6?tab=overview" TargetMode="External" Id="rId123"/><Relationship Type="http://schemas.openxmlformats.org/officeDocument/2006/relationships/hyperlink" Target="https://cds.climate.copernicus.eu/datasets/insitu-gridded-observations-europe?tab=overview" TargetMode="External" Id="rId124"/><Relationship Type="http://schemas.openxmlformats.org/officeDocument/2006/relationships/hyperlink" Target="https://cds.climate.copernicus.eu/datasets/reanalysis-era5-single-levels?tab=overview" TargetMode="External" Id="rId125"/><Relationship Type="http://schemas.openxmlformats.org/officeDocument/2006/relationships/hyperlink" Target="https://cds.climate.copernicus.eu/datasets/reanalysis-era5-land" TargetMode="External" Id="rId126"/><Relationship Type="http://schemas.openxmlformats.org/officeDocument/2006/relationships/hyperlink" Target="https://www.climatologylab.org/gridmet.html" TargetMode="External" Id="rId127"/><Relationship Type="http://schemas.openxmlformats.org/officeDocument/2006/relationships/hyperlink" Target="https://www.ospo.noaa.gov/products/land/hms.html" TargetMode="External" Id="rId128"/><Relationship Type="http://schemas.openxmlformats.org/officeDocument/2006/relationships/hyperlink" Target="https://www.isimip.org/outputdata/" TargetMode="External" Id="rId129"/><Relationship Type="http://schemas.openxmlformats.org/officeDocument/2006/relationships/hyperlink" Target="https://lancetcountdown.org/explore-our-data/" TargetMode="External" Id="rId130"/><Relationship Type="http://schemas.openxmlformats.org/officeDocument/2006/relationships/hyperlink" Target="https://gmao.gsfc.nasa.gov/gmao-products/merra-2/" TargetMode="External" Id="rId131"/><Relationship Type="http://schemas.openxmlformats.org/officeDocument/2006/relationships/hyperlink" Target="https://scholarship.miami.edu/esploro/outputs/991032051519802976" TargetMode="External" Id="rId132"/><Relationship Type="http://schemas.openxmlformats.org/officeDocument/2006/relationships/hyperlink" Target="https://hazards.fema.gov/nri/" TargetMode="External" Id="rId133"/><Relationship Type="http://schemas.openxmlformats.org/officeDocument/2006/relationships/hyperlink" Target="https://www.earthdata.nasa.gov/data/catalog/sedac-ciesin-chrr-ndh-multi-hfd-1.0" TargetMode="External" Id="rId134"/><Relationship Type="http://schemas.openxmlformats.org/officeDocument/2006/relationships/hyperlink" Target="https://toolkit.climate.gov/tool/heat-watch-campaigns" TargetMode="External" Id="rId135"/><Relationship Type="http://schemas.openxmlformats.org/officeDocument/2006/relationships/hyperlink" Target="https://www.wpc.ncep.noaa.gov/heatrisk/" TargetMode="External" Id="rId136"/><Relationship Type="http://schemas.openxmlformats.org/officeDocument/2006/relationships/hyperlink" Target="https://thinkhazard.org/en/about" TargetMode="External" Id="rId137"/><Relationship Type="http://schemas.openxmlformats.org/officeDocument/2006/relationships/hyperlink" Target="https://www.ncei.noaa.gov/products/land-based-station/us-climate-normals" TargetMode="External" Id="rId138"/><Relationship Type="http://schemas.openxmlformats.org/officeDocument/2006/relationships/hyperlink" Target="https://cds.climate.copernicus.eu/datasets/sis-agroclimatic-indicators?tab=overview" TargetMode="External" Id="rId139"/><Relationship Type="http://schemas.openxmlformats.org/officeDocument/2006/relationships/hyperlink" Target="https://www.emdat.be/" TargetMode="External" Id="rId140"/><Relationship Type="http://schemas.openxmlformats.org/officeDocument/2006/relationships/hyperlink" Target="https://drought.emergency.copernicus.eu/tumbo/edo/download/" TargetMode="External" Id="rId141"/><Relationship Type="http://schemas.openxmlformats.org/officeDocument/2006/relationships/hyperlink" Target="https://forest-fire.emergency.copernicus.eu/applications/data-and-services" TargetMode="External" Id="rId142"/><Relationship Type="http://schemas.openxmlformats.org/officeDocument/2006/relationships/hyperlink" Target="https://firms.modaps.eosdis.nasa.gov/" TargetMode="External" Id="rId143"/><Relationship Type="http://schemas.openxmlformats.org/officeDocument/2006/relationships/hyperlink" Target="https://msc.fema.gov/portal/home" TargetMode="External" Id="rId144"/><Relationship Type="http://schemas.openxmlformats.org/officeDocument/2006/relationships/hyperlink" Target="https://www.globalquakemodel.org/products" TargetMode="External" Id="rId145"/><Relationship Type="http://schemas.openxmlformats.org/officeDocument/2006/relationships/hyperlink" Target="https://www.ncei.noaa.gov/products/land-based-station/global-historical-climatology-network-daily" TargetMode="External" Id="rId146"/><Relationship Type="http://schemas.openxmlformats.org/officeDocument/2006/relationships/hyperlink" Target="https://landfire.gov/" TargetMode="External" Id="rId147"/><Relationship Type="http://schemas.openxmlformats.org/officeDocument/2006/relationships/hyperlink" Target="https://www.earthdata.nasa.gov/data/catalog/esdis-ciesin-sedac-lecz-urplaev3-3.00" TargetMode="External" Id="rId148"/><Relationship Type="http://schemas.openxmlformats.org/officeDocument/2006/relationships/hyperlink" Target="https://www.climatologylab.org/maca.html" TargetMode="External" Id="rId149"/><Relationship Type="http://schemas.openxmlformats.org/officeDocument/2006/relationships/hyperlink" Target="https://www.earthdata.nasa.gov/data/catalog/lpcloud-mcd64a1-061" TargetMode="External" Id="rId150"/><Relationship Type="http://schemas.openxmlformats.org/officeDocument/2006/relationships/hyperlink" Target="https://www.mtbs.gov/" TargetMode="External" Id="rId151"/><Relationship Type="http://schemas.openxmlformats.org/officeDocument/2006/relationships/hyperlink" Target="https://power.larc.nasa.gov/" TargetMode="External" Id="rId152"/><Relationship Type="http://schemas.openxmlformats.org/officeDocument/2006/relationships/hyperlink" Target="https://www.fema.gov/flood-maps/national-flood-hazard-layer" TargetMode="External" Id="rId153"/><Relationship Type="http://schemas.openxmlformats.org/officeDocument/2006/relationships/hyperlink" Target="https://www.usgs.gov/programs/earthquake-hazards/science/national-seismic-hazard-model" TargetMode="External" Id="rId154"/><Relationship Type="http://schemas.openxmlformats.org/officeDocument/2006/relationships/hyperlink" Target="https://www.ncei.noaa.gov/products/land-based-station/nclimgrid-daily" TargetMode="External" Id="rId155"/><Relationship Type="http://schemas.openxmlformats.org/officeDocument/2006/relationships/hyperlink" Target="https://hdsc.nws.noaa.gov/pfds/" TargetMode="External" Id="rId156"/><Relationship Type="http://schemas.openxmlformats.org/officeDocument/2006/relationships/hyperlink" Target="https://www.ncei.noaa.gov/products/natural-hazards/tsunamis-earthquakes-volcanoes/tsunamis" TargetMode="External" Id="rId157"/><Relationship Type="http://schemas.openxmlformats.org/officeDocument/2006/relationships/hyperlink" Target="https://www.fema.gov/openfema-data-page/disaster-declarations-summaries-v2" TargetMode="External" Id="rId158"/><Relationship Type="http://schemas.openxmlformats.org/officeDocument/2006/relationships/hyperlink" Target="https://coast.noaa.gov/slrdata/" TargetMode="External" Id="rId159"/><Relationship Type="http://schemas.openxmlformats.org/officeDocument/2006/relationships/hyperlink" Target="https://tidesandcurrents.noaa.gov/trends-and-extremes/" TargetMode="External" Id="rId160"/><Relationship Type="http://schemas.openxmlformats.org/officeDocument/2006/relationships/hyperlink" Target="https://www.ncei.noaa.gov/stormevents/" TargetMode="External" Id="rId161"/><Relationship Type="http://schemas.openxmlformats.org/officeDocument/2006/relationships/hyperlink" Target="https://www.climatecentral.org/billion-dollar-disasters" TargetMode="External" Id="rId162"/><Relationship Type="http://schemas.openxmlformats.org/officeDocument/2006/relationships/hyperlink" Target="https://droughtmonitor.unl.edu/DmData/GISData.aspx" TargetMode="External" Id="rId163"/><Relationship Type="http://schemas.openxmlformats.org/officeDocument/2006/relationships/hyperlink" Target="https://www.usgs.gov/mission-areas/water-resources/science/flood-inundation-mapping-fim-program" TargetMode="External" Id="rId164"/><Relationship Type="http://schemas.openxmlformats.org/officeDocument/2006/relationships/hyperlink" Target="https://wildfirerisk.org/download/" TargetMode="External" Id="rId165"/><Relationship Type="http://schemas.openxmlformats.org/officeDocument/2006/relationships/hyperlink" Target="http://www.ers.usda.gov/data-products/atlas-of-rural-and-small-town-america" TargetMode="External" Id="rId166"/><Relationship Type="http://schemas.openxmlformats.org/officeDocument/2006/relationships/hyperlink" Target="https://s4.ad.brown.edu/projects/diversity/Researcher/LTDB.htm" TargetMode="External" Id="rId167"/><Relationship Type="http://schemas.openxmlformats.org/officeDocument/2006/relationships/hyperlink" Target="https://ourworldindata.org/about" TargetMode="External" Id="rId168"/><Relationship Type="http://schemas.openxmlformats.org/officeDocument/2006/relationships/hyperlink" Target="https://www.census.gov/programs-surveys/popest.html" TargetMode="External" Id="rId169"/><Relationship Type="http://schemas.openxmlformats.org/officeDocument/2006/relationships/hyperlink" Target="https://www.destatis.de/zensus2022" TargetMode="External" Id="rId170"/><Relationship Type="http://schemas.openxmlformats.org/officeDocument/2006/relationships/hyperlink" Target="https://www.census.gov/data/tables/2023/dec/2020-census-dhc.html" TargetMode="External" Id="rId171"/><Relationship Type="http://schemas.openxmlformats.org/officeDocument/2006/relationships/hyperlink" Target="https://www.census.gov/data/developers/data-sets/acs-1year.html" TargetMode="External" Id="rId172"/><Relationship Type="http://schemas.openxmlformats.org/officeDocument/2006/relationships/hyperlink" Target="https://www.census.gov/data/developers/data-sets/acs-5year.html" TargetMode="External" Id="rId173"/><Relationship Type="http://schemas.openxmlformats.org/officeDocument/2006/relationships/hyperlink" Target="https://www.ine.gob.cl/estadisticas/sociales/censos-de-poblacion-y-vivienda/censo-de-poblacion-y-vivienda" TargetMode="External" Id="rId174"/><Relationship Type="http://schemas.openxmlformats.org/officeDocument/2006/relationships/hyperlink" Target="https://www.dane.gov.co/index.php/estadisticas-por-tema/demografia-y-poblacion/censo-nacional-de-poblacion-y-vivenda-2018" TargetMode="External" Id="rId175"/><Relationship Type="http://schemas.openxmlformats.org/officeDocument/2006/relationships/hyperlink" Target="https://www.cso.ie/en/census/census2022/census2022smallareapopulationstatistics/" TargetMode="External" Id="rId176"/><Relationship Type="http://schemas.openxmlformats.org/officeDocument/2006/relationships/hyperlink" Target="https://www.census.gov/topics/research/guidance/planning-databases.html" TargetMode="External" Id="rId177"/><Relationship Type="http://schemas.openxmlformats.org/officeDocument/2006/relationships/hyperlink" Target="https://www.census.gov/programs-surveys/decennial-census/about/rdo/summary-files.html" TargetMode="External" Id="rId178"/><Relationship Type="http://schemas.openxmlformats.org/officeDocument/2006/relationships/hyperlink" Target="https://ec.europa.eu/eurostat/web/degree-of-urbanisation/database" TargetMode="External" Id="rId179"/><Relationship Type="http://schemas.openxmlformats.org/officeDocument/2006/relationships/hyperlink" Target="https://www.e-stat.go.jp/gis" TargetMode="External" Id="rId180"/><Relationship Type="http://schemas.openxmlformats.org/officeDocument/2006/relationships/hyperlink" Target="https://www.nhgis.org/" TargetMode="External" Id="rId181"/><Relationship Type="http://schemas.openxmlformats.org/officeDocument/2006/relationships/hyperlink" Target="https://www.cbs.nl/nl-nl/dossier/nederland-regionaal/geografische-data/kaart-van-100-meter-bij-100-meter-met-statistieken" TargetMode="External" Id="rId182"/><Relationship Type="http://schemas.openxmlformats.org/officeDocument/2006/relationships/hyperlink" Target="https://lehd.ces.census.gov/data/" TargetMode="External" Id="rId183"/><Relationship Type="http://schemas.openxmlformats.org/officeDocument/2006/relationships/hyperlink" Target="https://ec.europa.eu/eurostat/web/gisco/geodata/population-distribution/population-grids" TargetMode="External" Id="rId184"/><Relationship Type="http://schemas.openxmlformats.org/officeDocument/2006/relationships/hyperlink" Target="https://www.insee.fr/fr/statistiques/9061333" TargetMode="External" Id="rId185"/><Relationship Type="http://schemas.openxmlformats.org/officeDocument/2006/relationships/hyperlink" Target="https://www.hcp.ma/Population-legale-du-Royaume-du-Maroc-repartie-par-regions-provinces-et-prefectures-et-communes-selon-les-resultats-du_a3974.html" TargetMode="External" Id="rId186"/><Relationship Type="http://schemas.openxmlformats.org/officeDocument/2006/relationships/hyperlink" Target="https://www.stats.gov.sa/en/" TargetMode="External" Id="rId187"/><Relationship Type="http://schemas.openxmlformats.org/officeDocument/2006/relationships/hyperlink" Target="https://www.usgs.gov/3d-elevation-program" TargetMode="External" Id="rId188"/><Relationship Type="http://schemas.openxmlformats.org/officeDocument/2006/relationships/hyperlink" Target="https://www.usgs.gov/3d-hydrography-program" TargetMode="External" Id="rId189"/><Relationship Type="http://schemas.openxmlformats.org/officeDocument/2006/relationships/hyperlink" Target="https://www.eea.europa.eu/en/datahub/datahubitem-view/778ef9f5-6293-4846-badd-56a29c70880d" TargetMode="External" Id="rId190"/><Relationship Type="http://schemas.openxmlformats.org/officeDocument/2006/relationships/hyperlink" Target="https://aqs.epa.gov/aqsweb/documents/data_api.html" TargetMode="External" Id="rId191"/><Relationship Type="http://schemas.openxmlformats.org/officeDocument/2006/relationships/hyperlink" Target="https://aqs.epa.gov/aqsweb/airdata/download_files.html" TargetMode="External" Id="rId192"/><Relationship Type="http://schemas.openxmlformats.org/officeDocument/2006/relationships/hyperlink" Target="https://www.epa.gov/outdoor-air-quality-data" TargetMode="External" Id="rId193"/><Relationship Type="http://schemas.openxmlformats.org/officeDocument/2006/relationships/hyperlink" Target="https://docs.airnowapi.org/" TargetMode="External" Id="rId194"/><Relationship Type="http://schemas.openxmlformats.org/officeDocument/2006/relationships/hyperlink" Target="https://airqo.net/" TargetMode="External" Id="rId195"/><Relationship Type="http://schemas.openxmlformats.org/officeDocument/2006/relationships/hyperlink" Target="https://dataverse.harvard.edu/dataset.xhtml?persistentId=doi:10.7910/DVN/RHIFKL" TargetMode="External" Id="rId196"/><Relationship Type="http://schemas.openxmlformats.org/officeDocument/2006/relationships/hyperlink" Target="https://www.fao.org/aquastat/en/" TargetMode="External" Id="rId197"/><Relationship Type="http://schemas.openxmlformats.org/officeDocument/2006/relationships/hyperlink" Target="https://www.eea.europa.eu/data-and-maps/data/bathing-water-directive-status-of-bathing-water-10/bathing-water-directive-status/excel-format-zip" TargetMode="External" Id="rId198"/><Relationship Type="http://schemas.openxmlformats.org/officeDocument/2006/relationships/hyperlink" Target="https://www.breathelondon.org/" TargetMode="External" Id="rId199"/><Relationship Type="http://schemas.openxmlformats.org/officeDocument/2006/relationships/hyperlink" Target="https://www.caces.us/data" TargetMode="External" Id="rId200"/><Relationship Type="http://schemas.openxmlformats.org/officeDocument/2006/relationships/hyperlink" Target="https://www.caces.us/data" TargetMode="External" Id="rId201"/><Relationship Type="http://schemas.openxmlformats.org/officeDocument/2006/relationships/hyperlink" Target="https://ads.atmosphere.copernicus.eu/datasets/cams-europe-air-quality-reanalyses?tab=overview" TargetMode="External" Id="rId202"/><Relationship Type="http://schemas.openxmlformats.org/officeDocument/2006/relationships/hyperlink" Target="https://ads.atmosphere.copernicus.eu/datasets/cams-global-reanalysis-eac4?tab=overview" TargetMode="External" Id="rId203"/><Relationship Type="http://schemas.openxmlformats.org/officeDocument/2006/relationships/hyperlink" Target="https://weijing-rs.github.io/product.html" TargetMode="External" Id="rId204"/><Relationship Type="http://schemas.openxmlformats.org/officeDocument/2006/relationships/hyperlink" Target="https://campd.epa.gov/" TargetMode="External" Id="rId205"/><Relationship Type="http://schemas.openxmlformats.org/officeDocument/2006/relationships/hyperlink" Target="https://dataspace.copernicus.eu/explore-data/data-collections/copernicus-contributing-missions/collections-description/COP-DEM" TargetMode="External" Id="rId206"/><Relationship Type="http://schemas.openxmlformats.org/officeDocument/2006/relationships/hyperlink" Target="https://land.copernicus.eu/en/products/corine-land-cover" TargetMode="External" Id="rId207"/><Relationship Type="http://schemas.openxmlformats.org/officeDocument/2006/relationships/hyperlink" Target="https://www.earthdata.nasa.gov/data/catalog/esdis-ciesin-sedac-aqdh-dao3-us-1km-1.10-1.10" TargetMode="External" Id="rId208"/><Relationship Type="http://schemas.openxmlformats.org/officeDocument/2006/relationships/hyperlink" Target="https://www.earthdata.nasa.gov/data/catalog/esdis-ciesin-sedac-aqdh-dano2-us-1km-1.10-1.10" TargetMode="External" Id="rId209"/><Relationship Type="http://schemas.openxmlformats.org/officeDocument/2006/relationships/hyperlink" Target="https://www.earthdata.nasa.gov/data/catalog/esdis-ciesin-sedac-aqdh-dapm25-us-1km-1.10-1.10" TargetMode="External" Id="rId210"/><Relationship Type="http://schemas.openxmlformats.org/officeDocument/2006/relationships/hyperlink" Target="https://data.amerigeoss.org/dataset/daily-census-tract-level-ozone-concentrations-2011-2015" TargetMode="External" Id="rId211"/><Relationship Type="http://schemas.openxmlformats.org/officeDocument/2006/relationships/hyperlink" Target="https://catalog.data.gov/dataset/daily-census-tract-level-pm2-5-concentrations-2011-2015" TargetMode="External" Id="rId212"/><Relationship Type="http://schemas.openxmlformats.org/officeDocument/2006/relationships/hyperlink" Target="https://data.cdc.gov/Environmental-Health-Toxicology/Daily-County-Level-PM2-5-Concentrations-2001-2022/53mz-4zqd/about_data" TargetMode="External" Id="rId213"/><Relationship Type="http://schemas.openxmlformats.org/officeDocument/2006/relationships/hyperlink" Target="https://www.epa.gov/enviroatlas/enviroatlas-data" TargetMode="External" Id="rId214"/><Relationship Type="http://schemas.openxmlformats.org/officeDocument/2006/relationships/hyperlink" Target="https://www.epa.gov/enviroatlas/data-download" TargetMode="External" Id="rId215"/><Relationship Type="http://schemas.openxmlformats.org/officeDocument/2006/relationships/hyperlink" Target="https://climate.esa.int/en/projects/soil-moisture/" TargetMode="External" Id="rId216"/><Relationship Type="http://schemas.openxmlformats.org/officeDocument/2006/relationships/hyperlink" Target="https://climate.esa.int/en/projects/land-cover/" TargetMode="External" Id="rId217"/><Relationship Type="http://schemas.openxmlformats.org/officeDocument/2006/relationships/hyperlink" Target="https://esa-worldcover.org/en" TargetMode="External" Id="rId218"/><Relationship Type="http://schemas.openxmlformats.org/officeDocument/2006/relationships/hyperlink" Target="https://www.uu.nl/en/research/life-sciences/collaborate/hubs/utrecht-exposome-hub/tools" TargetMode="External" Id="rId219"/><Relationship Type="http://schemas.openxmlformats.org/officeDocument/2006/relationships/hyperlink" Target="https://www.epa.gov/hesc/rsig-related-downloadable-data-files" TargetMode="External" Id="rId220"/><Relationship Type="http://schemas.openxmlformats.org/officeDocument/2006/relationships/hyperlink" Target="https://doi.org/10.7927/H4N877QK" TargetMode="External" Id="rId221"/><Relationship Type="http://schemas.openxmlformats.org/officeDocument/2006/relationships/hyperlink" Target="https://grace.jpl.nasa.gov/data/get-data/jpl_global_mascons/" TargetMode="External" Id="rId222"/><Relationship Type="http://schemas.openxmlformats.org/officeDocument/2006/relationships/hyperlink" Target="https://www.epa.gov/green-book/green-book-data-download" TargetMode="External" Id="rId223"/><Relationship Type="http://schemas.openxmlformats.org/officeDocument/2006/relationships/hyperlink" Target="https://www.epa.gov/ghgreporting/data-sets" TargetMode="External" Id="rId224"/><Relationship Type="http://schemas.openxmlformats.org/officeDocument/2006/relationships/hyperlink" Target="https://www.earthdata.nasa.gov/data/catalog/ges-disc-haq-tropomi-no2-conus-m-l3-2.4" TargetMode="External" Id="rId225"/><Relationship Type="http://schemas.openxmlformats.org/officeDocument/2006/relationships/hyperlink" Target="https://www.earthdata.nasa.gov/data/catalog/lpcloud-hlsl30-2.0" TargetMode="External" Id="rId226"/><Relationship Type="http://schemas.openxmlformats.org/officeDocument/2006/relationships/hyperlink" Target="https://www.hydrosheds.org/products" TargetMode="External" Id="rId227"/><Relationship Type="http://schemas.openxmlformats.org/officeDocument/2006/relationships/hyperlink" Target="https://www.usgs.gov/landsat-missions/landsat-collection-2" TargetMode="External" Id="rId228"/><Relationship Type="http://schemas.openxmlformats.org/officeDocument/2006/relationships/hyperlink" Target="https://www.earthdata.nasa.gov/data/catalog/lpcloud-mod11a2-061" TargetMode="External" Id="rId229"/><Relationship Type="http://schemas.openxmlformats.org/officeDocument/2006/relationships/hyperlink" Target="https://nsidc.org/data/mod10a1/versions/61" TargetMode="External" Id="rId230"/><Relationship Type="http://schemas.openxmlformats.org/officeDocument/2006/relationships/hyperlink" Target="https://www.earthdata.nasa.gov/data/catalog/lpcloud-mod13a2-061" TargetMode="External" Id="rId231"/><Relationship Type="http://schemas.openxmlformats.org/officeDocument/2006/relationships/hyperlink" Target="https://www.earthdata.nasa.gov/data/catalog/lpcloud-mcd19a2-061" TargetMode="External" Id="rId232"/><Relationship Type="http://schemas.openxmlformats.org/officeDocument/2006/relationships/hyperlink" Target="https://www.earthdata.nasa.gov/data/catalog/lpcloud-mcd12q1-061" TargetMode="External" Id="rId233"/><Relationship Type="http://schemas.openxmlformats.org/officeDocument/2006/relationships/hyperlink" Target="https://www.earthdata.nasa.gov/data/catalog/lpcloud-nasadem-hgt-001" TargetMode="External" Id="rId234"/><Relationship Type="http://schemas.openxmlformats.org/officeDocument/2006/relationships/hyperlink" Target="https://open.canada.ca/data/en/dataset/1b36a356-defd-4813-acea-47bc3abd859b" TargetMode="External" Id="rId235"/><Relationship Type="http://schemas.openxmlformats.org/officeDocument/2006/relationships/hyperlink" Target="https://www.cdc.gov/nceh/tracking/" TargetMode="External" Id="rId236"/><Relationship Type="http://schemas.openxmlformats.org/officeDocument/2006/relationships/hyperlink" Target="https://catalog.data.gov/dataset/national-transportation-noise-map" TargetMode="External" Id="rId237"/><Relationship Type="http://schemas.openxmlformats.org/officeDocument/2006/relationships/hyperlink" Target="https://www.eea.europa.eu/en/datahub/datahubitem-view/6fc8ad2d-195d-40f4-bdec-576e7d1268e4" TargetMode="External" Id="rId238"/><Relationship Type="http://schemas.openxmlformats.org/officeDocument/2006/relationships/hyperlink" Target="https://data.fs.usda.gov/geodata/rastergateway/treecanopycover/" TargetMode="External" Id="rId239"/><Relationship Type="http://schemas.openxmlformats.org/officeDocument/2006/relationships/hyperlink" Target="https://www.eea.europa.eu/en/datahub/datahubitem-view/c952f520-8d71-42c9-b74c-b7eb002f939b" TargetMode="External" Id="rId240"/><Relationship Type="http://schemas.openxmlformats.org/officeDocument/2006/relationships/hyperlink" Target="https://www.data.gouv.fr/datasets/qualite-de-lair-de-leau-et-potentiel-radon-par-commune-francaise" TargetMode="External" Id="rId241"/><Relationship Type="http://schemas.openxmlformats.org/officeDocument/2006/relationships/hyperlink" Target="https://sites.wustl.edu/acag/datasets/surface-pm2-5/" TargetMode="External" Id="rId242"/><Relationship Type="http://schemas.openxmlformats.org/officeDocument/2006/relationships/hyperlink" Target="https://nsidc.org/data/spl3smp_e/versions/6" TargetMode="External" Id="rId243"/><Relationship Type="http://schemas.openxmlformats.org/officeDocument/2006/relationships/hyperlink" Target="https://www.isric.org/explore/soilgrids" TargetMode="External" Id="rId244"/><Relationship Type="http://schemas.openxmlformats.org/officeDocument/2006/relationships/hyperlink" Target="https://aqicn.org/api/" TargetMode="External" Id="rId245"/><Relationship Type="http://schemas.openxmlformats.org/officeDocument/2006/relationships/hyperlink" Target="https://www.earthdata.nasa.gov/data/catalog/lpcloud-srtmgl1-003" TargetMode="External" Id="rId246"/><Relationship Type="http://schemas.openxmlformats.org/officeDocument/2006/relationships/hyperlink" Target="http://www.ers.usda.gov/data-products/food-access-research-atlas" TargetMode="External" Id="rId247"/><Relationship Type="http://schemas.openxmlformats.org/officeDocument/2006/relationships/hyperlink" Target="http://www.ers.usda.gov/data-products/food-environment-atlas" TargetMode="External" Id="rId248"/><Relationship Type="http://schemas.openxmlformats.org/officeDocument/2006/relationships/hyperlink" Target="https://gis-mdc.opendata.arcgis.com/datasets/MDC::hospital/about" TargetMode="External" Id="rId249"/><Relationship Type="http://schemas.openxmlformats.org/officeDocument/2006/relationships/hyperlink" Target="https://stacks.cdc.gov/view/cdc/13321" TargetMode="External" Id="rId250"/><Relationship Type="http://schemas.openxmlformats.org/officeDocument/2006/relationships/hyperlink" Target="https://www.cdc.gov/places/about/index.html" TargetMode="External" Id="rId251"/><Relationship Type="http://schemas.openxmlformats.org/officeDocument/2006/relationships/hyperlink" Target="https://www.americashealthrankings.org/about/methodology/our-reports" TargetMode="External" Id="rId252"/><Relationship Type="http://schemas.openxmlformats.org/officeDocument/2006/relationships/hyperlink" Target="https://www.cdc.gov/brfss/smart/smart_data.htm" TargetMode="External" Id="rId253"/><Relationship Type="http://schemas.openxmlformats.org/officeDocument/2006/relationships/hyperlink" Target="https://wonder.cdc.gov/" TargetMode="External" Id="rId254"/><Relationship Type="http://schemas.openxmlformats.org/officeDocument/2006/relationships/hyperlink" Target="https://www.cityhealthdashboard.com/" TargetMode="External" Id="rId255"/><Relationship Type="http://schemas.openxmlformats.org/officeDocument/2006/relationships/hyperlink" Target="https://data.humdata.org/dataset/colombia-health-facilities-2021" TargetMode="External" Id="rId256"/><Relationship Type="http://schemas.openxmlformats.org/officeDocument/2006/relationships/hyperlink" Target="https://www.countyhealthrankings.org/health-data/methodology-and-sources/data-documentation" TargetMode="External" Id="rId257"/><Relationship Type="http://schemas.openxmlformats.org/officeDocument/2006/relationships/hyperlink" Target="https://data.dartmouthatlas.org/" TargetMode="External" Id="rId258"/><Relationship Type="http://schemas.openxmlformats.org/officeDocument/2006/relationships/hyperlink" Target="https://data.humdata.org/dataset/ethiopian-health-facilities" TargetMode="External" Id="rId259"/><Relationship Type="http://schemas.openxmlformats.org/officeDocument/2006/relationships/hyperlink" Target="https://fingertips.phe.org.uk/" TargetMode="External" Id="rId260"/><Relationship Type="http://schemas.openxmlformats.org/officeDocument/2006/relationships/hyperlink" Target="https://www.earthdata.nasa.gov/data/catalog/esdis-ciesin-sedac-pmp-imr-v2-2.0" TargetMode="External" Id="rId261"/><Relationship Type="http://schemas.openxmlformats.org/officeDocument/2006/relationships/hyperlink" Target="https://data.humdata.org/dataset/unicef-hva-pmtct-stat-num" TargetMode="External" Id="rId262"/><Relationship Type="http://schemas.openxmlformats.org/officeDocument/2006/relationships/hyperlink" Target="https://data.opendevelopmentmekong.net/dataset/health-facilities-in-mekong-countries-2020" TargetMode="External" Id="rId263"/><Relationship Type="http://schemas.openxmlformats.org/officeDocument/2006/relationships/hyperlink" Target="https://data.opendevelopmentmekong.net/dataset/health-facilities-in-thailand-2020" TargetMode="External" Id="rId264"/><Relationship Type="http://schemas.openxmlformats.org/officeDocument/2006/relationships/hyperlink" Target="https://data.humdata.org/dataset/hotosm_gha_health_facilities" TargetMode="External" Id="rId265"/><Relationship Type="http://schemas.openxmlformats.org/officeDocument/2006/relationships/hyperlink" Target="https://data.humdata.org/dataset/hotosm_ind_health_facilities" TargetMode="External" Id="rId266"/><Relationship Type="http://schemas.openxmlformats.org/officeDocument/2006/relationships/hyperlink" Target="https://data.humdata.org/dataset/hotosm_idn_health_facilities" TargetMode="External" Id="rId267"/><Relationship Type="http://schemas.openxmlformats.org/officeDocument/2006/relationships/hyperlink" Target="https://data.humdata.org/dataset/hotosm_ken_health_facilities" TargetMode="External" Id="rId268"/><Relationship Type="http://schemas.openxmlformats.org/officeDocument/2006/relationships/hyperlink" Target="https://data.humdata.org/dataset/hotosm_phl_health_facilities" TargetMode="External" Id="rId269"/><Relationship Type="http://schemas.openxmlformats.org/officeDocument/2006/relationships/hyperlink" Target="https://aho.afro.who.int/" TargetMode="External" Id="rId270"/><Relationship Type="http://schemas.openxmlformats.org/officeDocument/2006/relationships/hyperlink" Target="https://www.cdc.gov/heart-disease-stroke-atlas/about/index.html" TargetMode="External" Id="rId271"/><Relationship Type="http://schemas.openxmlformats.org/officeDocument/2006/relationships/hyperlink" Target="https://data.malariaatlas.org/" TargetMode="External" Id="rId272"/><Relationship Type="http://schemas.openxmlformats.org/officeDocument/2006/relationships/hyperlink" Target="https://data.humdata.org/dataset/nigeria-health-facilities" TargetMode="External" Id="rId273"/><Relationship Type="http://schemas.openxmlformats.org/officeDocument/2006/relationships/hyperlink" Target="https://data.humdata.org/dataset/nigeria-hospitals-and-clinics-with-registration-status-and-location" TargetMode="External" Id="rId274"/><Relationship Type="http://schemas.openxmlformats.org/officeDocument/2006/relationships/hyperlink" Target="https://www.cdc.gov/places/index.html" TargetMode="External" Id="rId275"/><Relationship Type="http://schemas.openxmlformats.org/officeDocument/2006/relationships/hyperlink" Target="https://data.humdata.org/dataset/somalia-health-facilities-data" TargetMode="External" Id="rId276"/><Relationship Type="http://schemas.openxmlformats.org/officeDocument/2006/relationships/hyperlink" Target="https://statecancerprofiles.cancer.gov/" TargetMode="External" Id="rId277"/><Relationship Type="http://schemas.openxmlformats.org/officeDocument/2006/relationships/hyperlink" Target="https://www.cdc.gov/cdi/index.html" TargetMode="External" Id="rId278"/><Relationship Type="http://schemas.openxmlformats.org/officeDocument/2006/relationships/hyperlink" Target="https://www.cdc.gov/nchs/nvss/usaleep/usaleep.html" TargetMode="External" Id="rId279"/><Relationship Type="http://schemas.openxmlformats.org/officeDocument/2006/relationships/hyperlink" Target="https://data.cdc.gov/Public-Health-Surveillance/United-States-COVID-19-Community-Levels-by-County/3nnm-4jni" TargetMode="External" Id="rId280"/><Relationship Type="http://schemas.openxmlformats.org/officeDocument/2006/relationships/hyperlink" Target="https://ghdx.healthdata.org/us-data" TargetMode="External" Id="rId281"/><Relationship Type="http://schemas.openxmlformats.org/officeDocument/2006/relationships/hyperlink" Target="https://platform.who.int/mortality" TargetMode="External" Id="rId282"/><Relationship Type="http://schemas.openxmlformats.org/officeDocument/2006/relationships/hyperlink" Target="https://www.who.int/teams/global-programme-on-tuberculosis-and-lung-health/data" TargetMode="External" Id="rId283"/><Relationship Type="http://schemas.openxmlformats.org/officeDocument/2006/relationships/hyperlink" Target="https://www.gov.uk/government/collections/rural-urban-classification" TargetMode="External" Id="rId284"/><Relationship Type="http://schemas.openxmlformats.org/officeDocument/2006/relationships/hyperlink" Target="https://ucdp.uu.se/downloads/" TargetMode="External" Id="rId285"/><Relationship Type="http://schemas.openxmlformats.org/officeDocument/2006/relationships/hyperlink" Target="https://ukdataservice.ac.uk/find-data/" TargetMode="External" Id="rId286"/><Relationship Type="http://schemas.openxmlformats.org/officeDocument/2006/relationships/hyperlink" Target="https://data.geods.ac.uk/dataset/access-to-healthy-assets-hazards-ahah" TargetMode="External" Id="rId287"/><Relationship Type="http://schemas.openxmlformats.org/officeDocument/2006/relationships/hyperlink" Target="https://www.ahrq.gov/data/innovations/clh-data.html" TargetMode="External" Id="rId288"/><Relationship Type="http://schemas.openxmlformats.org/officeDocument/2006/relationships/hyperlink" Target="https://www.neighborhoodatlas.medicine.wisc.edu/" TargetMode="External" Id="rId289"/><Relationship Type="http://schemas.openxmlformats.org/officeDocument/2006/relationships/hyperlink" Target="https://data.hrsa.gov/topics/health-workforce/ahrf" TargetMode="External" Id="rId290"/><Relationship Type="http://schemas.openxmlformats.org/officeDocument/2006/relationships/hyperlink" Target="http://ivs.ipea.gov.br/" TargetMode="External" Id="rId291"/><Relationship Type="http://schemas.openxmlformats.org/officeDocument/2006/relationships/hyperlink" Target="https://www.ine.es/dyngs/INEbase/es/operacion.htm?c=Estadistica_C&amp;cid=1254736177088&amp;menu=ultiDatos&amp;idp=1254735976608" TargetMode="External" Id="rId292"/><Relationship Type="http://schemas.openxmlformats.org/officeDocument/2006/relationships/hyperlink" Target="https://www.atsdr.cdc.gov/place-health/php/svi/svi-data-documentation-download.html" TargetMode="External" Id="rId293"/><Relationship Type="http://schemas.openxmlformats.org/officeDocument/2006/relationships/hyperlink" Target="https://www.diversitydatakids.org/child-opportunity-index" TargetMode="External" Id="rId294"/><Relationship Type="http://schemas.openxmlformats.org/officeDocument/2006/relationships/hyperlink" Target="https://www.census.gov/programs-surveys/community-resilience-estimates.html" TargetMode="External" Id="rId295"/><Relationship Type="http://schemas.openxmlformats.org/officeDocument/2006/relationships/hyperlink" Target="https://www.huduser.gov/portal/datasets/cp.html" TargetMode="External" Id="rId296"/><Relationship Type="http://schemas.openxmlformats.org/officeDocument/2006/relationships/hyperlink" Target="https://www.gov.uk/government/collections/english-indices-of-deprivation" TargetMode="External" Id="rId297"/><Relationship Type="http://schemas.openxmlformats.org/officeDocument/2006/relationships/hyperlink" Target="https://www.atsdr.cdc.gov/place-health/php/eji/index.html" TargetMode="External" Id="rId298"/><Relationship Type="http://schemas.openxmlformats.org/officeDocument/2006/relationships/hyperlink" Target="https://ec.europa.eu/eurostat/web/regions/database" TargetMode="External" Id="rId299"/><Relationship Type="http://schemas.openxmlformats.org/officeDocument/2006/relationships/hyperlink" Target="https://evictionlab.org/eviction-tracking/get-the-data/" TargetMode="External" Id="rId300"/><Relationship Type="http://schemas.openxmlformats.org/officeDocument/2006/relationships/hyperlink" Target="https://www.huduser.gov/portal/datasets/fmr.html" TargetMode="External" Id="rId301"/><Relationship Type="http://schemas.openxmlformats.org/officeDocument/2006/relationships/hyperlink" Target="https://datacatalog.worldbank.org/search/dataset/0042041/global-subnational-atlas-of-poverty" TargetMode="External" Id="rId302"/><Relationship Type="http://schemas.openxmlformats.org/officeDocument/2006/relationships/hyperlink" Target="https://data.hrsa.gov/data/download" TargetMode="External" Id="rId303"/><Relationship Type="http://schemas.openxmlformats.org/officeDocument/2006/relationships/hyperlink" Target="https://data.hrsa.gov/topics/health-workforce/shortage-areas" TargetMode="External" Id="rId304"/><Relationship Type="http://schemas.openxmlformats.org/officeDocument/2006/relationships/hyperlink" Target="https://www.datalumos.org/datalumos/project/240592/version/V1/view" TargetMode="External" Id="rId305"/><Relationship Type="http://schemas.openxmlformats.org/officeDocument/2006/relationships/hyperlink" Target="https://data.cms.gov/provider-data/dataset/xubh-q36u" TargetMode="External" Id="rId306"/><Relationship Type="http://schemas.openxmlformats.org/officeDocument/2006/relationships/hyperlink" Target="https://www.gob.mx/conapo/documentos/indices-de-marginacion-2020-284372" TargetMode="External" Id="rId307"/><Relationship Type="http://schemas.openxmlformats.org/officeDocument/2006/relationships/hyperlink" Target="https://www.worldbank.org/en/programs/lsms" TargetMode="External" Id="rId308"/><Relationship Type="http://schemas.openxmlformats.org/officeDocument/2006/relationships/hyperlink" Target="https://minorityhealth.hhs.gov/minority-health-svi" TargetMode="External" Id="rId309"/><Relationship Type="http://schemas.openxmlformats.org/officeDocument/2006/relationships/hyperlink" Target="https://nanda.isr.umich.edu/2026/04/09/12-nanda-datasets-updated-through-2022/" TargetMode="External" Id="rId310"/><Relationship Type="http://schemas.openxmlformats.org/officeDocument/2006/relationships/hyperlink" Target="https://data.cms.gov/provider-data/dataset/4pq5-n9py" TargetMode="External" Id="rId311"/><Relationship Type="http://schemas.openxmlformats.org/officeDocument/2006/relationships/hyperlink" Target="https://www.fema.gov/openfema-data-page/fima-nfip-redacted-claims-v2" TargetMode="External" Id="rId312"/><Relationship Type="http://schemas.openxmlformats.org/officeDocument/2006/relationships/hyperlink" Target="https://data.cms.gov/provider-characteristics/hospitals-and-other-facilities/provider-of-services-file-hospital-non-hospital-facilities" TargetMode="External" Id="rId313"/><Relationship Type="http://schemas.openxmlformats.org/officeDocument/2006/relationships/hyperlink" Target="https://www.data.gouv.fr/datasets/revenus-a-la-commune-en-france" TargetMode="External" Id="rId314"/><Relationship Type="http://schemas.openxmlformats.org/officeDocument/2006/relationships/hyperlink" Target="https://www.epa.gov/ground-water-and-drinking-water/safe-drinking-water-information-system-sdwis-federal-reporting" TargetMode="External" Id="rId315"/><Relationship Type="http://schemas.openxmlformats.org/officeDocument/2006/relationships/hyperlink" Target="https://www.census.gov/programs-surveys/sahie.html" TargetMode="External" Id="rId316"/><Relationship Type="http://schemas.openxmlformats.org/officeDocument/2006/relationships/hyperlink" Target="https://www.census.gov/programs-surveys/saipe.html" TargetMode="External" Id="rId317"/><Relationship Type="http://schemas.openxmlformats.org/officeDocument/2006/relationships/hyperlink" Target="https://opportunityinsights.org/data/" TargetMode="External" Id="rId318"/><Relationship Type="http://schemas.openxmlformats.org/officeDocument/2006/relationships/hyperlink" Target="https://www.graham-center.org/maps-data-tools/social-deprivation-index.html" TargetMode="External" Id="rId319"/><Relationship Type="http://schemas.openxmlformats.org/officeDocument/2006/relationships/hyperlink" Target="https://www.abs.gov.au/statistics/people/people-and-communities/socio-economic-indexes-areas-seifa-australia/latest-release" TargetMode="External" Id="rId320"/><Relationship Type="http://schemas.openxmlformats.org/officeDocument/2006/relationships/hyperlink" Target="https://developer.va.gov/explore/api/va-facilities" TargetMode="External" Id="rId321"/><Relationship Type="http://schemas.openxmlformats.org/officeDocument/2006/relationships/hyperlink" Target="https://microdata.worldbank.org/index.php/home" TargetMode="External" Id="rId322"/><Relationship Type="http://schemas.openxmlformats.org/officeDocument/2006/relationships/hyperlink" Target="https://www.epa.gov/AirToxScreen/2020-airtoxscreen-assessment-results" TargetMode="External" Id="rId323"/><Relationship Type="http://schemas.openxmlformats.org/officeDocument/2006/relationships/hyperlink" Target="https://catalog.data.gov/dataset/calenviroscreen-4-0" TargetMode="External" Id="rId324"/><Relationship Type="http://schemas.openxmlformats.org/officeDocument/2006/relationships/hyperlink" Target="https://www.epa.gov/cleanups/cleanups-my-community" TargetMode="External" Id="rId325"/><Relationship Type="http://schemas.openxmlformats.org/officeDocument/2006/relationships/hyperlink" Target="https://echo.epa.gov/tools/data-downloads" TargetMode="External" Id="rId326"/><Relationship Type="http://schemas.openxmlformats.org/officeDocument/2006/relationships/hyperlink" Target="https://www.epa.gov/enviro/web-services" TargetMode="External" Id="rId327"/><Relationship Type="http://schemas.openxmlformats.org/officeDocument/2006/relationships/hyperlink" Target="https://water.usgs.gov/nawqa/pnsp/usage/maps/" TargetMode="External" Id="rId328"/><Relationship Type="http://schemas.openxmlformats.org/officeDocument/2006/relationships/hyperlink" Target="https://www.epa.gov/frs/frs-data-resources" TargetMode="External" Id="rId329"/><Relationship Type="http://schemas.openxmlformats.org/officeDocument/2006/relationships/hyperlink" Target="https://fracfocus.org/data-download" TargetMode="External" Id="rId330"/><Relationship Type="http://schemas.openxmlformats.org/officeDocument/2006/relationships/hyperlink" Target="https://sdi.eea.europa.eu/catalogue/srv/api/records/3da7d329-beea-4a7b-89bc-d45fc1c4b8ac" TargetMode="External" Id="rId331"/><Relationship Type="http://schemas.openxmlformats.org/officeDocument/2006/relationships/hyperlink" Target="https://zenodo-rdm.web.cern.ch/records/17187663" TargetMode="External" Id="rId332"/><Relationship Type="http://schemas.openxmlformats.org/officeDocument/2006/relationships/hyperlink" Target="https://www.epa.gov/air-emissions-inventories/2020-national-emissions-inventory-nei-data" TargetMode="External" Id="rId333"/><Relationship Type="http://schemas.openxmlformats.org/officeDocument/2006/relationships/hyperlink" Target="https://www.cdpr.ca.gov/pesticide-use-in-california/pesticide-use-reporting/" TargetMode="External" Id="rId334"/><Relationship Type="http://schemas.openxmlformats.org/officeDocument/2006/relationships/hyperlink" Target="https://catalog.data.gov/dataset/pipeline-incident-flagged-files" TargetMode="External" Id="rId335"/><Relationship Type="http://schemas.openxmlformats.org/officeDocument/2006/relationships/hyperlink" Target="https://www.epa.gov/rmp" TargetMode="External" Id="rId336"/><Relationship Type="http://schemas.openxmlformats.org/officeDocument/2006/relationships/hyperlink" Target="https://www.epa.gov/rsei/ways-get-rsei-results" TargetMode="External" Id="rId337"/><Relationship Type="http://schemas.openxmlformats.org/officeDocument/2006/relationships/hyperlink" Target="https://www.epa.gov/rsei/rsei-geographic-microdata-rsei-gm" TargetMode="External" Id="rId338"/><Relationship Type="http://schemas.openxmlformats.org/officeDocument/2006/relationships/hyperlink" Target="https://sdwis.epa.gov/ords/sfdw_pub/r/sfdw/sdwis_fed_reports_public/service-line-inventory" TargetMode="External" Id="rId339"/><Relationship Type="http://schemas.openxmlformats.org/officeDocument/2006/relationships/hyperlink" Target="https://www.epa.gov/toxics-release-inventory-tri-program/tri-basic-data-files-calendar-years-1987-present" TargetMode="External" Id="rId340"/><Relationship Type="http://schemas.openxmlformats.org/officeDocument/2006/relationships/hyperlink" Target="https://www.epa.gov/dwucmr/occurrence-data-unregulated-contaminant-monitoring-rule" TargetMode="External" Id="rId341"/><Relationship Type="http://schemas.openxmlformats.org/officeDocument/2006/relationships/hyperlink" Target="https://www.usgs.gov/centers/gggsc/science/usmin-mineral-deposit-database" TargetMode="External" Id="rId342"/><Relationship Type="http://schemas.openxmlformats.org/officeDocument/2006/relationships/hyperlink" Target="https://www.epa.gov/dwucmr/occurrence-data-unregulated-contaminant-monitoring-rule" TargetMode="External" Id="rId343"/><Relationship Type="http://schemas.openxmlformats.org/officeDocument/2006/relationships/hyperlink" Target="https://www.earthdata.nasa.gov/data/projects/cyan" TargetMode="External" Id="rId344"/><Relationship Type="http://schemas.openxmlformats.org/officeDocument/2006/relationships/hyperlink" Target="https://www.epa.gov/dwucmr/occurrence-data-unregulated-contaminant-monitoring-rule" TargetMode="External" Id="rId345"/></Relationships>
</file>

<file path=xl/worksheets/_rels/sheet5.xml.rels><Relationships xmlns="http://schemas.openxmlformats.org/package/2006/relationships"><Relationship Type="http://schemas.openxmlformats.org/officeDocument/2006/relationships/hyperlink" Target="https://www.bfs.admin.ch/bfs/en/home/services/geostat/swiss-federal-statistics-geodata/population-buildings-dwellings-persons/population-housholds-from-2010.html" TargetMode="External" Id="rId1"/><Relationship Type="http://schemas.openxmlformats.org/officeDocument/2006/relationships/hyperlink" Target="https://web.archive.org/web/20260520075218/https://www.bfs.admin.ch/bfs/en/home/services/geostat/swiss-federal-statistics-geodata/population-buildings-dwellings-persons/population-housholds-from-2010.html" TargetMode="External" Id="rId2"/><Relationship Type="http://schemas.openxmlformats.org/officeDocument/2006/relationships/hyperlink" Target="https://data-nifc.opendata.arcgis.com/" TargetMode="External" Id="rId3"/><Relationship Type="http://schemas.openxmlformats.org/officeDocument/2006/relationships/hyperlink" Target="https://web.archive.org/web/20261002064241/https://data-nifc.opendata.arcgis.com/" TargetMode="External" Id="rId4"/><Relationship Type="http://schemas.openxmlformats.org/officeDocument/2006/relationships/hyperlink" Target="https://gis-mdc.opendata.arcgis.com/documents/MDC::2015-miami-dade-county-dem-10ft/about" TargetMode="External" Id="rId5"/><Relationship Type="http://schemas.openxmlformats.org/officeDocument/2006/relationships/hyperlink" Target="https://web.archive.org/web/20260122142655/https://gis-mdc.opendata.arcgis.com/documents/MDC::2015-miami-dade-county-dem-10ft/about" TargetMode="External" Id="rId6"/><Relationship Type="http://schemas.openxmlformats.org/officeDocument/2006/relationships/hyperlink" Target="https://datahub-miamigis.opendata.arcgis.com/datasets/1ff4f95b49e142ee8d4e93bb33a9f42d_0/explore" TargetMode="External" Id="rId7"/><Relationship Type="http://schemas.openxmlformats.org/officeDocument/2006/relationships/hyperlink" Target="https://hudgis-hud.opendata.arcgis.com/" TargetMode="External" Id="rId8"/><Relationship Type="http://schemas.openxmlformats.org/officeDocument/2006/relationships/hyperlink" Target="https://web.archive.org/web/20261017065844/https://hudgis-hud.opendata.arcgis.com/" TargetMode="External" Id="rId9"/><Relationship Type="http://schemas.openxmlformats.org/officeDocument/2006/relationships/hyperlink" Target="https://gis-mdc.opendata.arcgis.com/datasets/MDC::water-p/about" TargetMode="External" Id="rId10"/><Relationship Type="http://schemas.openxmlformats.org/officeDocument/2006/relationships/hyperlink" Target="https://web.archive.org/web/20260122123145/https://gis-mdc.opendata.arcgis.com/datasets/MDC::water-p/about" TargetMode="External" Id="rId11"/><Relationship Type="http://schemas.openxmlformats.org/officeDocument/2006/relationships/hyperlink" Target="https://gis-mdc.opendata.arcgis.com/datasets/MDC::brownfield/about" TargetMode="External" Id="rId12"/><Relationship Type="http://schemas.openxmlformats.org/officeDocument/2006/relationships/hyperlink" Target="https://web.archive.org/web/20260215163426/https://gis-mdc.opendata.arcgis.com/datasets/MDC::brownfield/about" TargetMode="External" Id="rId13"/><Relationship Type="http://schemas.openxmlformats.org/officeDocument/2006/relationships/hyperlink" Target="https://gis-mdc.opendata.arcgis.com/datasets/MDC::commercial-property/about" TargetMode="External" Id="rId14"/><Relationship Type="http://schemas.openxmlformats.org/officeDocument/2006/relationships/hyperlink" Target="https://web.archive.org/web/20260215165215/https://gis-mdc.opendata.arcgis.com/datasets/MDC::commercial-property/about" TargetMode="External" Id="rId15"/><Relationship Type="http://schemas.openxmlformats.org/officeDocument/2006/relationships/hyperlink" Target="https://gis-mdc.opendata.arcgis.com/datasets/MDC::community-redevelopment-area/about" TargetMode="External" Id="rId16"/><Relationship Type="http://schemas.openxmlformats.org/officeDocument/2006/relationships/hyperlink" Target="https://web.archive.org/web/20260122125148/https://gis-mdc.opendata.arcgis.com/datasets/MDC::community-redevelopment-area/about" TargetMode="External" Id="rId17"/><Relationship Type="http://schemas.openxmlformats.org/officeDocument/2006/relationships/hyperlink" Target="https://gis-mdc.opendata.arcgis.com/datasets/21f56c05380e477ea3008fd527ddafe4_0/explore" TargetMode="External" Id="rId18"/><Relationship Type="http://schemas.openxmlformats.org/officeDocument/2006/relationships/hyperlink" Target="https://gis-mdc.opendata.arcgis.com/datasets/MDC::municipal-park-boundary/about" TargetMode="External" Id="rId19"/><Relationship Type="http://schemas.openxmlformats.org/officeDocument/2006/relationships/hyperlink" Target="https://web.archive.org/web/20260509194903/https://gis-mdc.opendata.arcgis.com/datasets/MDC::municipal-park-boundary/about" TargetMode="External" Id="rId20"/><Relationship Type="http://schemas.openxmlformats.org/officeDocument/2006/relationships/hyperlink" Target="https://gis-mdc.opendata.arcgis.com/datasets/MDC::county-park-boundary-view/about" TargetMode="External" Id="rId21"/><Relationship Type="http://schemas.openxmlformats.org/officeDocument/2006/relationships/hyperlink" Target="https://web.archive.org/web/20260122133747/https://gis-mdc.opendata.arcgis.com/datasets/MDC::county-park-boundary-view/about" TargetMode="External" Id="rId22"/><Relationship Type="http://schemas.openxmlformats.org/officeDocument/2006/relationships/hyperlink" Target="https://gis-mdc.opendata.arcgis.com/datasets/276ee4451b604600b8fcd8e870bd524a_0/explore" TargetMode="External" Id="rId23"/><Relationship Type="http://schemas.openxmlformats.org/officeDocument/2006/relationships/hyperlink" Target="https://gis-mdc.opendata.arcgis.com/datasets/MDC::federally-qualified-health-center/about" TargetMode="External" Id="rId24"/><Relationship Type="http://schemas.openxmlformats.org/officeDocument/2006/relationships/hyperlink" Target="https://web.archive.org/web/20260415064110/https://gis-mdc.opendata.arcgis.com/datasets/MDC::federally-qualified-health-center/about" TargetMode="External" Id="rId25"/><Relationship Type="http://schemas.openxmlformats.org/officeDocument/2006/relationships/hyperlink" Target="https://gis-mdc.opendata.arcgis.com/datasets/MDC::hospital/about" TargetMode="External" Id="rId26"/><Relationship Type="http://schemas.openxmlformats.org/officeDocument/2006/relationships/hyperlink" Target="https://web.archive.org/web/20260422110213/https://gis-mdc.opendata.arcgis.com/datasets/MDC::hospital/about" TargetMode="External" Id="rId27"/><Relationship Type="http://schemas.openxmlformats.org/officeDocument/2006/relationships/hyperlink" Target="https://gis-mdc.opendata.arcgis.com/datasets/MDC::qualified-opportunity-zones/about" TargetMode="External" Id="rId28"/><Relationship Type="http://schemas.openxmlformats.org/officeDocument/2006/relationships/hyperlink" Target="https://web.archive.org/web/20260122142303/https://gis-mdc.opendata.arcgis.com/datasets/MDC::qualified-opportunity-zones/about" TargetMode="External" Id="rId29"/><Relationship Type="http://schemas.openxmlformats.org/officeDocument/2006/relationships/hyperlink" Target="https://gis-mdc.opendata.arcgis.com/datasets/MDC::super-fund-site/about" TargetMode="External" Id="rId30"/><Relationship Type="http://schemas.openxmlformats.org/officeDocument/2006/relationships/hyperlink" Target="https://web.archive.org/web/20260122141750/https://gis-mdc.opendata.arcgis.com/datasets/MDC::super-fund-site/about" TargetMode="External" Id="rId31"/><Relationship Type="http://schemas.openxmlformats.org/officeDocument/2006/relationships/hyperlink" Target="https://hudgis-hud.opendata.arcgis.com/datasets/HUD::public-housing-developments-1/about" TargetMode="External" Id="rId32"/><Relationship Type="http://schemas.openxmlformats.org/officeDocument/2006/relationships/hyperlink" Target="https://web.archive.org/web/20260412154854/https://hudgis-hud.opendata.arcgis.com/datasets/HUD::public-housing-developments-1/about" TargetMode="External" Id="rId33"/><Relationship Type="http://schemas.openxmlformats.org/officeDocument/2006/relationships/hyperlink" Target="https://bbs.gov.bd/" TargetMode="External" Id="rId34"/><Relationship Type="http://schemas.openxmlformats.org/officeDocument/2006/relationships/hyperlink" Target="https://web.archive.org/web/20261017141429/https://bbs.gov.bd/" TargetMode="External" Id="rId35"/><Relationship Type="http://schemas.openxmlformats.org/officeDocument/2006/relationships/hyperlink" Target="https://datosabiertos.bogota.gov.co/dataset/estratificacion-para-bogota" TargetMode="External" Id="rId36"/><Relationship Type="http://schemas.openxmlformats.org/officeDocument/2006/relationships/hyperlink" Target="https://web.archive.org/web/20250717124908/https://datosabiertos.bogota.gov.co/dataset/estratificacion-para-bogota" TargetMode="External" Id="rId37"/><Relationship Type="http://schemas.openxmlformats.org/officeDocument/2006/relationships/hyperlink" Target="https://www.bps.go.id/en/publication/2024/12/10/2f5217e2d6a695a0830290a7/statistik-potensi-desa-indonesia-2024.html" TargetMode="External" Id="rId38"/><Relationship Type="http://schemas.openxmlformats.org/officeDocument/2006/relationships/hyperlink" Target="https://web.archive.org/web/20260423232955/https://www.bps.go.id/en/publication/2024/12/10/2f5217e2d6a695a0830290a7/statistik-potensi-desa-indonesia-2024.html" TargetMode="External" Id="rId39"/><Relationship Type="http://schemas.openxmlformats.org/officeDocument/2006/relationships/hyperlink" Target="https://geodata.bts.gov/" TargetMode="External" Id="rId40"/><Relationship Type="http://schemas.openxmlformats.org/officeDocument/2006/relationships/hyperlink" Target="https://web.archive.org/web/20261017131355/https://geodata.bts.gov/" TargetMode="External" Id="rId41"/><Relationship Type="http://schemas.openxmlformats.org/officeDocument/2006/relationships/hyperlink" Target="https://censusindia.gov.in/census.website/data/census-tables" TargetMode="External" Id="rId42"/><Relationship Type="http://schemas.openxmlformats.org/officeDocument/2006/relationships/hyperlink" Target="https://web.archive.org/web/20261009012447/https://censusindia.gov.in/census.website/data/census-tables" TargetMode="External" Id="rId43"/><Relationship Type="http://schemas.openxmlformats.org/officeDocument/2006/relationships/hyperlink" Target="https://global-flood-database.cloudtostreet.ai/" TargetMode="External" Id="rId44"/><Relationship Type="http://schemas.openxmlformats.org/officeDocument/2006/relationships/hyperlink" Target="https://web.archive.org/web/20260925102615/https://global-flood-database.cloudtostreet.ai/" TargetMode="External" Id="rId45"/><Relationship Type="http://schemas.openxmlformats.org/officeDocument/2006/relationships/hyperlink" Target="https://data.cms.gov/provider-characteristics/hospitals-and-other-facilities/provider-of-services-file-hospital-non-hospital-facilities" TargetMode="External" Id="rId46"/><Relationship Type="http://schemas.openxmlformats.org/officeDocument/2006/relationships/hyperlink" Target="https://web.archive.org/web/20261016094400/https://data.cms.gov/provider-characteristics/hospitals-and-other-facilities/provider-of-services-file-hospital-non-hospital-facilities" TargetMode="External" Id="rId47"/><Relationship Type="http://schemas.openxmlformats.org/officeDocument/2006/relationships/hyperlink" Target="https://sedac.ciesin.columbia.edu/data/set/lulc-human-modification-terrestrial-systems" TargetMode="External" Id="rId48"/><Relationship Type="http://schemas.openxmlformats.org/officeDocument/2006/relationships/hyperlink" Target="https://web.archive.org/web/20250510143011/https://sedac.ciesin.columbia.edu/data/set/lulc-human-modification-terrestrial-systems" TargetMode="External" Id="rId49"/><Relationship Type="http://schemas.openxmlformats.org/officeDocument/2006/relationships/hyperlink" Target="https://land.copernicus.eu/en/products/urban-atlas" TargetMode="External" Id="rId50"/><Relationship Type="http://schemas.openxmlformats.org/officeDocument/2006/relationships/hyperlink" Target="https://web.archive.org/web/20260930191838/https://land.copernicus.eu/en/products/urban-atlas" TargetMode="External" Id="rId51"/><Relationship Type="http://schemas.openxmlformats.org/officeDocument/2006/relationships/hyperlink" Target="https://european-flood.emergency.copernicus.eu/en/about-efas" TargetMode="External" Id="rId52"/><Relationship Type="http://schemas.openxmlformats.org/officeDocument/2006/relationships/hyperlink" Target="https://global-flood.emergency.copernicus.eu/" TargetMode="External" Id="rId53"/><Relationship Type="http://schemas.openxmlformats.org/officeDocument/2006/relationships/hyperlink" Target="https://web.archive.org/web/20261008152401/https://global-flood.emergency.copernicus.eu/" TargetMode="External" Id="rId54"/><Relationship Type="http://schemas.openxmlformats.org/officeDocument/2006/relationships/hyperlink" Target="https://geoportal.dane.gov.co/" TargetMode="External" Id="rId55"/><Relationship Type="http://schemas.openxmlformats.org/officeDocument/2006/relationships/hyperlink" Target="https://web.archive.org/web/20261017055007/https://geoportal.dane.gov.co/" TargetMode="External" Id="rId56"/><Relationship Type="http://schemas.openxmlformats.org/officeDocument/2006/relationships/hyperlink" Target="https://digital.nhs.uk/services/organisation-data-service/export-data-files/csv-downloads/gp-and-gp-practice-related-data" TargetMode="External" Id="rId57"/><Relationship Type="http://schemas.openxmlformats.org/officeDocument/2006/relationships/hyperlink" Target="https://web.archive.org/web/20261014114155/https://digital.nhs.uk/services/organisation-data-service/export-data-files/csv-downloads/gp-and-gp-practice-related-data" TargetMode="External" Id="rId58"/><Relationship Type="http://schemas.openxmlformats.org/officeDocument/2006/relationships/hyperlink" Target="https://transit.dot.gov/ntd" TargetMode="External" Id="rId59"/><Relationship Type="http://schemas.openxmlformats.org/officeDocument/2006/relationships/hyperlink" Target="https://web.archive.org/web/20261017184426/https://transit.dot.gov/ntd" TargetMode="External" Id="rId60"/><Relationship Type="http://schemas.openxmlformats.org/officeDocument/2006/relationships/hyperlink" Target="https://www.dwd.de/EN/ourservices/gpcc/gpcc.html" TargetMode="External" Id="rId61"/><Relationship Type="http://schemas.openxmlformats.org/officeDocument/2006/relationships/hyperlink" Target="https://web.archive.org/web/20261016191117/https://www.dwd.de/EN/ourservices/gpcc/gpcc.html" TargetMode="External" Id="rId62"/><Relationship Type="http://schemas.openxmlformats.org/officeDocument/2006/relationships/hyperlink" Target="https://atlas.eia.gov/" TargetMode="External" Id="rId63"/><Relationship Type="http://schemas.openxmlformats.org/officeDocument/2006/relationships/hyperlink" Target="https://web.archive.org/web/20261017014449/https://atlas.eia.gov/" TargetMode="External" Id="rId64"/><Relationship Type="http://schemas.openxmlformats.org/officeDocument/2006/relationships/hyperlink" Target="https://energydata.info/dataset?tags=AICD" TargetMode="External" Id="rId65"/><Relationship Type="http://schemas.openxmlformats.org/officeDocument/2006/relationships/hyperlink" Target="https://rcrapublic.epa.gov/rcra-public-export" TargetMode="External" Id="rId66"/><Relationship Type="http://schemas.openxmlformats.org/officeDocument/2006/relationships/hyperlink" Target="https://web.archive.org/web/20251213070317/https://rcrapublic.epa.gov/rcra-public-export" TargetMode="External" Id="rId67"/><Relationship Type="http://schemas.openxmlformats.org/officeDocument/2006/relationships/hyperlink" Target="https://atlas.ecdc.europa.eu/public/index.aspx" TargetMode="External" Id="rId68"/><Relationship Type="http://schemas.openxmlformats.org/officeDocument/2006/relationships/hyperlink" Target="https://web.archive.org/web/20261016044806/https://atlas.ecdc.europa.eu/public/index.aspx" TargetMode="External" Id="rId69"/><Relationship Type="http://schemas.openxmlformats.org/officeDocument/2006/relationships/hyperlink" Target="https://data.jrc.ec.europa.eu/collection/id-0054" TargetMode="External" Id="rId70"/><Relationship Type="http://schemas.openxmlformats.org/officeDocument/2006/relationships/hyperlink" Target="https://web.archive.org/web/20261012010118/https://data.jrc.ec.europa.eu/collection/id-0054" TargetMode="External" Id="rId71"/><Relationship Type="http://schemas.openxmlformats.org/officeDocument/2006/relationships/hyperlink" Target="https://wad.jrc.ec.europa.eu/" TargetMode="External" Id="rId72"/><Relationship Type="http://schemas.openxmlformats.org/officeDocument/2006/relationships/hyperlink" Target="https://web.archive.org/web/20260927003709/https://wad.jrc.ec.europa.eu/" TargetMode="External" Id="rId73"/><Relationship Type="http://schemas.openxmlformats.org/officeDocument/2006/relationships/hyperlink" Target="https://www.fao.org/faostat/en/" TargetMode="External" Id="rId74"/><Relationship Type="http://schemas.openxmlformats.org/officeDocument/2006/relationships/hyperlink" Target="https://web.archive.org/web/20261018112009/https://www.fao.org/faostat/en/" TargetMode="External" Id="rId75"/><Relationship Type="http://schemas.openxmlformats.org/officeDocument/2006/relationships/hyperlink" Target="https://gaez.fao.org/" TargetMode="External" Id="rId76"/><Relationship Type="http://schemas.openxmlformats.org/officeDocument/2006/relationships/hyperlink" Target="https://web.archive.org/web/20261008151552/https://gaez.fao.org/" TargetMode="External" Id="rId77"/><Relationship Type="http://schemas.openxmlformats.org/officeDocument/2006/relationships/hyperlink" Target="https://data.apps.fao.org/" TargetMode="External" Id="rId78"/><Relationship Type="http://schemas.openxmlformats.org/officeDocument/2006/relationships/hyperlink" Target="https://web.archive.org/web/20261016174729/https://data.apps.fao.org/" TargetMode="External" Id="rId79"/><Relationship Type="http://schemas.openxmlformats.org/officeDocument/2006/relationships/hyperlink" Target="https://data.apps.fao.org/wapor/" TargetMode="External" Id="rId80"/><Relationship Type="http://schemas.openxmlformats.org/officeDocument/2006/relationships/hyperlink" Target="https://web.archive.org/web/20261004162231/https://data.apps.fao.org/wapor/" TargetMode="External" Id="rId81"/><Relationship Type="http://schemas.openxmlformats.org/officeDocument/2006/relationships/hyperlink" Target="https://broadbandmap.fcc.gov/" TargetMode="External" Id="rId82"/><Relationship Type="http://schemas.openxmlformats.org/officeDocument/2006/relationships/hyperlink" Target="https://web.archive.org/web/20261017122816/https://broadbandmap.fcc.gov/" TargetMode="External" Id="rId83"/><Relationship Type="http://schemas.openxmlformats.org/officeDocument/2006/relationships/hyperlink" Target="https://statbel.fgov.be/en/open-data/statistical-sectors-2023" TargetMode="External" Id="rId84"/><Relationship Type="http://schemas.openxmlformats.org/officeDocument/2006/relationships/hyperlink" Target="https://web.archive.org/web/20241114170127/https://statbel.fgov.be/en/open-data/statistical-sectors-2023" TargetMode="External" Id="rId85"/><Relationship Type="http://schemas.openxmlformats.org/officeDocument/2006/relationships/hyperlink" Target="https://figshare.com/articles/dataset/Global_surface_NO2_concentrations_1990-2020/12968114/4" TargetMode="External" Id="rId86"/><Relationship Type="http://schemas.openxmlformats.org/officeDocument/2006/relationships/hyperlink" Target="https://web.archive.org/web/20251219123741/https://figshare.com/articles/dataset/Global_surface_NO2_concentrations_1990-2020/12968114/4" TargetMode="External" Id="rId87"/><Relationship Type="http://schemas.openxmlformats.org/officeDocument/2006/relationships/hyperlink" Target="https://firststreet.org/" TargetMode="External" Id="rId88"/><Relationship Type="http://schemas.openxmlformats.org/officeDocument/2006/relationships/hyperlink" Target="https://web.archive.org/web/20261012215820/https://firststreet.org/" TargetMode="External" Id="rId89"/><Relationship Type="http://schemas.openxmlformats.org/officeDocument/2006/relationships/hyperlink" Target="https://geodata.dep.state.fl.us/datasets/FDEP::florida-superfund-waste-cleanup-sites/about" TargetMode="External" Id="rId90"/><Relationship Type="http://schemas.openxmlformats.org/officeDocument/2006/relationships/hyperlink" Target="https://web.archive.org/web/20260309143007/https://geodata.dep.state.fl.us/datasets/FDEP::florida-superfund-waste-cleanup-sites/about" TargetMode="External" Id="rId91"/><Relationship Type="http://schemas.openxmlformats.org/officeDocument/2006/relationships/hyperlink" Target="https://exposome.g2aging.org/" TargetMode="External" Id="rId92"/><Relationship Type="http://schemas.openxmlformats.org/officeDocument/2006/relationships/hyperlink" Target="https://web.archive.org/web/20261004220032/https://exposome.g2aging.org/" TargetMode="External" Id="rId93"/><Relationship Type="http://schemas.openxmlformats.org/officeDocument/2006/relationships/hyperlink" Target="https://www.globalmangrovewatch.org/" TargetMode="External" Id="rId94"/><Relationship Type="http://schemas.openxmlformats.org/officeDocument/2006/relationships/hyperlink" Target="https://web.archive.org/web/20261013042757/https://www.globalmangrovewatch.org/" TargetMode="External" Id="rId95"/><Relationship Type="http://schemas.openxmlformats.org/officeDocument/2006/relationships/hyperlink" Target="https://globalsolaratlas.info/" TargetMode="External" Id="rId96"/><Relationship Type="http://schemas.openxmlformats.org/officeDocument/2006/relationships/hyperlink" Target="https://web.archive.org/web/20261016092608/https://globalsolaratlas.info/" TargetMode="External" Id="rId97"/><Relationship Type="http://schemas.openxmlformats.org/officeDocument/2006/relationships/hyperlink" Target="https://globalwindatlas.info/en/about/introduction" TargetMode="External" Id="rId98"/><Relationship Type="http://schemas.openxmlformats.org/officeDocument/2006/relationships/hyperlink" Target="https://web.archive.org/web/20261004140845/https://globalwindatlas.info/en/about/introduction" TargetMode="External" Id="rId99"/><Relationship Type="http://schemas.openxmlformats.org/officeDocument/2006/relationships/hyperlink" Target="https://geocatmin.ingemmet.gob.pe/arcgis/rest/services/SERV_CATASTRO_MINERO_WGS84/MapServer/0" TargetMode="External" Id="rId100"/><Relationship Type="http://schemas.openxmlformats.org/officeDocument/2006/relationships/hyperlink" Target="https://web.archive.org/web/20250528032053/https://geocatmin.ingemmet.gob.pe/arcgis/rest/services/SERV_CATASTRO_MINERO_WGS84/MapServer/0" TargetMode="External" Id="rId101"/><Relationship Type="http://schemas.openxmlformats.org/officeDocument/2006/relationships/hyperlink" Target="https://georural.midagri.gob.pe/geoservicios/rest/services/public/Catastro_Rural/MapServer/0" TargetMode="External" Id="rId102"/><Relationship Type="http://schemas.openxmlformats.org/officeDocument/2006/relationships/hyperlink" Target="https://www.idep.gob.pe/geoportal/rest/services/DATOS_GEOESPACIALES/CENTROS_POBLADOS/FeatureServer/2" TargetMode="External" Id="rId103"/><Relationship Type="http://schemas.openxmlformats.org/officeDocument/2006/relationships/hyperlink" Target="https://web.archive.org/web/20250627040223/https://www.idep.gob.pe/geoportal/rest/services/DATOS_GEOESPACIALES/CENTROS_POBLADOS/FeatureServer/2" TargetMode="External" Id="rId104"/><Relationship Type="http://schemas.openxmlformats.org/officeDocument/2006/relationships/hyperlink" Target="https://geosnirh.ana.gob.pe/server/rest/services/P%C3%BAblico/Glaciares/MapServer" TargetMode="External" Id="rId105"/><Relationship Type="http://schemas.openxmlformats.org/officeDocument/2006/relationships/hyperlink" Target="https://web.archive.org/web/20250614185443/https://geosnirh.ana.gob.pe/server/rest/services/P%C3%BAblico/Glaciares/MapServer" TargetMode="External" Id="rId106"/><Relationship Type="http://schemas.openxmlformats.org/officeDocument/2006/relationships/hyperlink" Target="https://datacochageoespacial.inaigem.gob.pe/geonetwork/srv/spa/catalog.search#/metadata/0b17e18e-2622-4158-9cc5-a31a587743df" TargetMode="External" Id="rId107"/><Relationship Type="http://schemas.openxmlformats.org/officeDocument/2006/relationships/hyperlink" Target="https://geosnirh.ana.gob.pe/server/rest/services/P%C3%BAblico/Lagunas/MapServer/36" TargetMode="External" Id="rId108"/><Relationship Type="http://schemas.openxmlformats.org/officeDocument/2006/relationships/hyperlink" Target="https://web.archive.org/web/20250712095632/https://geosnirh.ana.gob.pe/server/rest/services/P%C3%BAblico/Lagunas/MapServer/36" TargetMode="External" Id="rId109"/><Relationship Type="http://schemas.openxmlformats.org/officeDocument/2006/relationships/hyperlink" Target="https://geoservidorperu.minam.gob.pe/arcgis/rest/services/ServicioBase/MapServer/14" TargetMode="External" Id="rId110"/><Relationship Type="http://schemas.openxmlformats.org/officeDocument/2006/relationships/hyperlink" Target="https://web.archive.org/web/20220818064902/https://geoservidorperu.minam.gob.pe/arcgis/rest/services/ServicioBase/MapServer/14" TargetMode="External" Id="rId111"/><Relationship Type="http://schemas.openxmlformats.org/officeDocument/2006/relationships/hyperlink" Target="https://geosnirh.ana.gob.pe/server/rest/services/P%C3%BAblico/Rios/MapServer/37" TargetMode="External" Id="rId112"/><Relationship Type="http://schemas.openxmlformats.org/officeDocument/2006/relationships/hyperlink" Target="https://web.archive.org/web/20250715095938/https://geosnirh.ana.gob.pe/server/rest/services/P%C3%BAblico/Rios/MapServer/37" TargetMode="External" Id="rId113"/><Relationship Type="http://schemas.openxmlformats.org/officeDocument/2006/relationships/hyperlink" Target="https://data.grid3.org/" TargetMode="External" Id="rId114"/><Relationship Type="http://schemas.openxmlformats.org/officeDocument/2006/relationships/hyperlink" Target="https://web.archive.org/web/20261017073704/https://data.grid3.org/" TargetMode="External" Id="rId115"/><Relationship Type="http://schemas.openxmlformats.org/officeDocument/2006/relationships/hyperlink" Target="https://dataverse.harvard.edu/dataverse/ciesin" TargetMode="External" Id="rId116"/><Relationship Type="http://schemas.openxmlformats.org/officeDocument/2006/relationships/hyperlink" Target="https://web.archive.org/web/20260519125200/https://dataverse.harvard.edu/dataverse/ciesin" TargetMode="External" Id="rId117"/><Relationship Type="http://schemas.openxmlformats.org/officeDocument/2006/relationships/hyperlink" Target="https://dataverse.harvard.edu/" TargetMode="External" Id="rId118"/><Relationship Type="http://schemas.openxmlformats.org/officeDocument/2006/relationships/hyperlink" Target="https://web.archive.org/web/20261016002746/https://dataverse.harvard.edu/" TargetMode="External" Id="rId119"/><Relationship Type="http://schemas.openxmlformats.org/officeDocument/2006/relationships/hyperlink" Target="https://ghdx.healthdata.org/record/ihme-data/gbd-2021-air-pollution-exposure-estimates-1990-2021" TargetMode="External" Id="rId120"/><Relationship Type="http://schemas.openxmlformats.org/officeDocument/2006/relationships/hyperlink" Target="https://web.archive.org/web/20260327205246/https://ghdx.healthdata.org/record/ihme-data/gbd-2021-air-pollution-exposure-estimates-1990-2021" TargetMode="External" Id="rId121"/><Relationship Type="http://schemas.openxmlformats.org/officeDocument/2006/relationships/hyperlink" Target="https://www.heat.gov/" TargetMode="External" Id="rId122"/><Relationship Type="http://schemas.openxmlformats.org/officeDocument/2006/relationships/hyperlink" Target="https://web.archive.org/web/20261017075152/https://www.heat.gov/" TargetMode="External" Id="rId123"/><Relationship Type="http://schemas.openxmlformats.org/officeDocument/2006/relationships/hyperlink" Target="https://hhearprogram.org/" TargetMode="External" Id="rId124"/><Relationship Type="http://schemas.openxmlformats.org/officeDocument/2006/relationships/hyperlink" Target="https://web.archive.org/web/20260323022914/https://hhearprogram.org/" TargetMode="External" Id="rId125"/><Relationship Type="http://schemas.openxmlformats.org/officeDocument/2006/relationships/hyperlink" Target="https://www.huduser.gov/portal/datasets/usps.html" TargetMode="External" Id="rId126"/><Relationship Type="http://schemas.openxmlformats.org/officeDocument/2006/relationships/hyperlink" Target="https://web.archive.org/web/20261015235729/https://www.huduser.gov/portal/datasets/usps.html" TargetMode="External" Id="rId127"/><Relationship Type="http://schemas.openxmlformats.org/officeDocument/2006/relationships/hyperlink" Target="https://www.huduser.gov/portal/datasets/assthsg.html" TargetMode="External" Id="rId128"/><Relationship Type="http://schemas.openxmlformats.org/officeDocument/2006/relationships/hyperlink" Target="https://web.archive.org/web/20261017030107/https://www.huduser.gov/portal/datasets/assthsg.html" TargetMode="External" Id="rId129"/><Relationship Type="http://schemas.openxmlformats.org/officeDocument/2006/relationships/hyperlink" Target="https://www.huduser.gov/portal/datasets/usps_crosswalk.html" TargetMode="External" Id="rId130"/><Relationship Type="http://schemas.openxmlformats.org/officeDocument/2006/relationships/hyperlink" Target="https://web.archive.org/web/20261014184547/https://www.huduser.gov/portal/datasets/usps_crosswalk.html" TargetMode="External" Id="rId131"/><Relationship Type="http://schemas.openxmlformats.org/officeDocument/2006/relationships/hyperlink" Target="https://www.huduser.gov/portal/datasets/lihtc.html" TargetMode="External" Id="rId132"/><Relationship Type="http://schemas.openxmlformats.org/officeDocument/2006/relationships/hyperlink" Target="https://web.archive.org/web/20261016061218/https://www.huduser.gov/portal/datasets/lihtc.html" TargetMode="External" Id="rId133"/><Relationship Type="http://schemas.openxmlformats.org/officeDocument/2006/relationships/hyperlink" Target="https://www.huduser.gov/portal/datasets/qct.html" TargetMode="External" Id="rId134"/><Relationship Type="http://schemas.openxmlformats.org/officeDocument/2006/relationships/hyperlink" Target="https://web.archive.org/web/20261014184545/https://www.huduser.gov/portal/datasets/qct.html" TargetMode="External" Id="rId135"/><Relationship Type="http://schemas.openxmlformats.org/officeDocument/2006/relationships/hyperlink" Target="https://data.humdata.org/dataset/cox-s-bazar-district-teknaf-and-ukhia-upazila-para-and-ward-locations" TargetMode="External" Id="rId136"/><Relationship Type="http://schemas.openxmlformats.org/officeDocument/2006/relationships/hyperlink" Target="https://web.archive.org/web/20221212215339/https://data.humdata.org/dataset/cox-s-bazar-district-teknaf-and-ukhia-upazila-para-and-ward-locations" TargetMode="External" Id="rId137"/><Relationship Type="http://schemas.openxmlformats.org/officeDocument/2006/relationships/hyperlink" Target="https://data.humdata.org/dataset/kenya-household-income-statistics-in-bomet-county" TargetMode="External" Id="rId138"/><Relationship Type="http://schemas.openxmlformats.org/officeDocument/2006/relationships/hyperlink" Target="https://web.archive.org/web/20220926125504/https://data.humdata.org/dataset/kenya-household-income-statistics-in-bomet-county" TargetMode="External" Id="rId139"/><Relationship Type="http://schemas.openxmlformats.org/officeDocument/2006/relationships/hyperlink" Target="https://data.humdata.org/dataset/brazil-epidemiological-and-hospital-indicators-on-covid-19-in-ouro-preto" TargetMode="External" Id="rId140"/><Relationship Type="http://schemas.openxmlformats.org/officeDocument/2006/relationships/hyperlink" Target="https://web.archive.org/web/20260306020404/https://data.humdata.org/dataset/brazil-epidemiological-and-hospital-indicators-on-covid-19-in-ouro-preto" TargetMode="External" Id="rId141"/><Relationship Type="http://schemas.openxmlformats.org/officeDocument/2006/relationships/hyperlink" Target="https://data.humdata.org/dataset/colombia-health-facilities-2021" TargetMode="External" Id="rId142"/><Relationship Type="http://schemas.openxmlformats.org/officeDocument/2006/relationships/hyperlink" Target="https://web.archive.org/web/20260204173039/https://data.humdata.org/dataset/colombia-health-facilities-2021" TargetMode="External" Id="rId143"/><Relationship Type="http://schemas.openxmlformats.org/officeDocument/2006/relationships/hyperlink" Target="https://data.humdata.org/dataset/ethiopian-health-facilities" TargetMode="External" Id="rId144"/><Relationship Type="http://schemas.openxmlformats.org/officeDocument/2006/relationships/hyperlink" Target="https://web.archive.org/web/20260311165304/https://data.humdata.org/dataset/ethiopian-health-facilities" TargetMode="External" Id="rId145"/><Relationship Type="http://schemas.openxmlformats.org/officeDocument/2006/relationships/hyperlink" Target="https://data.humdata.org/dataset/ethiopia-market-centers" TargetMode="External" Id="rId146"/><Relationship Type="http://schemas.openxmlformats.org/officeDocument/2006/relationships/hyperlink" Target="https://web.archive.org/web/20260311165446/https://data.humdata.org/dataset/ethiopia-market-centers" TargetMode="External" Id="rId147"/><Relationship Type="http://schemas.openxmlformats.org/officeDocument/2006/relationships/hyperlink" Target="https://data.humdata.org/dataset/food-market-locations" TargetMode="External" Id="rId148"/><Relationship Type="http://schemas.openxmlformats.org/officeDocument/2006/relationships/hyperlink" Target="https://data.humdata.org/dataset/unicef-hva-pmtct-stat-num" TargetMode="External" Id="rId149"/><Relationship Type="http://schemas.openxmlformats.org/officeDocument/2006/relationships/hyperlink" Target="https://web.archive.org/web/20250418044437/https://data.humdata.org/dataset/unicef-hva-pmtct-stat-num" TargetMode="External" Id="rId150"/><Relationship Type="http://schemas.openxmlformats.org/officeDocument/2006/relationships/hyperlink" Target="https://data.humdata.org/dataset/hotosm_gha_health_facilities" TargetMode="External" Id="rId151"/><Relationship Type="http://schemas.openxmlformats.org/officeDocument/2006/relationships/hyperlink" Target="https://web.archive.org/web/20260212074044/https://data.humdata.org/dataset/hotosm_gha_health_facilities" TargetMode="External" Id="rId152"/><Relationship Type="http://schemas.openxmlformats.org/officeDocument/2006/relationships/hyperlink" Target="https://data.humdata.org/dataset/hotosm_ind_health_facilities" TargetMode="External" Id="rId153"/><Relationship Type="http://schemas.openxmlformats.org/officeDocument/2006/relationships/hyperlink" Target="https://data.humdata.org/dataset/hotosm_idn_health_facilities" TargetMode="External" Id="rId154"/><Relationship Type="http://schemas.openxmlformats.org/officeDocument/2006/relationships/hyperlink" Target="https://web.archive.org/web/20260131010112/https://data.humdata.org/dataset/hotosm_idn_health_facilities" TargetMode="External" Id="rId155"/><Relationship Type="http://schemas.openxmlformats.org/officeDocument/2006/relationships/hyperlink" Target="https://data.humdata.org/dataset/hotosm_ken_health_facilities" TargetMode="External" Id="rId156"/><Relationship Type="http://schemas.openxmlformats.org/officeDocument/2006/relationships/hyperlink" Target="https://web.archive.org/web/20260120051822/https://data.humdata.org/dataset/hotosm_ken_health_facilities" TargetMode="External" Id="rId157"/><Relationship Type="http://schemas.openxmlformats.org/officeDocument/2006/relationships/hyperlink" Target="https://data.humdata.org/dataset/hotosm_phl_health_facilities" TargetMode="External" Id="rId158"/><Relationship Type="http://schemas.openxmlformats.org/officeDocument/2006/relationships/hyperlink" Target="https://web.archive.org/web/20260224064145/https://data.humdata.org/dataset/hotosm_phl_health_facilities" TargetMode="External" Id="rId159"/><Relationship Type="http://schemas.openxmlformats.org/officeDocument/2006/relationships/hyperlink" Target="https://data.humdata.org/dataset/osgeonepal_npl_hospitals" TargetMode="External" Id="rId160"/><Relationship Type="http://schemas.openxmlformats.org/officeDocument/2006/relationships/hyperlink" Target="https://web.archive.org/web/20260411071142/https://data.humdata.org/dataset/osgeonepal_npl_hospitals" TargetMode="External" Id="rId161"/><Relationship Type="http://schemas.openxmlformats.org/officeDocument/2006/relationships/hyperlink" Target="https://data.humdata.org/dataset/nigeria-health-facilities" TargetMode="External" Id="rId162"/><Relationship Type="http://schemas.openxmlformats.org/officeDocument/2006/relationships/hyperlink" Target="https://web.archive.org/web/20260210235610/https://data.humdata.org/dataset/nigeria-health-facilities" TargetMode="External" Id="rId163"/><Relationship Type="http://schemas.openxmlformats.org/officeDocument/2006/relationships/hyperlink" Target="https://data.humdata.org/dataset/nigeria-hospitals-and-clinics-with-registration-status-and-location" TargetMode="External" Id="rId164"/><Relationship Type="http://schemas.openxmlformats.org/officeDocument/2006/relationships/hyperlink" Target="https://web.archive.org/web/20260210235810/https://data.humdata.org/dataset/nigeria-hospitals-and-clinics-with-registration-status-and-location" TargetMode="External" Id="rId165"/><Relationship Type="http://schemas.openxmlformats.org/officeDocument/2006/relationships/hyperlink" Target="https://data.humdata.org/dataset/mimu-geonode-public-hospitals-in-myanmar" TargetMode="External" Id="rId166"/><Relationship Type="http://schemas.openxmlformats.org/officeDocument/2006/relationships/hyperlink" Target="https://web.archive.org/web/20260928130304/https://data.humdata.org/dataset/mimu-geonode-public-hospitals-in-myanmar" TargetMode="External" Id="rId167"/><Relationship Type="http://schemas.openxmlformats.org/officeDocument/2006/relationships/hyperlink" Target="https://data.humdata.org/dataset/somalia-health-facilities-data" TargetMode="External" Id="rId168"/><Relationship Type="http://schemas.openxmlformats.org/officeDocument/2006/relationships/hyperlink" Target="https://web.archive.org/web/20260227134533/https://data.humdata.org/dataset/somalia-health-facilities-data" TargetMode="External" Id="rId169"/><Relationship Type="http://schemas.openxmlformats.org/officeDocument/2006/relationships/hyperlink" Target="https://data.humdata.org/dataset/sudan-prevalence-of-diseases-in-outpatient-clinics-per-state" TargetMode="External" Id="rId170"/><Relationship Type="http://schemas.openxmlformats.org/officeDocument/2006/relationships/hyperlink" Target="https://web.archive.org/web/20260205051302/https://data.humdata.org/dataset/sudan-prevalence-of-diseases-in-outpatient-clinics-per-state" TargetMode="External" Id="rId171"/><Relationship Type="http://schemas.openxmlformats.org/officeDocument/2006/relationships/hyperlink" Target="https://data.humdata.org/dataset/united-republic-of-tanzania-rapid-assessment-survey-of-market-prices" TargetMode="External" Id="rId172"/><Relationship Type="http://schemas.openxmlformats.org/officeDocument/2006/relationships/hyperlink" Target="https://web.archive.org/web/20260707004352/https://data.humdata.org/dataset/united-republic-of-tanzania-rapid-assessment-survey-of-market-prices" TargetMode="External" Id="rId173"/><Relationship Type="http://schemas.openxmlformats.org/officeDocument/2006/relationships/hyperlink" Target="https://data.humdata.org/dataset/ugandan-regional-and-general-hospitals" TargetMode="External" Id="rId174"/><Relationship Type="http://schemas.openxmlformats.org/officeDocument/2006/relationships/hyperlink" Target="https://web.archive.org/web/20220512170932/https://data.humdata.org/dataset/ugandan-regional-and-general-hospitals" TargetMode="External" Id="rId175"/><Relationship Type="http://schemas.openxmlformats.org/officeDocument/2006/relationships/hyperlink" Target="https://data.humdata.org/dataset/venezuela-earthquake-hazardous-facilities" TargetMode="External" Id="rId176"/><Relationship Type="http://schemas.openxmlformats.org/officeDocument/2006/relationships/hyperlink" Target="https://web.archive.org/web/20260630155543/https://data.humdata.org/dataset/venezuela-earthquake-hazardous-facilities" TargetMode="External" Id="rId177"/><Relationship Type="http://schemas.openxmlformats.org/officeDocument/2006/relationships/hyperlink" Target="https://www.ibge.gov.br/estatisticas/sociais/populacao/22827-censo-demografico-2022.html" TargetMode="External" Id="rId178"/><Relationship Type="http://schemas.openxmlformats.org/officeDocument/2006/relationships/hyperlink" Target="https://web.archive.org/web/20261010164327/https://www.ibge.gov.br/estatisticas/sociais/populacao/22827-censo-demografico-2022.html" TargetMode="External" Id="rId179"/><Relationship Type="http://schemas.openxmlformats.org/officeDocument/2006/relationships/hyperlink" Target="https://www.ibge.gov.br/geociencias/organizacao-do-territorio/malhas-territoriais/15774-malhas.html" TargetMode="External" Id="rId180"/><Relationship Type="http://schemas.openxmlformats.org/officeDocument/2006/relationships/hyperlink" Target="https://web.archive.org/web/20261004030554/https://www.ibge.gov.br/geociencias/organizacao-do-territorio/malhas-territoriais/15774-malhas.html" TargetMode="External" Id="rId181"/><Relationship Type="http://schemas.openxmlformats.org/officeDocument/2006/relationships/hyperlink" Target="https://www.inegi.org.mx/programas/ccpv/2020/" TargetMode="External" Id="rId182"/><Relationship Type="http://schemas.openxmlformats.org/officeDocument/2006/relationships/hyperlink" Target="https://web.archive.org/web/20261016202149/https://www.inegi.org.mx/programas/ccpv/2020/" TargetMode="External" Id="rId183"/><Relationship Type="http://schemas.openxmlformats.org/officeDocument/2006/relationships/hyperlink" Target="https://www.inegi.org.mx/temas/mg/" TargetMode="External" Id="rId184"/><Relationship Type="http://schemas.openxmlformats.org/officeDocument/2006/relationships/hyperlink" Target="https://web.archive.org/web/20261015013331/https://www.inegi.org.mx/temas/mg/" TargetMode="External" Id="rId185"/><Relationship Type="http://schemas.openxmlformats.org/officeDocument/2006/relationships/hyperlink" Target="https://www.istat.it/notizia/basi-territoriali-e-variabili-censuarie/" TargetMode="External" Id="rId186"/><Relationship Type="http://schemas.openxmlformats.org/officeDocument/2006/relationships/hyperlink" Target="https://web.archive.org/web/20261007020256/https://www.istat.it/notizia/basi-territoriali-e-variabili-censuarie/" TargetMode="External" Id="rId187"/><Relationship Type="http://schemas.openxmlformats.org/officeDocument/2006/relationships/hyperlink" Target="https://www.istat.it/produzione-editoriale/le-misure-della-vulnerabilita-unapplicazione-a-diversi-ambiti-territoriali" TargetMode="External" Id="rId188"/><Relationship Type="http://schemas.openxmlformats.org/officeDocument/2006/relationships/hyperlink" Target="https://web.archive.org/web/20250407093526/https://www.istat.it/produzione-editoriale/le-misure-della-vulnerabilita-unapplicazione-a-diversi-ambiti-territoriali" TargetMode="External" Id="rId189"/><Relationship Type="http://schemas.openxmlformats.org/officeDocument/2006/relationships/hyperlink" Target="https://www.knbs.or.ke/2019-kenya-population-and-housing-census-results/" TargetMode="External" Id="rId190"/><Relationship Type="http://schemas.openxmlformats.org/officeDocument/2006/relationships/hyperlink" Target="https://web.archive.org/web/20261002090407/https://www.knbs.or.ke/2019-kenya-population-and-housing-census-results/" TargetMode="External" Id="rId191"/><Relationship Type="http://schemas.openxmlformats.org/officeDocument/2006/relationships/hyperlink" Target="https://data.malariaatlas.org/" TargetMode="External" Id="rId192"/><Relationship Type="http://schemas.openxmlformats.org/officeDocument/2006/relationships/hyperlink" Target="https://web.archive.org/web/20261009094156/https://data.malariaatlas.org/" TargetMode="External" Id="rId193"/><Relationship Type="http://schemas.openxmlformats.org/officeDocument/2006/relationships/hyperlink" Target="https://www.mdpi.com/2072-4292/12/23/3872" TargetMode="External" Id="rId194"/><Relationship Type="http://schemas.openxmlformats.org/officeDocument/2006/relationships/hyperlink" Target="https://web.archive.org/web/20260630043239/https://www.mdpi.com/2072-4292/12/23/3872" TargetMode="External" Id="rId195"/><Relationship Type="http://schemas.openxmlformats.org/officeDocument/2006/relationships/hyperlink" Target="https://ai.meta.com/ai-for-good/datasets/high-resolution-population-density-maps/" TargetMode="External" Id="rId196"/><Relationship Type="http://schemas.openxmlformats.org/officeDocument/2006/relationships/hyperlink" Target="https://web.archive.org/web/20260927092337/https://ai.meta.com/ai-for-good/datasets/high-resolution-population-density-maps/" TargetMode="External" Id="rId197"/><Relationship Type="http://schemas.openxmlformats.org/officeDocument/2006/relationships/hyperlink" Target="https://disc.gsfc.nasa.gov/datasets/M2T1NXAER_5.12.4/summary" TargetMode="External" Id="rId198"/><Relationship Type="http://schemas.openxmlformats.org/officeDocument/2006/relationships/hyperlink" Target="https://web.archive.org/web/20260918043440/https://disc.gsfc.nasa.gov/datasets/M2T1NXAER_5.12.4/summary" TargetMode="External" Id="rId199"/><Relationship Type="http://schemas.openxmlformats.org/officeDocument/2006/relationships/hyperlink" Target="https://disc.gsfc.nasa.gov/datasets/OMNO2d_003/summary" TargetMode="External" Id="rId200"/><Relationship Type="http://schemas.openxmlformats.org/officeDocument/2006/relationships/hyperlink" Target="https://web.archive.org/web/20261004121236/https://disc.gsfc.nasa.gov/datasets/OMNO2d_003/summary" TargetMode="External" Id="rId201"/><Relationship Type="http://schemas.openxmlformats.org/officeDocument/2006/relationships/hyperlink" Target="https://disc.gsfc.nasa.gov/datasets/S5P_L2__NO2____HiR_2/summary" TargetMode="External" Id="rId202"/><Relationship Type="http://schemas.openxmlformats.org/officeDocument/2006/relationships/hyperlink" Target="https://web.archive.org/web/20251207180532/https://disc.gsfc.nasa.gov/datasets/S5P_L2__NO2____HiR_2/summary" TargetMode="External" Id="rId203"/><Relationship Type="http://schemas.openxmlformats.org/officeDocument/2006/relationships/hyperlink" Target="https://www.naturequant.com/naturescore/" TargetMode="External" Id="rId204"/><Relationship Type="http://schemas.openxmlformats.org/officeDocument/2006/relationships/hyperlink" Target="https://web.archive.org/web/20261017050240/https://www.naturequant.com/naturescore/" TargetMode="External" Id="rId205"/><Relationship Type="http://schemas.openxmlformats.org/officeDocument/2006/relationships/hyperlink" Target="https://sensa.nbs.go.tz/" TargetMode="External" Id="rId206"/><Relationship Type="http://schemas.openxmlformats.org/officeDocument/2006/relationships/hyperlink" Target="https://web.archive.org/web/20261007200256/https://sensa.nbs.go.tz/" TargetMode="External" Id="rId207"/><Relationship Type="http://schemas.openxmlformats.org/officeDocument/2006/relationships/hyperlink" Target="https://n3c.ncats.nih.gov/" TargetMode="External" Id="rId208"/><Relationship Type="http://schemas.openxmlformats.org/officeDocument/2006/relationships/hyperlink" Target="https://web.archive.org/web/20261017135024/https://n3c.ncats.nih.gov/" TargetMode="External" Id="rId209"/><Relationship Type="http://schemas.openxmlformats.org/officeDocument/2006/relationships/hyperlink" Target="https://www.nrdc.org/resources/lead-pipes-are-widespread-and-used-every-state" TargetMode="External" Id="rId210"/><Relationship Type="http://schemas.openxmlformats.org/officeDocument/2006/relationships/hyperlink" Target="https://web.archive.org/web/20260930012517/https://www.nrdc.org/resources/lead-pipes-are-widespread-and-used-every-state" TargetMode="External" Id="rId211"/><Relationship Type="http://schemas.openxmlformats.org/officeDocument/2006/relationships/hyperlink" Target="https://www.oecd.org/en/data/datasets/regional-statistics-database.html" TargetMode="External" Id="rId212"/><Relationship Type="http://schemas.openxmlformats.org/officeDocument/2006/relationships/hyperlink" Target="https://prism.oregonstate.edu/" TargetMode="External" Id="rId213"/><Relationship Type="http://schemas.openxmlformats.org/officeDocument/2006/relationships/hyperlink" Target="https://web.archive.org/web/20261017162520/https://prism.oregonstate.edu/" TargetMode="External" Id="rId214"/><Relationship Type="http://schemas.openxmlformats.org/officeDocument/2006/relationships/hyperlink" Target="https://www.otago.ac.nz/wellington/departments/publichealth/research/hirp/socioeconomic-deprivation-indexes-nzdep-and-nzidep-department-of-public-health" TargetMode="External" Id="rId215"/><Relationship Type="http://schemas.openxmlformats.org/officeDocument/2006/relationships/hyperlink" Target="https://www.pobal.ie/pobal-hp-deprivation-index/" TargetMode="External" Id="rId216"/><Relationship Type="http://schemas.openxmlformats.org/officeDocument/2006/relationships/hyperlink" Target="https://web.archive.org/web/20250209132339/https://www.pobal.ie/pobal-hp-deprivation-index/" TargetMode="External" Id="rId217"/><Relationship Type="http://schemas.openxmlformats.org/officeDocument/2006/relationships/hyperlink" Target="https://psa.gov.ph/population-and-housing" TargetMode="External" Id="rId218"/><Relationship Type="http://schemas.openxmlformats.org/officeDocument/2006/relationships/hyperlink" Target="https://web.archive.org/web/20261005085907/https://psa.gov.ph/population-and-housing" TargetMode="External" Id="rId219"/><Relationship Type="http://schemas.openxmlformats.org/officeDocument/2006/relationships/hyperlink" Target="https://www.purpleair.com/api" TargetMode="External" Id="rId220"/><Relationship Type="http://schemas.openxmlformats.org/officeDocument/2006/relationships/hyperlink" Target="https://web.archive.org/web/20261012071555/https://www.purpleair.com/api" TargetMode="External" Id="rId221"/><Relationship Type="http://schemas.openxmlformats.org/officeDocument/2006/relationships/hyperlink" Target="https://www.inspq.qc.ca/en/deprivation/material-and-social-deprivation-index" TargetMode="External" Id="rId222"/><Relationship Type="http://schemas.openxmlformats.org/officeDocument/2006/relationships/hyperlink" Target="https://web.archive.org/web/20261006041730/https://www.inspq.qc.ca/en/deprivation/material-and-social-deprivation-index" TargetMode="External" Id="rId223"/><Relationship Type="http://schemas.openxmlformats.org/officeDocument/2006/relationships/hyperlink" Target="https://datasus.saude.gov.br/transferencia-de-arquivos/" TargetMode="External" Id="rId224"/><Relationship Type="http://schemas.openxmlformats.org/officeDocument/2006/relationships/hyperlink" Target="https://web.archive.org/web/20261008082932/https://datasus.saude.gov.br/transferencia-de-arquivos/" TargetMode="External" Id="rId225"/><Relationship Type="http://schemas.openxmlformats.org/officeDocument/2006/relationships/hyperlink" Target="https://volcano.si.edu/gvp_votw.cfm" TargetMode="External" Id="rId226"/><Relationship Type="http://schemas.openxmlformats.org/officeDocument/2006/relationships/hyperlink" Target="https://web.archive.org/web/20261005213057/https://volcano.si.edu/gvp_votw.cfm" TargetMode="External" Id="rId227"/><Relationship Type="http://schemas.openxmlformats.org/officeDocument/2006/relationships/hyperlink" Target="https://www12.statcan.gc.ca/census-recensement/2021/dp-pd/prof/index.cfm?Lang=E" TargetMode="External" Id="rId228"/><Relationship Type="http://schemas.openxmlformats.org/officeDocument/2006/relationships/hyperlink" Target="https://web.archive.org/web/20261013045722/https://www12.statcan.gc.ca/census-recensement/2021/dp-pd/prof/index.cfm?Lang=E" TargetMode="External" Id="rId229"/><Relationship Type="http://schemas.openxmlformats.org/officeDocument/2006/relationships/hyperlink" Target="https://www.stats.gov.cn/english/" TargetMode="External" Id="rId230"/><Relationship Type="http://schemas.openxmlformats.org/officeDocument/2006/relationships/hyperlink" Target="https://web.archive.org/web/20261017110746/https://www.stats.gov.cn/english/" TargetMode="External" Id="rId231"/><Relationship Type="http://schemas.openxmlformats.org/officeDocument/2006/relationships/hyperlink" Target="https://www.stats.govt.nz/2023-census/" TargetMode="External" Id="rId232"/><Relationship Type="http://schemas.openxmlformats.org/officeDocument/2006/relationships/hyperlink" Target="https://web.archive.org/web/20261005084247/https://www.stats.govt.nz/2023-census/" TargetMode="External" Id="rId233"/><Relationship Type="http://schemas.openxmlformats.org/officeDocument/2006/relationships/hyperlink" Target="https://census.statssa.gov.za/" TargetMode="External" Id="rId234"/><Relationship Type="http://schemas.openxmlformats.org/officeDocument/2006/relationships/hyperlink" Target="https://web.archive.org/web/20261017043035/https://census.statssa.gov.za/" TargetMode="External" Id="rId235"/><Relationship Type="http://schemas.openxmlformats.org/officeDocument/2006/relationships/hyperlink" Target="http://tapdata.org.cn/" TargetMode="External" Id="rId236"/><Relationship Type="http://schemas.openxmlformats.org/officeDocument/2006/relationships/hyperlink" Target="https://web.archive.org/web/20261012203909/http://tapdata.org.cn/" TargetMode="External" Id="rId237"/><Relationship Type="http://schemas.openxmlformats.org/officeDocument/2006/relationships/hyperlink" Target="https://www.tpl.org/park-data-downloads" TargetMode="External" Id="rId238"/><Relationship Type="http://schemas.openxmlformats.org/officeDocument/2006/relationships/hyperlink" Target="https://web.archive.org/web/20261010182752/https://www.tpl.org/park-data-downloads" TargetMode="External" Id="rId239"/><Relationship Type="http://schemas.openxmlformats.org/officeDocument/2006/relationships/hyperlink" Target="https://veriportali.tuik.gov.tr/Kategori/GetKategori?p=nufus-ve-demografi-109" TargetMode="External" Id="rId240"/><Relationship Type="http://schemas.openxmlformats.org/officeDocument/2006/relationships/hyperlink" Target="https://web.archive.org/web/20260918052008/https://veriportali.tuik.gov.tr/Kategori/GetKategori?p=nufus-ve-demografi-109" TargetMode="External" Id="rId241"/><Relationship Type="http://schemas.openxmlformats.org/officeDocument/2006/relationships/hyperlink" Target="https://www.ubos.org/explore-statistics/20/" TargetMode="External" Id="rId242"/><Relationship Type="http://schemas.openxmlformats.org/officeDocument/2006/relationships/hyperlink" Target="https://web.archive.org/web/20261016224449/https://www.ubos.org/explore-statistics/20/" TargetMode="External" Id="rId243"/><Relationship Type="http://schemas.openxmlformats.org/officeDocument/2006/relationships/hyperlink" Target="https://www.start.umd.edu/gtd/" TargetMode="External" Id="rId244"/><Relationship Type="http://schemas.openxmlformats.org/officeDocument/2006/relationships/hyperlink" Target="https://web.archive.org/web/20261014083343/https://www.start.umd.edu/gtd/" TargetMode="External" Id="rId245"/><Relationship Type="http://schemas.openxmlformats.org/officeDocument/2006/relationships/hyperlink" Target="https://nanda.isr.umich.edu/data/" TargetMode="External" Id="rId246"/><Relationship Type="http://schemas.openxmlformats.org/officeDocument/2006/relationships/hyperlink" Target="https://web.archive.org/web/20260921222353/https://nanda.isr.umich.edu/data/" TargetMode="External" Id="rId247"/><Relationship Type="http://schemas.openxmlformats.org/officeDocument/2006/relationships/hyperlink" Target="https://nanda.isr.umich.edu/2026/04/09/12-nanda-datasets-updated-through-2022/" TargetMode="External" Id="rId248"/><Relationship Type="http://schemas.openxmlformats.org/officeDocument/2006/relationships/hyperlink" Target="https://nanda.isr.umich.edu/2026/04/09/12-nanda-datasets-updated-through-2022/" TargetMode="External" Id="rId249"/><Relationship Type="http://schemas.openxmlformats.org/officeDocument/2006/relationships/hyperlink" Target="https://www.icpsr.umich.edu/web/ICPSR/studies/38598" TargetMode="External" Id="rId250"/><Relationship Type="http://schemas.openxmlformats.org/officeDocument/2006/relationships/hyperlink" Target="https://web.archive.org/web/20250319170339/https://www.icpsr.umich.edu/web/ICPSR/studies/38598" TargetMode="External" Id="rId251"/><Relationship Type="http://schemas.openxmlformats.org/officeDocument/2006/relationships/hyperlink" Target="https://nanda.isr.umich.edu/2026/04/09/12-nanda-datasets-updated-through-2022/" TargetMode="External" Id="rId252"/><Relationship Type="http://schemas.openxmlformats.org/officeDocument/2006/relationships/hyperlink" Target="https://www.icpsr.umich.edu/web/ICPSR/studies/38528" TargetMode="External" Id="rId253"/><Relationship Type="http://schemas.openxmlformats.org/officeDocument/2006/relationships/hyperlink" Target="https://web.archive.org/web/20260515200533/https://www.icpsr.umich.edu/web/ICPSR/studies/38528" TargetMode="External" Id="rId254"/><Relationship Type="http://schemas.openxmlformats.org/officeDocument/2006/relationships/hyperlink" Target="https://www.icpsr.umich.edu/web/ICPSR/studies/38584" TargetMode="External" Id="rId255"/><Relationship Type="http://schemas.openxmlformats.org/officeDocument/2006/relationships/hyperlink" Target="https://web.archive.org/web/20250318013412/https://www.icpsr.umich.edu/web/ICPSR/studies/38584" TargetMode="External" Id="rId256"/><Relationship Type="http://schemas.openxmlformats.org/officeDocument/2006/relationships/hyperlink" Target="https://www.icpsr.umich.edu/web/pages/" TargetMode="External" Id="rId257"/><Relationship Type="http://schemas.openxmlformats.org/officeDocument/2006/relationships/hyperlink" Target="https://web.archive.org/web/20261017100853/https://www.icpsr.umich.edu/web/pages/" TargetMode="External" Id="rId258"/><Relationship Type="http://schemas.openxmlformats.org/officeDocument/2006/relationships/hyperlink" Target="https://unstats.un.org/sdgs/dataportal" TargetMode="External" Id="rId259"/><Relationship Type="http://schemas.openxmlformats.org/officeDocument/2006/relationships/hyperlink" Target="https://web.archive.org/web/20261006054519/https://unstats.un.org/sdgs/dataportal" TargetMode="External" Id="rId260"/><Relationship Type="http://schemas.openxmlformats.org/officeDocument/2006/relationships/hyperlink" Target="https://population.un.org/wpp/" TargetMode="External" Id="rId261"/><Relationship Type="http://schemas.openxmlformats.org/officeDocument/2006/relationships/hyperlink" Target="https://web.archive.org/web/20261018122712/https://population.un.org/wpp/" TargetMode="External" Id="rId262"/><Relationship Type="http://schemas.openxmlformats.org/officeDocument/2006/relationships/hyperlink" Target="https://unhabitat.org/global-urban-indicators-database" TargetMode="External" Id="rId263"/><Relationship Type="http://schemas.openxmlformats.org/officeDocument/2006/relationships/hyperlink" Target="https://web.archive.org/web/20261015013329/https://unhabitat.org/global-urban-indicators-database" TargetMode="External" Id="rId264"/><Relationship Type="http://schemas.openxmlformats.org/officeDocument/2006/relationships/hyperlink" Target="https://www.unhcr.org/refugee-statistics/" TargetMode="External" Id="rId265"/><Relationship Type="http://schemas.openxmlformats.org/officeDocument/2006/relationships/hyperlink" Target="https://web.archive.org/web/20261016014220/https://www.unhcr.org/refugee-statistics/" TargetMode="External" Id="rId266"/><Relationship Type="http://schemas.openxmlformats.org/officeDocument/2006/relationships/hyperlink" Target="https://mics.unicef.org/surveys" TargetMode="External" Id="rId267"/><Relationship Type="http://schemas.openxmlformats.org/officeDocument/2006/relationships/hyperlink" Target="https://web.archive.org/web/20260925051952/https://mics.unicef.org/surveys" TargetMode="External" Id="rId268"/><Relationship Type="http://schemas.openxmlformats.org/officeDocument/2006/relationships/hyperlink" Target="https://www.ams.usda.gov/datasets/pdp" TargetMode="External" Id="rId269"/><Relationship Type="http://schemas.openxmlformats.org/officeDocument/2006/relationships/hyperlink" Target="https://web.archive.org/web/20261012154430/https://www.ams.usda.gov/datasets/pdp" TargetMode="External" Id="rId270"/><Relationship Type="http://schemas.openxmlformats.org/officeDocument/2006/relationships/hyperlink" Target="https://www.fns.usda.gov/snap/retailer-locator" TargetMode="External" Id="rId271"/><Relationship Type="http://schemas.openxmlformats.org/officeDocument/2006/relationships/hyperlink" Target="https://web.archive.org/web/20261009190650/https://www.fns.usda.gov/snap/retailer-locator" TargetMode="External" Id="rId272"/><Relationship Type="http://schemas.openxmlformats.org/officeDocument/2006/relationships/hyperlink" Target="https://www.waterqualitydata.us/" TargetMode="External" Id="rId273"/><Relationship Type="http://schemas.openxmlformats.org/officeDocument/2006/relationships/hyperlink" Target="https://web.archive.org/web/20261017120244/https://www.waterqualitydata.us/" TargetMode="External" Id="rId274"/><Relationship Type="http://schemas.openxmlformats.org/officeDocument/2006/relationships/hyperlink" Target="https://hungermap.wfp.org/" TargetMode="External" Id="rId275"/><Relationship Type="http://schemas.openxmlformats.org/officeDocument/2006/relationships/hyperlink" Target="https://web.archive.org/web/20261012235304/https://hungermap.wfp.org/" TargetMode="External" Id="rId276"/><Relationship Type="http://schemas.openxmlformats.org/officeDocument/2006/relationships/hyperlink" Target="https://gateway.euro.who.int/en/" TargetMode="External" Id="rId277"/><Relationship Type="http://schemas.openxmlformats.org/officeDocument/2006/relationships/hyperlink" Target="https://web.archive.org/web/20261014181156/https://gateway.euro.who.int/en/" TargetMode="External" Id="rId278"/><Relationship Type="http://schemas.openxmlformats.org/officeDocument/2006/relationships/hyperlink" Target="https://hub.worldpop.org/project/categories?id=3" TargetMode="External" Id="rId279"/><Relationship Type="http://schemas.openxmlformats.org/officeDocument/2006/relationships/hyperlink" Target="https://web.archive.org/web/20261013032655/https://hub.worldpop.org/project/categories?id=3" TargetMode="External" Id="rId280"/><Relationship Type="http://schemas.openxmlformats.org/officeDocument/2006/relationships/hyperlink" Target="https://hub.worldpop.org/project/categories?id=3" TargetMode="External" Id="rId281"/><Relationship Type="http://schemas.openxmlformats.org/officeDocument/2006/relationships/hyperlink" Target="https://web.archive.org/web/20261013032655/https://hub.worldpop.org/project/categories?id=3" TargetMode="External" Id="rId282"/><Relationship Type="http://schemas.openxmlformats.org/officeDocument/2006/relationships/hyperlink" Target="https://www.gov.scot/collections/scottish-index-of-multiple-deprivation-2020/" TargetMode="External" Id="rId283"/><Relationship Type="http://schemas.openxmlformats.org/officeDocument/2006/relationships/hyperlink" Target="https://web.archive.org/web/20261015103539/https://www.gov.scot/collections/scottish-index-of-multiple-deprivation-2020/" TargetMode="External" Id="rId284"/><Relationship Type="http://schemas.openxmlformats.org/officeDocument/2006/relationships/hyperlink" Target="https://www.zillow.com/research/data/" TargetMode="External" Id="rId285"/><Relationship Type="http://schemas.openxmlformats.org/officeDocument/2006/relationships/hyperlink" Target="https://web.archive.org/web/20261017051657/https://www.zillow.com/research/data/" TargetMode="External" Id="rId286"/></Relationships>
</file>

<file path=xl/worksheets/_rels/sheet7.xml.rels><Relationships xmlns="http://schemas.openxmlformats.org/package/2006/relationships"><Relationship Type="http://schemas.openxmlformats.org/officeDocument/2006/relationships/hyperlink" Target="https://data.humdata.org/dataset/kenya-number-of-hospital-icu-beds-per-county" TargetMode="External" Id="rId1"/><Relationship Type="http://schemas.openxmlformats.org/officeDocument/2006/relationships/hyperlink" Target="https://www.enverus.com/" TargetMode="External" Id="rId2"/><Relationship Type="http://schemas.openxmlformats.org/officeDocument/2006/relationships/hyperlink" Target="https://www.faa.gov/airports/environmental/airport_noise" TargetMode="External" Id="rId3"/><Relationship Type="http://schemas.openxmlformats.org/officeDocument/2006/relationships/hyperlink" Target="https://data.europa.eu/data/datasets/umgebungslarmkatierung-iv-2022-bundesschienenwege-lnight-dortmund" TargetMode="External" Id="rId4"/><Relationship Type="http://schemas.openxmlformats.org/officeDocument/2006/relationships/hyperlink" Target="https://www.data.gouv.fr/datasets/quartiers-prioritaires-de-la-politique-de-la-ville-qpv-et-quartiers-de-veille-active-qva-2014-2023-de-la-metropole-de-lyon" TargetMode="External" Id="rId5"/><Relationship Type="http://schemas.openxmlformats.org/officeDocument/2006/relationships/hyperlink" Target="https://data.gov.au/data/dataset/actgov-school-location-2026" TargetMode="External" Id="rId6"/><Relationship Type="http://schemas.openxmlformats.org/officeDocument/2006/relationships/hyperlink" Target="https://data.gov.ie/dataset/county-development-plan-2025-2031-land-use-zoning-boundaries" TargetMode="External" Id="rId7"/><Relationship Type="http://schemas.openxmlformats.org/officeDocument/2006/relationships/hyperlink" Target="https://data.gov.ie/dataset/county-galway-land-use-zonings-cdp-2022-20283" TargetMode="External" Id="rId8"/><Relationship Type="http://schemas.openxmlformats.org/officeDocument/2006/relationships/hyperlink" Target="https://www.data.gouv.fr/datasets/liste-des-communes-de-france-code-insee-codes-postaux-epci-population-superficie-62-indicateurs" TargetMode="External" Id="rId9"/><Relationship Type="http://schemas.openxmlformats.org/officeDocument/2006/relationships/hyperlink" Target="https://www.data.gouv.fr/datasets/recensement-population-2018-grands-quartiers-population" TargetMode="External" Id="rId10"/><Relationship Type="http://schemas.openxmlformats.org/officeDocument/2006/relationships/hyperlink" Target="https://data.gov.ie/dataset/school-warning-vas-signs-2023-fcc1" TargetMode="External" Id="rId11"/><Relationship Type="http://schemas.openxmlformats.org/officeDocument/2006/relationships/hyperlink" Target="https://data.gov.ie/dataset/administrative-boundaries-and-others-fcc1" TargetMode="External" Id="rId12"/><Relationship Type="http://schemas.openxmlformats.org/officeDocument/2006/relationships/hyperlink" Target="https://ckan.publishing.service.gov.uk/dataset/adopted-highways5" TargetMode="External" Id="rId13"/><Relationship Type="http://schemas.openxmlformats.org/officeDocument/2006/relationships/hyperlink" Target="https://ckan.publishing.service.gov.uk/dataset/adopted-roads1" TargetMode="External" Id="rId14"/><Relationship Type="http://schemas.openxmlformats.org/officeDocument/2006/relationships/hyperlink" Target="https://data.gov.ie/dataset/district-electoral-divisions-boundaries" TargetMode="External" Id="rId15"/><Relationship Type="http://schemas.openxmlformats.org/officeDocument/2006/relationships/hyperlink" Target="https://data.gov.au/data/dataset/golden-plains-street-lighting" TargetMode="External" Id="rId16"/><Relationship Type="http://schemas.openxmlformats.org/officeDocument/2006/relationships/hyperlink" Target="https://data.europa.eu/data/datasets/highway-drain-nodes" TargetMode="External" Id="rId17"/><Relationship Type="http://schemas.openxmlformats.org/officeDocument/2006/relationships/hyperlink" Target="https://data.europa.eu/data/datasets/highway-drains-linear-surface" TargetMode="External" Id="rId18"/><Relationship Type="http://schemas.openxmlformats.org/officeDocument/2006/relationships/hyperlink" Target="https://ckan.publishing.service.gov.uk/dataset/highway-schemes" TargetMode="External" Id="rId19"/><Relationship Type="http://schemas.openxmlformats.org/officeDocument/2006/relationships/hyperlink" Target="https://ckan.publishing.service.gov.uk/dataset/highways18" TargetMode="External" Id="rId20"/><Relationship Type="http://schemas.openxmlformats.org/officeDocument/2006/relationships/hyperlink" Target="https://data.europa.eu/data/datasets/highways-annual-maintenance-programme" TargetMode="External" Id="rId21"/><Relationship Type="http://schemas.openxmlformats.org/officeDocument/2006/relationships/hyperlink" Target="https://data.europa.eu/data/datasets/c_a390-pericolosita_idraulica_tevere-1" TargetMode="External" Id="rId22"/><Relationship Type="http://schemas.openxmlformats.org/officeDocument/2006/relationships/hyperlink" Target="https://data.europa.eu/data/datasets/london-distributor-roads" TargetMode="External" Id="rId23"/><Relationship Type="http://schemas.openxmlformats.org/officeDocument/2006/relationships/hyperlink" Target="https://data.gov.ie/dataset/luas-stops" TargetMode="External" Id="rId24"/><Relationship Type="http://schemas.openxmlformats.org/officeDocument/2006/relationships/hyperlink" Target="https://data.gov.ie/dataset/new-roads" TargetMode="External" Id="rId25"/><Relationship Type="http://schemas.openxmlformats.org/officeDocument/2006/relationships/hyperlink" Target="https://ckan.publishing.service.gov.uk/dataset/primary-schools-location" TargetMode="External" Id="rId26"/><Relationship Type="http://schemas.openxmlformats.org/officeDocument/2006/relationships/hyperlink" Target="https://data.europa.eu/data/datasets/5b55e3f8c751df17c30e78cf" TargetMode="External" Id="rId27"/><Relationship Type="http://schemas.openxmlformats.org/officeDocument/2006/relationships/hyperlink" Target="https://data.europa.eu/data/datasets/64809558b07279955be4f762~~1" TargetMode="External" Id="rId28"/><Relationship Type="http://schemas.openxmlformats.org/officeDocument/2006/relationships/hyperlink" Target="https://data.gov.ie/dataset/road-improvements" TargetMode="External" Id="rId29"/><Relationship Type="http://schemas.openxmlformats.org/officeDocument/2006/relationships/hyperlink" Target="https://data.gov.ie/dataset/road-schedule" TargetMode="External" Id="rId30"/><Relationship Type="http://schemas.openxmlformats.org/officeDocument/2006/relationships/hyperlink" Target="https://data.gov.ie/dataset/school-warning-signs-sdcc" TargetMode="External" Id="rId31"/><Relationship Type="http://schemas.openxmlformats.org/officeDocument/2006/relationships/hyperlink" Target="https://ckan.publishing.service.gov.uk/dataset/secondary-schools-location" TargetMode="External" Id="rId32"/><Relationship Type="http://schemas.openxmlformats.org/officeDocument/2006/relationships/hyperlink" Target="https://ckan.publishing.service.gov.uk/dataset/street-lighting" TargetMode="External" Id="rId33"/><Relationship Type="http://schemas.openxmlformats.org/officeDocument/2006/relationships/hyperlink" Target="https://data.gov.au/data/dataset/street-lighting-sample-data" TargetMode="External" Id="rId34"/><Relationship Type="http://schemas.openxmlformats.org/officeDocument/2006/relationships/hyperlink" Target="https://data.europa.eu/data/datasets/street-lighting-assets" TargetMode="External" Id="rId35"/><Relationship Type="http://schemas.openxmlformats.org/officeDocument/2006/relationships/hyperlink" Target="https://ckan.publishing.service.gov.uk/dataset/street-lights1" TargetMode="External" Id="rId36"/><Relationship Type="http://schemas.openxmlformats.org/officeDocument/2006/relationships/hyperlink" Target="https://data.gov.au/data/dataset/street-lights-with-emitted-lux-level-council-owned-lights-only" TargetMode="External" Id="rId37"/><Relationship Type="http://schemas.openxmlformats.org/officeDocument/2006/relationships/hyperlink" Target="https://data.europa.eu/data/datasets/c_a944-case-di-quartiere-di-bologna" TargetMode="External" Id="rId38"/><Relationship Type="http://schemas.openxmlformats.org/officeDocument/2006/relationships/hyperlink" Target="https://data.gov.au/data/dataset/city-plan-transport-noise-corridor-overlay-noise-corridor-railway" TargetMode="External" Id="rId39"/><Relationship Type="http://schemas.openxmlformats.org/officeDocument/2006/relationships/hyperlink" Target="https://data.europa.eu/data/datasets/https-daten-digitale-mrn-de-dataset-d8f4e8ac-8ede-4522-83d0-c890ffb0b6e2-dataset" TargetMode="External" Id="rId40"/><Relationship Type="http://schemas.openxmlformats.org/officeDocument/2006/relationships/hyperlink" Target="https://data.gov.ie/dataset/coco-markets-dlr" TargetMode="External" Id="rId41"/><Relationship Type="http://schemas.openxmlformats.org/officeDocument/2006/relationships/hyperlink" Target="https://data.europa.eu/data/datasets/https-daten-digitale-mrn-de-dataset-42fe7074-965b-4244-b708-4efd7f9cb550-dataset" TargetMode="External" Id="rId42"/><Relationship Type="http://schemas.openxmlformats.org/officeDocument/2006/relationships/hyperlink" Target="https://data.europa.eu/data/datasets/https-daten-digitale-mrn-de-dataset-fe6d3ed4-f8f0-496b-a81b-84bb2712d62e-dataset" TargetMode="External" Id="rId43"/><Relationship Type="http://schemas.openxmlformats.org/officeDocument/2006/relationships/hyperlink" Target="https://data.europa.eu/data/datasets/https-daten-digitale-mrn-de-dataset-3797fb2f-0439-4a9f-909b-51d94b2c853a-dataset" TargetMode="External" Id="rId44"/><Relationship Type="http://schemas.openxmlformats.org/officeDocument/2006/relationships/hyperlink" Target="https://ckan.publishing.service.gov.uk/dataset/hospitals" TargetMode="External" Id="rId45"/><Relationship Type="http://schemas.openxmlformats.org/officeDocument/2006/relationships/hyperlink" Target="https://data.gov.au/data/dataset/yg3r-apa2" TargetMode="External" Id="rId46"/><Relationship Type="http://schemas.openxmlformats.org/officeDocument/2006/relationships/hyperlink" Target="https://data.europa.eu/data/datasets/https-daten-digitale-mrn-de-dataset-41e5dfc6-2505-4911-b216-adeab8e91672-dataset" TargetMode="External" Id="rId47"/><Relationship Type="http://schemas.openxmlformats.org/officeDocument/2006/relationships/hyperlink" Target="https://data.gov.au/data/dataset/noosa-community-markets" TargetMode="External" Id="rId48"/><Relationship Type="http://schemas.openxmlformats.org/officeDocument/2006/relationships/hyperlink" Target="https://data.gov.au/data/dataset/noosa-hospital" TargetMode="External" Id="rId49"/><Relationship Type="http://schemas.openxmlformats.org/officeDocument/2006/relationships/hyperlink" Target="https://data.gov.au/data/dataset/park-light-park-reserve" TargetMode="External" Id="rId50"/><Relationship Type="http://schemas.openxmlformats.org/officeDocument/2006/relationships/hyperlink" Target="https://www.data.gouv.fr/datasets/quartiers-prioritaires-bayonne-1" TargetMode="External" Id="rId51"/><Relationship Type="http://schemas.openxmlformats.org/officeDocument/2006/relationships/hyperlink" Target="https://data.europa.eu/data/datasets/b9d61fcd-c3ce-44cf-b01f-c0b22cc36281-stadt-zurich" TargetMode="External" Id="rId52"/><Relationship Type="http://schemas.openxmlformats.org/officeDocument/2006/relationships/hyperlink" Target="https://ckan.publishing.service.gov.uk/dataset/southend-hospitals" TargetMode="External" Id="rId53"/><Relationship Type="http://schemas.openxmlformats.org/officeDocument/2006/relationships/hyperlink" Target="https://data.europa.eu/data/datasets/https-daten-digitale-mrn-de-dataset-9448af9d-6ed7-4184-9a76-318eb6bd01f5-dataset" TargetMode="External" Id="rId54"/><Relationship Type="http://schemas.openxmlformats.org/officeDocument/2006/relationships/hyperlink" Target="https://data.europa.eu/data/datasets/https-daten-digitale-mrn-de-dataset-ed4bf88f-b85f-4cd0-907c-52d32fa9f7b6-dataset" TargetMode="External" Id="rId55"/><Relationship Type="http://schemas.openxmlformats.org/officeDocument/2006/relationships/hyperlink" Target="https://data.europa.eu/data/datasets/https-daten-digitale-mrn-de-dataset-7a61e89d-416d-4ad1-a646-e84ce250dfbb-dataset" TargetMode="External" Id="rId56"/><Relationship Type="http://schemas.openxmlformats.org/officeDocument/2006/relationships/hyperlink" Target="https://data.europa.eu/data/datasets/https-daten-digitale-mrn-de-dataset-9caa57f5-cea0-4bb6-842a-736e957498e3-dataset" TargetMode="External" Id="rId57"/><Relationship Type="http://schemas.openxmlformats.org/officeDocument/2006/relationships/hyperlink" Target="https://data.gov.au/data/dataset/waste-facility-landfill-line" TargetMode="External" Id="rId58"/><Relationship Type="http://schemas.openxmlformats.org/officeDocument/2006/relationships/hyperlink" Target="https://data.gov.au/data/dataset/waste-facility-landfill-polygon" TargetMode="External" Id="rId59"/><Relationship Type="http://schemas.openxmlformats.org/officeDocument/2006/relationships/hyperlink" Target="https://ckan.publishing.service.gov.uk/dataset/weekly-markets1" TargetMode="External" Id="rId60"/><Relationship Type="http://schemas.openxmlformats.org/officeDocument/2006/relationships/hyperlink" Target="https://data.europa.eu/data/datasets/twbc-open-data-site-allocations-2016-access-arrows12" TargetMode="External" Id="rId61"/><Relationship Type="http://schemas.openxmlformats.org/officeDocument/2006/relationships/hyperlink" Target="https://data.gov.ie/dataset/indicative-greenway-cycle-network" TargetMode="External" Id="rId62"/><Relationship Type="http://schemas.openxmlformats.org/officeDocument/2006/relationships/hyperlink" Target="https://data.gov.ie/dataset/primary-cycle-network" TargetMode="External" Id="rId63"/><Relationship Type="http://schemas.openxmlformats.org/officeDocument/2006/relationships/hyperlink" Target="https://data.europa.eu/data/datasets/verkehrszaehlung-zaehlstellenplan-dortmund" TargetMode="External" Id="rId64"/><Relationship Type="http://schemas.openxmlformats.org/officeDocument/2006/relationships/hyperlink" Target="https://ckan.publishing.service.gov.uk/dataset/york-cycle-network" TargetMode="External" Id="rId65"/><Relationship Type="http://schemas.openxmlformats.org/officeDocument/2006/relationships/hyperlink" Target="https://ckan.publishing.service.gov.uk/dataset/air-pollution-control-sites-sdc-public" TargetMode="External" Id="rId66"/><Relationship Type="http://schemas.openxmlformats.org/officeDocument/2006/relationships/hyperlink" Target="https://www.data.gouv.fr/datasets/basol-sites-et-sols-pollues-grandsoissons-agglomeration" TargetMode="External" Id="rId67"/><Relationship Type="http://schemas.openxmlformats.org/officeDocument/2006/relationships/hyperlink" Target="https://data.gov.ie/dataset/bring-banks-locations-fcc1" TargetMode="External" Id="rId68"/><Relationship Type="http://schemas.openxmlformats.org/officeDocument/2006/relationships/hyperlink" Target="https://data.gov.ie/dataset/dun-laoghaire-rathdown-county-council-firestation" TargetMode="External" Id="rId69"/><Relationship Type="http://schemas.openxmlformats.org/officeDocument/2006/relationships/hyperlink" Target="https://data.gov.au/data/dataset/geelong-former-landfill-sites" TargetMode="External" Id="rId70"/><Relationship Type="http://schemas.openxmlformats.org/officeDocument/2006/relationships/hyperlink" Target="https://data.europa.eu/data/datasets/ds484" TargetMode="External" Id="rId71"/><Relationship Type="http://schemas.openxmlformats.org/officeDocument/2006/relationships/hyperlink" Target="https://data.europa.eu/data/datasets/sheffield-household-waste-recycling-sites" TargetMode="External" Id="rId72"/><Relationship Type="http://schemas.openxmlformats.org/officeDocument/2006/relationships/hyperlink" Target="https://planetarycomputer.microsoft.com/dataset/gbif" TargetMode="External" Id="rId73"/><Relationship Type="http://schemas.openxmlformats.org/officeDocument/2006/relationships/hyperlink" Target="https://cmr.earthdata.nasa.gov/search/concepts/C2389100132-ORNL_CLOUD.html" TargetMode="External" Id="rId74"/><Relationship Type="http://schemas.openxmlformats.org/officeDocument/2006/relationships/hyperlink" Target="https://cmr.earthdata.nasa.gov/search/concepts/C1214136020-SCIOPS.html" TargetMode="External" Id="rId75"/><Relationship Type="http://schemas.openxmlformats.org/officeDocument/2006/relationships/hyperlink" Target="https://data.humdata.org/dataset/mozambique-health-facilities" TargetMode="External" Id="rId76"/><Relationship Type="http://schemas.openxmlformats.org/officeDocument/2006/relationships/hyperlink" Target="https://cmr.earthdata.nasa.gov/search/concepts/C2232847291-CEOS_EXTRA.html" TargetMode="External" Id="rId77"/><Relationship Type="http://schemas.openxmlformats.org/officeDocument/2006/relationships/hyperlink" Target="https://data.humdata.org/dataset/sudan-hospitals-in-khartoum-state-as-of-oct-2019" TargetMode="External" Id="rId78"/><Relationship Type="http://schemas.openxmlformats.org/officeDocument/2006/relationships/hyperlink" Target="https://data.humdata.org/dataset/ecuador-road-access-constraints" TargetMode="External" Id="rId79"/><Relationship Type="http://schemas.openxmlformats.org/officeDocument/2006/relationships/hyperlink" Target="https://data.humdata.org/dataset/venezuelan-hospital-national-survey" TargetMode="External" Id="rId80"/><Relationship Type="http://schemas.openxmlformats.org/officeDocument/2006/relationships/hyperlink" Target="https://planetarycomputer.microsoft.com/dataset/kaza-hydroforecast" TargetMode="External" Id="rId81"/><Relationship Type="http://schemas.openxmlformats.org/officeDocument/2006/relationships/hyperlink" Target="https://data.opendevelopmentmekong.net/dataset/poverty-in-laos-by-district-2015" TargetMode="External" Id="rId82"/><Relationship Type="http://schemas.openxmlformats.org/officeDocument/2006/relationships/hyperlink" Target="https://data.opendevelopmentmekong.net/dataset/poverty-in-laos-by-province-2015" TargetMode="External" Id="rId83"/><Relationship Type="http://schemas.openxmlformats.org/officeDocument/2006/relationships/hyperlink" Target="https://registry.opendata.aws/met-office-global-deterministic/" TargetMode="External" Id="rId84"/><Relationship Type="http://schemas.openxmlformats.org/officeDocument/2006/relationships/hyperlink" Target="https://data.humdata.org/dataset/affected-schools-in-yemen" TargetMode="External" Id="rId85"/><Relationship Type="http://schemas.openxmlformats.org/officeDocument/2006/relationships/hyperlink" Target="https://data.humdata.org/dataset/algeria-planet-road-surface-data" TargetMode="External" Id="rId86"/><Relationship Type="http://schemas.openxmlformats.org/officeDocument/2006/relationships/hyperlink" Target="https://data.humdata.org/dataset/angola-planet-road-surface-data" TargetMode="External" Id="rId87"/><Relationship Type="http://schemas.openxmlformats.org/officeDocument/2006/relationships/hyperlink" Target="https://data.humdata.org/dataset/bahamas-schools" TargetMode="External" Id="rId88"/><Relationship Type="http://schemas.openxmlformats.org/officeDocument/2006/relationships/hyperlink" Target="https://data.humdata.org/dataset/cod-ab-bgd" TargetMode="External" Id="rId89"/><Relationship Type="http://schemas.openxmlformats.org/officeDocument/2006/relationships/hyperlink" Target="https://data.humdata.org/dataset/brazil-school-geolocation-and-connectivity-status" TargetMode="External" Id="rId90"/><Relationship Type="http://schemas.openxmlformats.org/officeDocument/2006/relationships/hyperlink" Target="https://data.humdata.org/dataset/china-planet-road-surface-data" TargetMode="External" Id="rId91"/><Relationship Type="http://schemas.openxmlformats.org/officeDocument/2006/relationships/hyperlink" Target="https://cmr.earthdata.nasa.gov/search/concepts/C2532075155-AMD_USAPDC.html" TargetMode="External" Id="rId92"/><Relationship Type="http://schemas.openxmlformats.org/officeDocument/2006/relationships/hyperlink" Target="https://www.data.gouv.fr/datasets/communes-76-liste-et-contours-2022" TargetMode="External" Id="rId93"/><Relationship Type="http://schemas.openxmlformats.org/officeDocument/2006/relationships/hyperlink" Target="https://data.gov.ie/dataset/constituency-boundaries-national-electoral-boundaries-ungeneralised-20261" TargetMode="External" Id="rId94"/><Relationship Type="http://schemas.openxmlformats.org/officeDocument/2006/relationships/hyperlink" Target="https://www.data.gouv.fr/datasets/contours-des-communes-de-france-simplifie-avec-regions-et-departement-doutre-mer-rapproches" TargetMode="External" Id="rId95"/><Relationship Type="http://schemas.openxmlformats.org/officeDocument/2006/relationships/hyperlink" Target="https://www.data.gouv.fr/datasets/contours-dincendies-forestier-sur-les-communes-de-vif-et-de-voreppe-isere" TargetMode="External" Id="rId96"/><Relationship Type="http://schemas.openxmlformats.org/officeDocument/2006/relationships/hyperlink" Target="https://data.humdata.org/dataset/democratic-peoples-republic-of-korea-planet-road-surface-data" TargetMode="External" Id="rId97"/><Relationship Type="http://schemas.openxmlformats.org/officeDocument/2006/relationships/hyperlink" Target="https://data.humdata.org/dataset/djibouti-school-geolocation-and-connectivity-status" TargetMode="External" Id="rId98"/><Relationship Type="http://schemas.openxmlformats.org/officeDocument/2006/relationships/hyperlink" Target="https://cmr.earthdata.nasa.gov/search/concepts/C1214585748-SCIOPS.html" TargetMode="External" Id="rId99"/><Relationship Type="http://schemas.openxmlformats.org/officeDocument/2006/relationships/hyperlink" Target="https://cmr.earthdata.nasa.gov/search/concepts/C2074855428-LPCLOUD.html" TargetMode="External" Id="rId100"/><Relationship Type="http://schemas.openxmlformats.org/officeDocument/2006/relationships/hyperlink" Target="https://cmr.earthdata.nasa.gov/search/concepts/C2076105456-LPCLOUD.html" TargetMode="External" Id="rId101"/><Relationship Type="http://schemas.openxmlformats.org/officeDocument/2006/relationships/hyperlink" Target="https://cmr.earthdata.nasa.gov/search/concepts/C2074852168-LPCLOUD.html" TargetMode="External" Id="rId102"/><Relationship Type="http://schemas.openxmlformats.org/officeDocument/2006/relationships/hyperlink" Target="https://data.humdata.org/dataset/cod-ab-egy" TargetMode="External" Id="rId103"/><Relationship Type="http://schemas.openxmlformats.org/officeDocument/2006/relationships/hyperlink" Target="https://data.humdata.org/dataset/egypt-planet-road-surface-data" TargetMode="External" Id="rId104"/><Relationship Type="http://schemas.openxmlformats.org/officeDocument/2006/relationships/hyperlink" Target="https://data.humdata.org/dataset/cod-ab-eth" TargetMode="External" Id="rId105"/><Relationship Type="http://schemas.openxmlformats.org/officeDocument/2006/relationships/hyperlink" Target="https://cmr.earthdata.nasa.gov/search/concepts/C2773858780-GES_DISC.html" TargetMode="External" Id="rId106"/><Relationship Type="http://schemas.openxmlformats.org/officeDocument/2006/relationships/hyperlink" Target="https://data.humdata.org/dataset/mimu-geonode-formal-sector-school-location-lower-myanmar" TargetMode="External" Id="rId107"/><Relationship Type="http://schemas.openxmlformats.org/officeDocument/2006/relationships/hyperlink" Target="https://data.humdata.org/dataset/mimu-geonode-formal-sector-school-location-upper-myanmar" TargetMode="External" Id="rId108"/><Relationship Type="http://schemas.openxmlformats.org/officeDocument/2006/relationships/hyperlink" Target="https://data.gov.ie/dataset/gaeltacht-boundaries-ungeneralised-national-administrative-boundaries-2015" TargetMode="External" Id="rId109"/><Relationship Type="http://schemas.openxmlformats.org/officeDocument/2006/relationships/hyperlink" Target="https://data.humdata.org/dataset/pdh-geographic-mapping-of-school-locations-in-the-pacific" TargetMode="External" Id="rId110"/><Relationship Type="http://schemas.openxmlformats.org/officeDocument/2006/relationships/hyperlink" Target="https://cmr.earthdata.nasa.gov/search/concepts/C2231552246-CEOS_EXTRA.html" TargetMode="External" Id="rId111"/><Relationship Type="http://schemas.openxmlformats.org/officeDocument/2006/relationships/hyperlink" Target="https://cmr.earthdata.nasa.gov/search/concepts/C2231552505-CEOS_EXTRA.html" TargetMode="External" Id="rId112"/><Relationship Type="http://schemas.openxmlformats.org/officeDocument/2006/relationships/hyperlink" Target="https://cmr.earthdata.nasa.gov/search/concepts/C2763264675-LPCLOUD.html" TargetMode="External" Id="rId113"/><Relationship Type="http://schemas.openxmlformats.org/officeDocument/2006/relationships/hyperlink" Target="https://registry.opendata.aws/nasa-gpm3imergde/" TargetMode="External" Id="rId114"/><Relationship Type="http://schemas.openxmlformats.org/officeDocument/2006/relationships/hyperlink" Target="https://registry.opendata.aws/nasa-gpm3imerghhe/" TargetMode="External" Id="rId115"/><Relationship Type="http://schemas.openxmlformats.org/officeDocument/2006/relationships/hyperlink" Target="https://registry.opendata.aws/nasa-gpm3imergdf/" TargetMode="External" Id="rId116"/><Relationship Type="http://schemas.openxmlformats.org/officeDocument/2006/relationships/hyperlink" Target="https://registry.opendata.aws/nasa-gpm3imergm/" TargetMode="External" Id="rId117"/><Relationship Type="http://schemas.openxmlformats.org/officeDocument/2006/relationships/hyperlink" Target="https://registry.opendata.aws/nasa-gpm3imerghh/" TargetMode="External" Id="rId118"/><Relationship Type="http://schemas.openxmlformats.org/officeDocument/2006/relationships/hyperlink" Target="https://registry.opendata.aws/nasa-gpm3imergdl/" TargetMode="External" Id="rId119"/><Relationship Type="http://schemas.openxmlformats.org/officeDocument/2006/relationships/hyperlink" Target="https://registry.opendata.aws/nasa-gpm3imerghhl/" TargetMode="External" Id="rId120"/><Relationship Type="http://schemas.openxmlformats.org/officeDocument/2006/relationships/hyperlink" Target="https://cmr.earthdata.nasa.gov/search/concepts/C1993409520-GES_DISC.html" TargetMode="External" Id="rId121"/><Relationship Type="http://schemas.openxmlformats.org/officeDocument/2006/relationships/hyperlink" Target="https://cmr.earthdata.nasa.gov/search/concepts/C2283200566-GES_DISC.html" TargetMode="External" Id="rId122"/><Relationship Type="http://schemas.openxmlformats.org/officeDocument/2006/relationships/hyperlink" Target="https://data.humdata.org/dataset/honduras-school-geolocation-and-connectivity-status" TargetMode="External" Id="rId123"/><Relationship Type="http://schemas.openxmlformats.org/officeDocument/2006/relationships/hyperlink" Target="https://data.humdata.org/dataset/geoboundaries-admin-boundaries-for-india" TargetMode="External" Id="rId124"/><Relationship Type="http://schemas.openxmlformats.org/officeDocument/2006/relationships/hyperlink" Target="https://cmr.earthdata.nasa.gov/search/concepts/C3383775480-ENVIDAT.html" TargetMode="External" Id="rId125"/><Relationship Type="http://schemas.openxmlformats.org/officeDocument/2006/relationships/hyperlink" Target="https://data.humdata.org/dataset/cod-ab-ken" TargetMode="External" Id="rId126"/><Relationship Type="http://schemas.openxmlformats.org/officeDocument/2006/relationships/hyperlink" Target="https://data.humdata.org/dataset/kenya-population-per-county-from-census-report-2019" TargetMode="External" Id="rId127"/><Relationship Type="http://schemas.openxmlformats.org/officeDocument/2006/relationships/hyperlink" Target="https://data.humdata.org/dataset/cod-ab-kgz" TargetMode="External" Id="rId128"/><Relationship Type="http://schemas.openxmlformats.org/officeDocument/2006/relationships/hyperlink" Target="https://data.humdata.org/dataset/cod-ab-mdg" TargetMode="External" Id="rId129"/><Relationship Type="http://schemas.openxmlformats.org/officeDocument/2006/relationships/hyperlink" Target="https://data.humdata.org/dataset/mexico-school-geolocation-and-connectivity-status" TargetMode="External" Id="rId130"/><Relationship Type="http://schemas.openxmlformats.org/officeDocument/2006/relationships/hyperlink" Target="https://data.humdata.org/dataset/monaco-planet-road-surface-data" TargetMode="External" Id="rId131"/><Relationship Type="http://schemas.openxmlformats.org/officeDocument/2006/relationships/hyperlink" Target="https://registry.opendata.aws/nasa-gpmmergir/" TargetMode="External" Id="rId132"/><Relationship Type="http://schemas.openxmlformats.org/officeDocument/2006/relationships/hyperlink" Target="https://data.opendevelopmentmekong.net/dataset/new-generation-schools--2019" TargetMode="External" Id="rId133"/><Relationship Type="http://schemas.openxmlformats.org/officeDocument/2006/relationships/hyperlink" Target="https://data.humdata.org/dataset/nigeria-independent-national-electoral-commission-lga-and-wards" TargetMode="External" Id="rId134"/><Relationship Type="http://schemas.openxmlformats.org/officeDocument/2006/relationships/hyperlink" Target="https://data.humdata.org/dataset/cod-ab-nga" TargetMode="External" Id="rId135"/><Relationship Type="http://schemas.openxmlformats.org/officeDocument/2006/relationships/hyperlink" Target="https://data.humdata.org/dataset/nigeria-planet-road-surface-data" TargetMode="External" Id="rId136"/><Relationship Type="http://schemas.openxmlformats.org/officeDocument/2006/relationships/hyperlink" Target="https://data.humdata.org/dataset/cod-ab-pak" TargetMode="External" Id="rId137"/><Relationship Type="http://schemas.openxmlformats.org/officeDocument/2006/relationships/hyperlink" Target="https://data.humdata.org/dataset/cod-ab-phl" TargetMode="External" Id="rId138"/><Relationship Type="http://schemas.openxmlformats.org/officeDocument/2006/relationships/hyperlink" Target="https://data.europa.eu/data/datasets/https-geodata-csu-gov-cz-as-odsdatovyportalapi-api-lod-catalog-c9b9fa64-1a43-4338-8d65-c3e8c74f1c5d" TargetMode="External" Id="rId139"/><Relationship Type="http://schemas.openxmlformats.org/officeDocument/2006/relationships/hyperlink" Target="https://data.europa.eu/data/datasets/https-geodata-csu-gov-cz-as-odsdatovyportalapi-api-lod-catalog-730c2a51-ff01-4d19-bf91-bd6142a93483" TargetMode="External" Id="rId140"/><Relationship Type="http://schemas.openxmlformats.org/officeDocument/2006/relationships/hyperlink" Target="https://data.opendevelopmentmekong.net/dataset/target-primary-school-for-the-implementation-of-the-innovation-for-social-accountability-in-cambodi" TargetMode="External" Id="rId141"/><Relationship Type="http://schemas.openxmlformats.org/officeDocument/2006/relationships/hyperlink" Target="https://data.gov.ie/dataset/province-boundaries-ungeneralised-national-administrative-boundaries-2015" TargetMode="External" Id="rId142"/><Relationship Type="http://schemas.openxmlformats.org/officeDocument/2006/relationships/hyperlink" Target="https://data.humdata.org/dataset/roads-in-turkey" TargetMode="External" Id="rId143"/><Relationship Type="http://schemas.openxmlformats.org/officeDocument/2006/relationships/hyperlink" Target="https://data.humdata.org/dataset/hotosm_bgd_roads" TargetMode="External" Id="rId144"/><Relationship Type="http://schemas.openxmlformats.org/officeDocument/2006/relationships/hyperlink" Target="https://data.humdata.org/dataset/hotosm_gha_roads" TargetMode="External" Id="rId145"/><Relationship Type="http://schemas.openxmlformats.org/officeDocument/2006/relationships/hyperlink" Target="https://data.humdata.org/dataset/hotosm_ind_roads" TargetMode="External" Id="rId146"/><Relationship Type="http://schemas.openxmlformats.org/officeDocument/2006/relationships/hyperlink" Target="https://data.humdata.org/dataset/hotosm_ken_roads" TargetMode="External" Id="rId147"/><Relationship Type="http://schemas.openxmlformats.org/officeDocument/2006/relationships/hyperlink" Target="https://data.humdata.org/dataset/hotosm_mys_roads" TargetMode="External" Id="rId148"/><Relationship Type="http://schemas.openxmlformats.org/officeDocument/2006/relationships/hyperlink" Target="https://data.humdata.org/dataset/hotosm_npl_roads" TargetMode="External" Id="rId149"/><Relationship Type="http://schemas.openxmlformats.org/officeDocument/2006/relationships/hyperlink" Target="https://data.humdata.org/dataset/hotosm_nga_roads" TargetMode="External" Id="rId150"/><Relationship Type="http://schemas.openxmlformats.org/officeDocument/2006/relationships/hyperlink" Target="https://data.humdata.org/dataset/hotosm_pak_roads" TargetMode="External" Id="rId151"/><Relationship Type="http://schemas.openxmlformats.org/officeDocument/2006/relationships/hyperlink" Target="https://data.humdata.org/dataset/hotosm_phl_roads" TargetMode="External" Id="rId152"/><Relationship Type="http://schemas.openxmlformats.org/officeDocument/2006/relationships/hyperlink" Target="https://data.humdata.org/dataset/hotosm_zaf_roads" TargetMode="External" Id="rId153"/><Relationship Type="http://schemas.openxmlformats.org/officeDocument/2006/relationships/hyperlink" Target="https://data.humdata.org/dataset/hotosm_lka_roads" TargetMode="External" Id="rId154"/><Relationship Type="http://schemas.openxmlformats.org/officeDocument/2006/relationships/hyperlink" Target="https://data.humdata.org/dataset/hotosm_tha_roads" TargetMode="External" Id="rId155"/><Relationship Type="http://schemas.openxmlformats.org/officeDocument/2006/relationships/hyperlink" Target="https://data.humdata.org/dataset/hotosm_yem_roads" TargetMode="External" Id="rId156"/><Relationship Type="http://schemas.openxmlformats.org/officeDocument/2006/relationships/hyperlink" Target="https://www.data.gouv.fr/datasets/regions-departements-communes-et-codes-postaux-de-france-avec-un-point-gps-par-code-postal-et-lhistorique-des-changements" TargetMode="External" Id="rId157"/><Relationship Type="http://schemas.openxmlformats.org/officeDocument/2006/relationships/hyperlink" Target="https://data.humdata.org/dataset/saudi-arabia-planet-road-surface-data" TargetMode="External" Id="rId158"/><Relationship Type="http://schemas.openxmlformats.org/officeDocument/2006/relationships/hyperlink" Target="https://cmr.earthdata.nasa.gov/search/concepts/C1569839798-GES_DISC.html" TargetMode="External" Id="rId159"/><Relationship Type="http://schemas.openxmlformats.org/officeDocument/2006/relationships/hyperlink" Target="https://data.humdata.org/dataset/south-africa-planet-road-surface-data" TargetMode="External" Id="rId160"/><Relationship Type="http://schemas.openxmlformats.org/officeDocument/2006/relationships/hyperlink" Target="https://data.humdata.org/dataset/sudan-schools" TargetMode="External" Id="rId161"/><Relationship Type="http://schemas.openxmlformats.org/officeDocument/2006/relationships/hyperlink" Target="https://data.humdata.org/dataset/cod-ab-tha" TargetMode="External" Id="rId162"/><Relationship Type="http://schemas.openxmlformats.org/officeDocument/2006/relationships/hyperlink" Target="https://data.humdata.org/dataset/cod-ab-uga" TargetMode="External" Id="rId163"/><Relationship Type="http://schemas.openxmlformats.org/officeDocument/2006/relationships/hyperlink" Target="https://data.humdata.org/dataset/cod-ab-ukr" TargetMode="External" Id="rId164"/><Relationship Type="http://schemas.openxmlformats.org/officeDocument/2006/relationships/hyperlink" Target="https://cmr.earthdata.nasa.gov/search/concepts/C2789781977-GES_DISC.html" TargetMode="External" Id="rId165"/><Relationship Type="http://schemas.openxmlformats.org/officeDocument/2006/relationships/hyperlink" Target="https://data.gov.au/data/dataset/other-state-boundary-geoscape-administrative-boundaries" TargetMode="External" Id="rId166"/><Relationship Type="http://schemas.openxmlformats.org/officeDocument/2006/relationships/hyperlink" Target="https://data.gov.au/data/dataset/adelaide-public-transport-stop-data" TargetMode="External" Id="rId167"/><Relationship Type="http://schemas.openxmlformats.org/officeDocument/2006/relationships/hyperlink" Target="https://data.europa.eu/data/datasets/agglomeration-roads-lden" TargetMode="External" Id="rId168"/><Relationship Type="http://schemas.openxmlformats.org/officeDocument/2006/relationships/hyperlink" Target="https://data.europa.eu/data/datasets/agglomeration-roads-leve" TargetMode="External" Id="rId169"/><Relationship Type="http://schemas.openxmlformats.org/officeDocument/2006/relationships/hyperlink" Target="https://open.canada.ca/data/dataset/292646cd-619f-4200-afb1-8b2c52f984a2" TargetMode="External" Id="rId170"/><Relationship Type="http://schemas.openxmlformats.org/officeDocument/2006/relationships/hyperlink" Target="https://data.europa.eu/data/datasets/https-datosabiertos-navarra-es-dataset-spasitnacarto1_txt_36pkautop-xml" TargetMode="External" Id="rId171"/><Relationship Type="http://schemas.openxmlformats.org/officeDocument/2006/relationships/hyperlink" Target="https://registry.opendata.aws/c2smsfloods/" TargetMode="External" Id="rId172"/><Relationship Type="http://schemas.openxmlformats.org/officeDocument/2006/relationships/hyperlink" Target="https://www.data.gouv.fr/datasets/communes-76-et-contours" TargetMode="External" Id="rId173"/><Relationship Type="http://schemas.openxmlformats.org/officeDocument/2006/relationships/hyperlink" Target="https://open.canada.ca/data/dataset/584de76b-13b9-47ea-af12-0c37b8eb5de5" TargetMode="External" Id="rId174"/><Relationship Type="http://schemas.openxmlformats.org/officeDocument/2006/relationships/hyperlink" Target="https://www.data.gouv.fr/datasets/ddt-70-classement-sonore-des-routes-nationales-et-routes-departementales-en-haute-saone-1" TargetMode="External" Id="rId175"/><Relationship Type="http://schemas.openxmlformats.org/officeDocument/2006/relationships/hyperlink" Target="https://data.europa.eu/data/datasets/stadt-wien_fahrschulenwien" TargetMode="External" Id="rId176"/><Relationship Type="http://schemas.openxmlformats.org/officeDocument/2006/relationships/hyperlink" Target="https://data.gov.ie/dataset/flood-studies-update-fsu-catchment-boundaries-ungauged" TargetMode="External" Id="rId177"/><Relationship Type="http://schemas.openxmlformats.org/officeDocument/2006/relationships/hyperlink" Target="https://registry.opendata.aws/glo-30-hand/" TargetMode="External" Id="rId178"/><Relationship Type="http://schemas.openxmlformats.org/officeDocument/2006/relationships/hyperlink" Target="https://registry.opendata.aws/ctrees-agb-100m-global/" TargetMode="External" Id="rId179"/><Relationship Type="http://schemas.openxmlformats.org/officeDocument/2006/relationships/hyperlink" Target="https://ckan.publishing.service.gov.uk/dataset/highway-boundary" TargetMode="External" Id="rId180"/><Relationship Type="http://schemas.openxmlformats.org/officeDocument/2006/relationships/hyperlink" Target="https://open.canada.ca/data/dataset/988a8b95-fa49-adc8-bbe7-6e69bb26099c" TargetMode="External" Id="rId181"/><Relationship Type="http://schemas.openxmlformats.org/officeDocument/2006/relationships/hyperlink" Target="https://data.europa.eu/data/datasets/5f0e0ca43d4083f3d237efe0~~1" TargetMode="External" Id="rId182"/><Relationship Type="http://schemas.openxmlformats.org/officeDocument/2006/relationships/hyperlink" Target="https://data.opendevelopmentmekong.net/dataset/laos-administrative-boundaries-village" TargetMode="External" Id="rId183"/><Relationship Type="http://schemas.openxmlformats.org/officeDocument/2006/relationships/hyperlink" Target="https://data.gov.ie/dataset/luas-stop-locations" TargetMode="External" Id="rId184"/><Relationship Type="http://schemas.openxmlformats.org/officeDocument/2006/relationships/hyperlink" Target="https://data.europa.eu/data/datasets/major-roads-lday1" TargetMode="External" Id="rId185"/><Relationship Type="http://schemas.openxmlformats.org/officeDocument/2006/relationships/hyperlink" Target="https://data.europa.eu/data/datasets/major-roads-leve1" TargetMode="External" Id="rId186"/><Relationship Type="http://schemas.openxmlformats.org/officeDocument/2006/relationships/hyperlink" Target="https://data.europa.eu/data/datasets/major-roads-lnight" TargetMode="External" Id="rId187"/><Relationship Type="http://schemas.openxmlformats.org/officeDocument/2006/relationships/hyperlink" Target="https://ckan.publishing.service.gov.uk/dataset/mid-ulster-council-district-electoral-areas1" TargetMode="External" Id="rId188"/><Relationship Type="http://schemas.openxmlformats.org/officeDocument/2006/relationships/hyperlink" Target="https://data.europa.eu/data/datasets/53699323a3a729239d2040e7" TargetMode="External" Id="rId189"/><Relationship Type="http://schemas.openxmlformats.org/officeDocument/2006/relationships/hyperlink" Target="https://data.opendevelopmentmekong.net/dataset/mm-admin-boundaries" TargetMode="External" Id="rId190"/><Relationship Type="http://schemas.openxmlformats.org/officeDocument/2006/relationships/hyperlink" Target="https://data.gov.ie/dataset/nifm-river-flood-extents-current-scenario" TargetMode="External" Id="rId191"/><Relationship Type="http://schemas.openxmlformats.org/officeDocument/2006/relationships/hyperlink" Target="https://data.opendevelopmentmekong.net/dataset/non-authoritative-myanmar-township-district-state-region-administrative-boundaries-based-on-openstr" TargetMode="External" Id="rId192"/><Relationship Type="http://schemas.openxmlformats.org/officeDocument/2006/relationships/hyperlink" Target="https://data.gov.au/data/dataset/nsw-nsw-administrative-boundaries" TargetMode="External" Id="rId193"/><Relationship Type="http://schemas.openxmlformats.org/officeDocument/2006/relationships/hyperlink" Target="https://data.gov.au/data/dataset/nsw-state-electoral-boundaries-geoscape-administrative-boundaries" TargetMode="External" Id="rId194"/><Relationship Type="http://schemas.openxmlformats.org/officeDocument/2006/relationships/hyperlink" Target="https://data.gov.au/data/dataset/nt-state-boundary-geoscape-administrative-boundaries" TargetMode="External" Id="rId195"/><Relationship Type="http://schemas.openxmlformats.org/officeDocument/2006/relationships/hyperlink" Target="https://data.europa.eu/data/datasets/p_fe-2016-08-31t123417" TargetMode="External" Id="rId196"/><Relationship Type="http://schemas.openxmlformats.org/officeDocument/2006/relationships/hyperlink" Target="https://data.gov.au/data/dataset/public-transport-authority-stops-bus-stops" TargetMode="External" Id="rId197"/><Relationship Type="http://schemas.openxmlformats.org/officeDocument/2006/relationships/hyperlink" Target="https://data.gov.au/data/dataset/public-transport-lines-and-stops" TargetMode="External" Id="rId198"/><Relationship Type="http://schemas.openxmlformats.org/officeDocument/2006/relationships/hyperlink" Target="https://data.europa.eu/data/datasets/stadt-wien_ffentlichesverkehrsnetzhaltestellenpunktewien" TargetMode="External" Id="rId199"/><Relationship Type="http://schemas.openxmlformats.org/officeDocument/2006/relationships/hyperlink" Target="https://data.europa.eu/data/datasets/https-data-gov-cz-zdroj-datove-sady-70890650-227359046" TargetMode="External" Id="rId200"/><Relationship Type="http://schemas.openxmlformats.org/officeDocument/2006/relationships/hyperlink" Target="https://data.gov.au/data/dataset/qld-state-boundary-geoscape-administrative-boundaries" TargetMode="External" Id="rId201"/><Relationship Type="http://schemas.openxmlformats.org/officeDocument/2006/relationships/hyperlink" Target="https://data.europa.eu/data/datasets/otc_comptage_trafic-canton-geneve" TargetMode="External" Id="rId202"/><Relationship Type="http://schemas.openxmlformats.org/officeDocument/2006/relationships/hyperlink" Target="https://data.gov.au/data/dataset/roads" TargetMode="External" Id="rId203"/><Relationship Type="http://schemas.openxmlformats.org/officeDocument/2006/relationships/hyperlink" Target="https://www.data.gouv.fr/datasets/route-secteurs-exposes-par-le-bruit-sur-les-routes-en-aveyron" TargetMode="External" Id="rId204"/><Relationship Type="http://schemas.openxmlformats.org/officeDocument/2006/relationships/hyperlink" Target="https://www.data.gouv.fr/datasets/routes-departementales-1" TargetMode="External" Id="rId205"/><Relationship Type="http://schemas.openxmlformats.org/officeDocument/2006/relationships/hyperlink" Target="https://data.gov.au/data/dataset/sa-state-boundary-geoscape-administrative-boundaries" TargetMode="External" Id="rId206"/><Relationship Type="http://schemas.openxmlformats.org/officeDocument/2006/relationships/hyperlink" Target="https://data.gov.au/data/dataset/sa-state-electoral-boundaries" TargetMode="External" Id="rId207"/><Relationship Type="http://schemas.openxmlformats.org/officeDocument/2006/relationships/hyperlink" Target="https://data.europa.eu/data/datasets/stadt-wien_schulenstandortewien" TargetMode="External" Id="rId208"/><Relationship Type="http://schemas.openxmlformats.org/officeDocument/2006/relationships/hyperlink" Target="https://data.europa.eu/data/datasets/3ef247e1-0e3a-4fca-81fa-5d9a01ed9573" TargetMode="External" Id="rId209"/><Relationship Type="http://schemas.openxmlformats.org/officeDocument/2006/relationships/hyperlink" Target="https://data.europa.eu/data/datasets/https-kod-brno-cz-nkod-dataset-462d3e4e68984538a29e715a885d770e_0-ttl" TargetMode="External" Id="rId210"/><Relationship Type="http://schemas.openxmlformats.org/officeDocument/2006/relationships/hyperlink" Target="https://open.canada.ca/data/dataset/02ebdab9-cbf3-4f56-8c29-79fa0ed0ed2e" TargetMode="External" Id="rId211"/><Relationship Type="http://schemas.openxmlformats.org/officeDocument/2006/relationships/hyperlink" Target="https://open.canada.ca/data/dataset/9a42fb1d-7656-4839-8ac6-0f5d2b519503" TargetMode="External" Id="rId212"/><Relationship Type="http://schemas.openxmlformats.org/officeDocument/2006/relationships/hyperlink" Target="https://www.data.gouv.fr/datasets/troncons-de-routes-formant-le-reseau-des-routes-de-categorie-1-et-2-des-transports-exceptionnels-pour-un-usage-national" TargetMode="External" Id="rId213"/><Relationship Type="http://schemas.openxmlformats.org/officeDocument/2006/relationships/hyperlink" Target="https://www.data.gouv.fr/datasets/troncons-de-routes-formant-le-reseau-des-routes-a-grande-circulation-pour-un-usage-national" TargetMode="External" Id="rId214"/><Relationship Type="http://schemas.openxmlformats.org/officeDocument/2006/relationships/hyperlink" Target="https://data.gov.ie/dataset/tusla-service-areas-by-region" TargetMode="External" Id="rId215"/><Relationship Type="http://schemas.openxmlformats.org/officeDocument/2006/relationships/hyperlink" Target="https://data.gov.au/data/dataset/vic-state-electoral-boundaries-geoscape-administrative-boundaries" TargetMode="External" Id="rId216"/><Relationship Type="http://schemas.openxmlformats.org/officeDocument/2006/relationships/hyperlink" Target="https://data.gov.au/data/dataset/vicroads-declared-roads" TargetMode="External" Id="rId217"/><Relationship Type="http://schemas.openxmlformats.org/officeDocument/2006/relationships/hyperlink" Target="https://data.gov.au/data/dataset/wa-state-boundary-geoscape-administrative-boundaries" TargetMode="External" Id="rId218"/><Relationship Type="http://schemas.openxmlformats.org/officeDocument/2006/relationships/hyperlink" Target="https://data.gov.au/data/dataset/wa-state-electoral-boundaries-geoscape-administrative-boundaries" TargetMode="External" Id="rId219"/><Relationship Type="http://schemas.openxmlformats.org/officeDocument/2006/relationships/hyperlink" Target="https://ckan.publishing.service.gov.uk/dataset/administrative-counties-1971-boundaries-ew" TargetMode="External" Id="rId220"/><Relationship Type="http://schemas.openxmlformats.org/officeDocument/2006/relationships/hyperlink" Target="https://ckan.publishing.service.gov.uk/dataset/administrative-districts-1971-boundaries-ew" TargetMode="External" Id="rId221"/><Relationship Type="http://schemas.openxmlformats.org/officeDocument/2006/relationships/hyperlink" Target="https://cmr.earthdata.nasa.gov/search/concepts/C2777821076-ORNL_CLOUD.html" TargetMode="External" Id="rId222"/><Relationship Type="http://schemas.openxmlformats.org/officeDocument/2006/relationships/hyperlink" Target="https://open.canada.ca/data/dataset/bcdb6685-c1cf-4664-8b4e-63dc9e6921c5" TargetMode="External" Id="rId223"/><Relationship Type="http://schemas.openxmlformats.org/officeDocument/2006/relationships/hyperlink" Target="https://open.canada.ca/data/dataset/7e2e7c67-d6dc-4dbb-944e-a52dba5a1a89" TargetMode="External" Id="rId224"/><Relationship Type="http://schemas.openxmlformats.org/officeDocument/2006/relationships/hyperlink" Target="https://data.humdata.org/dataset/philippines-education-0-0" TargetMode="External" Id="rId225"/><Relationship Type="http://schemas.openxmlformats.org/officeDocument/2006/relationships/hyperlink" Target="https://open.canada.ca/data/dataset/ea135e2d-87a3-4bf5-9ccb-4f7c2432b280" TargetMode="External" Id="rId226"/><Relationship Type="http://schemas.openxmlformats.org/officeDocument/2006/relationships/hyperlink" Target="https://data.humdata.org/dataset/bangladesh-hazards" TargetMode="External" Id="rId227"/><Relationship Type="http://schemas.openxmlformats.org/officeDocument/2006/relationships/hyperlink" Target="https://data.gov.ie/dataset/constituency-boundaries-generalised-20m-national-electoral-boundaries-2013" TargetMode="External" Id="rId228"/><Relationship Type="http://schemas.openxmlformats.org/officeDocument/2006/relationships/hyperlink" Target="https://data.gov.ie/dataset/constituency-boundaries-ungeneralised-national-electoral-boundaries-2013" TargetMode="External" Id="rId229"/><Relationship Type="http://schemas.openxmlformats.org/officeDocument/2006/relationships/hyperlink" Target="https://data.gov.ie/dataset/national-road-network-2013" TargetMode="External" Id="rId230"/><Relationship Type="http://schemas.openxmlformats.org/officeDocument/2006/relationships/hyperlink" Target="https://data.humdata.org/dataset/road-distance-of-district-headquarters-from-kathmandu-via-prithvi-highway" TargetMode="External" Id="rId231"/><Relationship Type="http://schemas.openxmlformats.org/officeDocument/2006/relationships/hyperlink" Target="https://data.opendevelopmentmekong.net/dataset/access-to-health-facilities" TargetMode="External" Id="rId232"/><Relationship Type="http://schemas.openxmlformats.org/officeDocument/2006/relationships/hyperlink" Target="https://data.europa.eu/data/datasets/1717c7b4-8a66-4f19-b686-6042fbed5255" TargetMode="External" Id="rId233"/><Relationship Type="http://schemas.openxmlformats.org/officeDocument/2006/relationships/hyperlink" Target="https://data.gov.au/data/dataset/air-quality-monitoring-sites" TargetMode="External" Id="rId234"/><Relationship Type="http://schemas.openxmlformats.org/officeDocument/2006/relationships/hyperlink" Target="https://data.europa.eu/data/datasets/e77907c3-c927-4df9-946d-a3f34748c67d" TargetMode="External" Id="rId235"/><Relationship Type="http://schemas.openxmlformats.org/officeDocument/2006/relationships/hyperlink" Target="https://data.europa.eu/data/datasets/2179a74f-f6bd-4066-b04a-76621eca4eb5" TargetMode="External" Id="rId236"/><Relationship Type="http://schemas.openxmlformats.org/officeDocument/2006/relationships/hyperlink" Target="https://data.europa.eu/data/datasets/stadt-wien_weihnachtsmrkteundsilvesterstndewien" TargetMode="External" Id="rId237"/><Relationship Type="http://schemas.openxmlformats.org/officeDocument/2006/relationships/hyperlink" Target="https://data.cdc.gov/d/8xkx-amqh" TargetMode="External" Id="rId238"/><Relationship Type="http://schemas.openxmlformats.org/officeDocument/2006/relationships/hyperlink" Target="https://data.gov.ie/dataset/emep-the-european-monitoring-and-evaluation-programme-air-quality-monitoring-sites" TargetMode="External" Id="rId239"/><Relationship Type="http://schemas.openxmlformats.org/officeDocument/2006/relationships/hyperlink" Target="https://data.europa.eu/data/datasets/https-api-opendata-praha-eu-lod-catalog-556f5b31-84b5-41df-ae1c-06ba9197f1b3" TargetMode="External" Id="rId240"/><Relationship Type="http://schemas.openxmlformats.org/officeDocument/2006/relationships/hyperlink" Target="https://registry.opendata.aws/gbif/" TargetMode="External" Id="rId241"/><Relationship Type="http://schemas.openxmlformats.org/officeDocument/2006/relationships/hyperlink" Target="https://data.opendevelopmentmekong.net/dataset/health-facilities-signed-agreement-for-health-care-scheme-nssf" TargetMode="External" Id="rId242"/><Relationship Type="http://schemas.openxmlformats.org/officeDocument/2006/relationships/hyperlink" Target="https://data.opendevelopmentmekong.net/dataset/health-facilities-nssf" TargetMode="External" Id="rId243"/><Relationship Type="http://schemas.openxmlformats.org/officeDocument/2006/relationships/hyperlink" Target="https://data.gov.au/data/dataset/health-establishments" TargetMode="External" Id="rId244"/><Relationship Type="http://schemas.openxmlformats.org/officeDocument/2006/relationships/hyperlink" Target="https://data.gov.ie/dataset/industrial-ie-industrial-ipc-and-waste-facilities" TargetMode="External" Id="rId245"/><Relationship Type="http://schemas.openxmlformats.org/officeDocument/2006/relationships/hyperlink" Target="https://data.gov.ie/dataset/industrial-and-waste-emission-facilities" TargetMode="External" Id="rId246"/><Relationship Type="http://schemas.openxmlformats.org/officeDocument/2006/relationships/hyperlink" Target="https://data.gov.ie/dataset/industrial-emissions-ie-and-integrated-pollution-control-ipc-facilities" TargetMode="External" Id="rId247"/><Relationship Type="http://schemas.openxmlformats.org/officeDocument/2006/relationships/hyperlink" Target="https://data.gov.ie/dataset/industrial-emissions-ie-facilities" TargetMode="External" Id="rId248"/><Relationship Type="http://schemas.openxmlformats.org/officeDocument/2006/relationships/hyperlink" Target="https://data.gov.ie/dataset/ippc-facility-monitoring-points" TargetMode="External" Id="rId249"/><Relationship Type="http://schemas.openxmlformats.org/officeDocument/2006/relationships/hyperlink" Target="https://data.gov.ie/dataset/licensed-waste-facilities" TargetMode="External" Id="rId250"/><Relationship Type="http://schemas.openxmlformats.org/officeDocument/2006/relationships/hyperlink" Target="https://data.opendevelopmentmekong.net/dataset/list-of-hospitals-and-health-centres-under-mohs" TargetMode="External" Id="rId251"/><Relationship Type="http://schemas.openxmlformats.org/officeDocument/2006/relationships/hyperlink" Target="https://data.europa.eu/data/datasets/6620d863-a055-4612-ab7a-87bc3c23771d" TargetMode="External" Id="rId252"/><Relationship Type="http://schemas.openxmlformats.org/officeDocument/2006/relationships/hyperlink" Target="https://data.europa.eu/data/datasets/stadt-wien_wienermrktestandorte" TargetMode="External" Id="rId253"/><Relationship Type="http://schemas.openxmlformats.org/officeDocument/2006/relationships/hyperlink" Target="https://registry.opendata.aws/met-office-uk-deterministic/" TargetMode="External" Id="rId254"/><Relationship Type="http://schemas.openxmlformats.org/officeDocument/2006/relationships/hyperlink" Target="https://data.europa.eu/data/datasets/mid-ulster-council-parks-services-facilities2" TargetMode="External" Id="rId255"/><Relationship Type="http://schemas.openxmlformats.org/officeDocument/2006/relationships/hyperlink" Target="https://data.europa.eu/data/datasets/https-www-odwb-be-explore-dataset-marchesnamurois-" TargetMode="External" Id="rId256"/><Relationship Type="http://schemas.openxmlformats.org/officeDocument/2006/relationships/hyperlink" Target="https://data.gov.au/data/dataset/national-healthdirect-health-facilities" TargetMode="External" Id="rId257"/><Relationship Type="http://schemas.openxmlformats.org/officeDocument/2006/relationships/hyperlink" Target="https://data.gov.au/data/dataset/national-healthdirect-health-facilities-wfs" TargetMode="External" Id="rId258"/><Relationship Type="http://schemas.openxmlformats.org/officeDocument/2006/relationships/hyperlink" Target="https://data.gov.au/data/dataset/national-healthdirect-health-facilities-wms" TargetMode="External" Id="rId259"/><Relationship Type="http://schemas.openxmlformats.org/officeDocument/2006/relationships/hyperlink" Target="https://www.data.gouv.fr/datasets/revenus-des-francais-a-la-commune" TargetMode="External" Id="rId260"/><Relationship Type="http://schemas.openxmlformats.org/officeDocument/2006/relationships/hyperlink" Target="https://data.gov.au/data/dataset/sa-private-hospitals" TargetMode="External" Id="rId261"/><Relationship Type="http://schemas.openxmlformats.org/officeDocument/2006/relationships/hyperlink" Target="https://data.gov.au/data/dataset/sa-public-hospitals" TargetMode="External" Id="rId262"/><Relationship Type="http://schemas.openxmlformats.org/officeDocument/2006/relationships/hyperlink" Target="https://data.europa.eu/data/datasets/stadt-wien_sozialmrktestandortewien" TargetMode="External" Id="rId263"/><Relationship Type="http://schemas.openxmlformats.org/officeDocument/2006/relationships/hyperlink" Target="https://data.gov.au/data/dataset/tasmanian-public-health-facilities" TargetMode="External" Id="rId264"/><Relationship Type="http://schemas.openxmlformats.org/officeDocument/2006/relationships/hyperlink" Target="https://data.gov.ie/dataset/waste-facility-boundaries" TargetMode="External" Id="rId265"/><Relationship Type="http://schemas.openxmlformats.org/officeDocument/2006/relationships/hyperlink" Target="https://dataspace.copernicus.eu/data-collections" TargetMode="External" Id="rId266"/><Relationship Type="http://schemas.openxmlformats.org/officeDocument/2006/relationships/hyperlink" Target="https://marine.copernicus.eu/about/producers" TargetMode="External" Id="rId267"/><Relationship Type="http://schemas.openxmlformats.org/officeDocument/2006/relationships/hyperlink" Target="https://doi.org/10.1186/s12888-018-1904-7" TargetMode="External" Id="rId268"/><Relationship Type="http://schemas.openxmlformats.org/officeDocument/2006/relationships/hyperlink" Target="https://dhsprogram.com/Methodology/GPS-Data.cfm" TargetMode="External" Id="rId269"/><Relationship Type="http://schemas.openxmlformats.org/officeDocument/2006/relationships/hyperlink" Target="https://podaac.jpl.nasa.gov/dataset/MUR-JPL-L4-GLOB-v4.1" TargetMode="External" Id="rId270"/><Relationship Type="http://schemas.openxmlformats.org/officeDocument/2006/relationships/hyperlink" Target="https://gpm.nasa.gov/data/imerg" TargetMode="External" Id="rId271"/><Relationship Type="http://schemas.openxmlformats.org/officeDocument/2006/relationships/hyperlink" Target="https://figshare.com/articles/dataset/Harmonization_of_DMSP_and_VIIRS_nighttime_light_data_from_1992-2018_at_the_global_scale/9828827" TargetMode="External" Id="rId272"/><Relationship Type="http://schemas.openxmlformats.org/officeDocument/2006/relationships/hyperlink" Target="https://gis-mdc.opendata.arcgis.com/datasets/MDC::sexual-predator/about" TargetMode="External" Id="rId273"/><Relationship Type="http://schemas.openxmlformats.org/officeDocument/2006/relationships/hyperlink" Target="https://www.naturalearthdata.com/" TargetMode="External" Id="rId274"/><Relationship Type="http://schemas.openxmlformats.org/officeDocument/2006/relationships/hyperlink" Target="https://github.com/OHDSI/GIS/tree/main/syntheticDataGIS" TargetMode="External" Id="rId275"/><Relationship Type="http://schemas.openxmlformats.org/officeDocument/2006/relationships/hyperlink" Target="https://github.com/OHDSI/GIS/tree/main/syntheticDataGIS" TargetMode="External" Id="rId276"/><Relationship Type="http://schemas.openxmlformats.org/officeDocument/2006/relationships/hyperlink" Target="https://github.com/OHDSI/GIS/tree/main/syntheticDataGIS" TargetMode="External" Id="rId277"/><Relationship Type="http://schemas.openxmlformats.org/officeDocument/2006/relationships/hyperlink" Target="https://github.com/OHDSI/GIS/tree/main/syntheticDataGIS" TargetMode="External" Id="rId278"/><Relationship Type="http://schemas.openxmlformats.org/officeDocument/2006/relationships/hyperlink" Target="https://www.data.gouv.fr/datasets/plan-de-prevention-des-risques-naturels-pprn-de-la-commune-darvert-risque-submersion-marine-charente-maritime" TargetMode="External" Id="rId279"/><Relationship Type="http://schemas.openxmlformats.org/officeDocument/2006/relationships/hyperlink" Target="https://climateknowledgeportal.worldbank.org/" TargetMode="External" Id="rId280"/><Relationship Type="http://schemas.openxmlformats.org/officeDocument/2006/relationships/hyperlink" Target="https://data.europa.eu/en" TargetMode="External" Id="rId281"/><Relationship Type="http://schemas.openxmlformats.org/officeDocument/2006/relationships/hyperlink" Target="https://spatialdata.dhsprogram.com/home/" TargetMode="External" Id="rId282"/><Relationship Type="http://schemas.openxmlformats.org/officeDocument/2006/relationships/hyperlink" Target="https://database.espon.eu/" TargetMode="External" Id="rId283"/><Relationship Type="http://schemas.openxmlformats.org/officeDocument/2006/relationships/hyperlink" Target="https://ecat.ga.gov.au/geonetwork/" TargetMode="External" Id="rId284"/><Relationship Type="http://schemas.openxmlformats.org/officeDocument/2006/relationships/hyperlink" Target="https://mobilitydatabase.org/" TargetMode="External" Id="rId285"/><Relationship Type="http://schemas.openxmlformats.org/officeDocument/2006/relationships/hyperlink" Target="https://gis.cancer.gov/" TargetMode="External" Id="rId286"/><Relationship Type="http://schemas.openxmlformats.org/officeDocument/2006/relationships/hyperlink" Target="https://www.ons.gov.uk/methodology/geography/geographicalproducts/opengeography" TargetMode="External" Id="rId287"/><Relationship Type="http://schemas.openxmlformats.org/officeDocument/2006/relationships/hyperlink" Target="https://open.canada.ca/en/open-data" TargetMode="External" Id="rId288"/><Relationship Type="http://schemas.openxmlformats.org/officeDocument/2006/relationships/hyperlink" Target="https://www.statistik.at/en/services/tools/data-access/open-data" TargetMode="External" Id="rId289"/><Relationship Type="http://schemas.openxmlformats.org/officeDocument/2006/relationships/hyperlink" Target="https://datacatalog.urban.org/" TargetMode="External" Id="rId290"/><Relationship Type="http://schemas.openxmlformats.org/officeDocument/2006/relationships/hyperlink" Target="https://datacatalog.worldbank.org/home" TargetMode="External" Id="rId291"/><Relationship Type="http://schemas.openxmlformats.org/officeDocument/2006/relationships/hyperlink" Target="https://wesr.unep.org/" TargetMode="External" Id="rId292"/><Relationship Type="http://schemas.openxmlformats.org/officeDocument/2006/relationships/hyperlink" Target="https://data.humdata.org/dataset/hot_flood_npl_corridor" TargetMode="External" Id="rId293"/><Relationship Type="http://schemas.openxmlformats.org/officeDocument/2006/relationships/hyperlink" Target="https://data.europa.eu/data/datasets/a7dd937c-8d59-4e9d-8265-c54822ca9616" TargetMode="External" Id="rId294"/><Relationship Type="http://schemas.openxmlformats.org/officeDocument/2006/relationships/hyperlink" Target="https://data.opendevelopmentmekong.net/dataset/schools-in-flood-prone-area-2013" TargetMode="External" Id="rId295"/><Relationship Type="http://schemas.openxmlformats.org/officeDocument/2006/relationships/hyperlink" Target="https://data.gov.ie/dataset/flood-studies-update-fsu-stations-gauged" TargetMode="External" Id="rId296"/><Relationship Type="http://schemas.openxmlformats.org/officeDocument/2006/relationships/hyperlink" Target="https://data.europa.eu/data/datasets/f13536af-eca4-46a4-8125-bbe104a691cc" TargetMode="External" Id="rId297"/><Relationship Type="http://schemas.openxmlformats.org/officeDocument/2006/relationships/hyperlink" Target="https://data.europa.eu/data/datasets/5eb001bb-a5a2-43da-88cb-15afe992660f" TargetMode="External" Id="rId298"/><Relationship Type="http://schemas.openxmlformats.org/officeDocument/2006/relationships/hyperlink" Target="https://data.europa.eu/data/datasets/ac622fb1-6607-48cf-bef1-4c3fcf058e8e" TargetMode="External" Id="rId299"/><Relationship Type="http://schemas.openxmlformats.org/officeDocument/2006/relationships/hyperlink" Target="https://cmr.earthdata.nasa.gov/search/concepts/C2779741852-ORNL_CLOUD.html" TargetMode="External" Id="rId300"/><Relationship Type="http://schemas.openxmlformats.org/officeDocument/2006/relationships/hyperlink" Target="https://data.opendevelopmentmekong.net/dataset/health-facility-of-cambodia-2010" TargetMode="External" Id="rId301"/><Relationship Type="http://schemas.openxmlformats.org/officeDocument/2006/relationships/hyperlink" Target="https://data.humdata.org/dataset/hospital-based-mortality-for-all-ages" TargetMode="External" Id="rId302"/><Relationship Type="http://schemas.openxmlformats.org/officeDocument/2006/relationships/hyperlink" Target="https://data.opendevelopmentmekong.net/dataset/well-locations-in-cambodia-2010" TargetMode="External" Id="rId303"/><Relationship Type="http://schemas.openxmlformats.org/officeDocument/2006/relationships/hyperlink" Target="https://data.opendevelopmentmekong.net/dataset/map_distance_to_upper_secondary_schools" TargetMode="External" Id="rId304"/><Relationship Type="http://schemas.openxmlformats.org/officeDocument/2006/relationships/hyperlink" Target="https://data.humdata.org/dataset/zimbabwe-health-facilities" TargetMode="External" Id="rId305"/><Relationship Type="http://schemas.openxmlformats.org/officeDocument/2006/relationships/hyperlink" Target="https://data.humdata.org/dataset/ebola-west-africa-ebola-treatment-centres-isolation-wards-hospitals-and-transit-centres" TargetMode="External" Id="rId306"/><Relationship Type="http://schemas.openxmlformats.org/officeDocument/2006/relationships/hyperlink" Target="https://data.humdata.org/dataset/number-of-hospitals-in-nepal-2013" TargetMode="External" Id="rId307"/><Relationship Type="http://schemas.openxmlformats.org/officeDocument/2006/relationships/hyperlink" Target="https://cmr.earthdata.nasa.gov/search/concepts/C2761762895-ORNL_CLOUD.html" TargetMode="External" Id="rId308"/><Relationship Type="http://schemas.openxmlformats.org/officeDocument/2006/relationships/hyperlink" Target="https://cmr.earthdata.nasa.gov/search/concepts/C3540911070-ESDIS.html" TargetMode="External" Id="rId309"/><Relationship Type="http://schemas.openxmlformats.org/officeDocument/2006/relationships/hyperlink" Target="https://opportunityinsights.org/data/" TargetMode="External" Id="rId310"/><Relationship Type="http://schemas.openxmlformats.org/officeDocument/2006/relationships/hyperlink" Target="https://cmr.earthdata.nasa.gov/search/concepts/C3266793342-NSIDC_CPRD.html" TargetMode="External" Id="rId311"/><Relationship Type="http://schemas.openxmlformats.org/officeDocument/2006/relationships/hyperlink" Target="https://cmr.earthdata.nasa.gov/search/concepts/C3266793968-NSIDC_CPRD.html" TargetMode="External" Id="rId312"/><Relationship Type="http://schemas.openxmlformats.org/officeDocument/2006/relationships/hyperlink" Target="https://cmr.earthdata.nasa.gov/search/concepts/C2777853903-ORNL_CLOUD.html" TargetMode="External" Id="rId313"/><Relationship Type="http://schemas.openxmlformats.org/officeDocument/2006/relationships/hyperlink" Target="https://cmr.earthdata.nasa.gov/search/concepts/C2231549328-CEOS_EXTRA.html" TargetMode="External" Id="rId314"/><Relationship Type="http://schemas.openxmlformats.org/officeDocument/2006/relationships/hyperlink" Target="http://exposome-explorer.iarc.fr/" TargetMode="External" Id="rId315"/><Relationship Type="http://schemas.openxmlformats.org/officeDocument/2006/relationships/hyperlink" Target="https://vizhub.healthdata.org/gbd-results/" TargetMode="External" Id="rId316"/><Relationship Type="http://schemas.openxmlformats.org/officeDocument/2006/relationships/hyperlink" Target="https://export.hotosm.org/" TargetMode="External" Id="rId317"/><Relationship Type="http://schemas.openxmlformats.org/officeDocument/2006/relationships/hyperlink" Target="https://data.cms.gov/tools/mapping-medicare-disparities-by-population" TargetMode="External" Id="rId318"/><Relationship Type="http://schemas.openxmlformats.org/officeDocument/2006/relationships/hyperlink" Target="https://www.cdc.gov/environmental-health-tracking/php/data-research/index.html" TargetMode="External" Id="rId319"/><Relationship Type="http://schemas.openxmlformats.org/officeDocument/2006/relationships/hyperlink" Target="https://www.npms.phmsa.dot.gov/" TargetMode="External" Id="rId320"/><Relationship Type="http://schemas.openxmlformats.org/officeDocument/2006/relationships/hyperlink" Target="https://www.socialexplorer.com/" TargetMode="External" Id="rId321"/><Relationship Type="http://schemas.openxmlformats.org/officeDocument/2006/relationships/hyperlink" Target="https://crt-climate-explorer.nemac.org/" TargetMode="External" Id="rId322"/><Relationship Type="http://schemas.openxmlformats.org/officeDocument/2006/relationships/hyperlink" Target="https://data.theglobalfund.org/" TargetMode="External" Id="rId323"/><Relationship Type="http://schemas.openxmlformats.org/officeDocument/2006/relationships/hyperlink" Target="https://www.graham-center.org/maps-data-tools/uds-mapper.html" TargetMode="External" Id="rId324"/><Relationship Type="http://schemas.openxmlformats.org/officeDocument/2006/relationships/hyperlink" Target="https://ckan.publishing.service.gov.uk/dataset/administrative-boundary-viewer-2025" TargetMode="External" Id="rId325"/><Relationship Type="http://schemas.openxmlformats.org/officeDocument/2006/relationships/hyperlink" Target="https://data.gov.ie/dataset/forest-road-polygons-licence-application-spatial-extract-from-dafm-forestry-licence-viewer" TargetMode="External" Id="rId326"/><Relationship Type="http://schemas.openxmlformats.org/officeDocument/2006/relationships/hyperlink" Target="https://data.europa.eu/data/datasets/66978fe1b41f977486548d91" TargetMode="External" Id="rId327"/><Relationship Type="http://schemas.openxmlformats.org/officeDocument/2006/relationships/hyperlink" Target="https://data.humdata.org/dataset/wpdx_mwi" TargetMode="External" Id="rId328"/><Relationship Type="http://schemas.openxmlformats.org/officeDocument/2006/relationships/hyperlink" Target="https://open.canada.ca/data/dataset/57d5ffae-3048-4a19-9b4c-eab12f6322c5" TargetMode="External" Id="rId329"/><Relationship Type="http://schemas.openxmlformats.org/officeDocument/2006/relationships/hyperlink" Target="https://registry.opendata.aws/census-2020-dhc-nmf/" TargetMode="External" Id="rId330"/><Relationship Type="http://schemas.openxmlformats.org/officeDocument/2006/relationships/hyperlink" Target="https://registry.opendata.aws/census-2020-pl94-nmf/" TargetMode="External" Id="rId331"/><Relationship Type="http://schemas.openxmlformats.org/officeDocument/2006/relationships/hyperlink" Target="https://cmr.earthdata.nasa.gov/search/concepts/C3383774720-ENVIDAT.html" TargetMode="External" Id="rId332"/><Relationship Type="http://schemas.openxmlformats.org/officeDocument/2006/relationships/hyperlink" Target="https://data.humdata.org/dataset/populationa-and-housing-census-dataset" TargetMode="External" Id="rId333"/><Relationship Type="http://schemas.openxmlformats.org/officeDocument/2006/relationships/hyperlink" Target="https://data.humdata.org/dataset/china-hong-kong-special-administrative-region-planet-road-surface-data" TargetMode="External" Id="rId334"/><Relationship Type="http://schemas.openxmlformats.org/officeDocument/2006/relationships/hyperlink" Target="https://registry.opendata.aws/census-2010-amc-mdf-replicates/" TargetMode="External" Id="rId335"/><Relationship Type="http://schemas.openxmlformats.org/officeDocument/2006/relationships/hyperlink" Target="https://ckan.publishing.service.gov.uk/dataset/european-electoral-regions-december-2017-boundaries-uk-bgc" TargetMode="External" Id="rId336"/><Relationship Type="http://schemas.openxmlformats.org/officeDocument/2006/relationships/hyperlink" Target="https://data.humdata.org/dataset/igad-region-dekadal-combined-drought-indicator-cdi-2025" TargetMode="External" Id="rId337"/><Relationship Type="http://schemas.openxmlformats.org/officeDocument/2006/relationships/hyperlink" Target="https://registry.opendata.aws/japan_pointcloud/" TargetMode="External" Id="rId338"/><Relationship Type="http://schemas.openxmlformats.org/officeDocument/2006/relationships/hyperlink" Target="https://registry.opendata.aws/kanagawa_pointcloud/" TargetMode="External" Id="rId339"/><Relationship Type="http://schemas.openxmlformats.org/officeDocument/2006/relationships/hyperlink" Target="https://data.humdata.org/dataset/malawi-population-and-housing-census-2018" TargetMode="External" Id="rId340"/><Relationship Type="http://schemas.openxmlformats.org/officeDocument/2006/relationships/hyperlink" Target="https://data.humdata.org/dataset/popn-single-year-age-sex-and-barangay-census-2020" TargetMode="External" Id="rId341"/><Relationship Type="http://schemas.openxmlformats.org/officeDocument/2006/relationships/hyperlink" Target="https://data.humdata.org/dataset/philippines-2015-census-population-admin4-single-age" TargetMode="External" Id="rId342"/><Relationship Type="http://schemas.openxmlformats.org/officeDocument/2006/relationships/hyperlink" Target="https://data.europa.eu/data/datasets/https-data-gov-lt-datasets-3051-" TargetMode="External" Id="rId343"/><Relationship Type="http://schemas.openxmlformats.org/officeDocument/2006/relationships/hyperlink" Target="https://data.europa.eu/data/datasets/https-data-gov-lt-datasets-3052-" TargetMode="External" Id="rId344"/><Relationship Type="http://schemas.openxmlformats.org/officeDocument/2006/relationships/hyperlink" Target="https://data.europa.eu/data/datasets/https-geodata-csu-gov-cz-as-odsdatovyportalapi-api-lod-catalog-ebacea0f-bf0b-4042-a528-1910c66a7444" TargetMode="External" Id="rId345"/><Relationship Type="http://schemas.openxmlformats.org/officeDocument/2006/relationships/hyperlink" Target="https://data.europa.eu/data/datasets/https-geodata-csu-gov-cz-as-odsdatovyportalapi-api-lod-catalog-c2cb74ff-d7ce-4c22-85ce-723b23d913bd" TargetMode="External" Id="rId346"/><Relationship Type="http://schemas.openxmlformats.org/officeDocument/2006/relationships/hyperlink" Target="https://data.europa.eu/data/datasets/https-geodata-csu-gov-cz-as-odsdatovyportalapi-api-lod-catalog-3ea9e230-2f66-4a89-8e9a-4f87b4f30e6b" TargetMode="External" Id="rId347"/><Relationship Type="http://schemas.openxmlformats.org/officeDocument/2006/relationships/hyperlink" Target="https://cmr.earthdata.nasa.gov/search/concepts/C1214598501-SCIOPS.html" TargetMode="External" Id="rId348"/><Relationship Type="http://schemas.openxmlformats.org/officeDocument/2006/relationships/hyperlink" Target="https://data.humdata.org/dataset/syria-infrastructure-maps-power-line-water-way-dam-highway-shapefiles" TargetMode="External" Id="rId349"/><Relationship Type="http://schemas.openxmlformats.org/officeDocument/2006/relationships/hyperlink" Target="https://registry.opendata.aws/africa-field-boundary-labels/" TargetMode="External" Id="rId350"/><Relationship Type="http://schemas.openxmlformats.org/officeDocument/2006/relationships/hyperlink" Target="https://open.canada.ca/data/dataset/7d99f548-b36d-3b82-bb7f-36c7fff71baa" TargetMode="External" Id="rId351"/><Relationship Type="http://schemas.openxmlformats.org/officeDocument/2006/relationships/hyperlink" Target="https://data.gov.au/data/dataset/bicycle-infrastructure-network" TargetMode="External" Id="rId352"/><Relationship Type="http://schemas.openxmlformats.org/officeDocument/2006/relationships/hyperlink" Target="https://open.canada.ca/data/dataset/7e359f54-b8d7-45aa-abaa-2f2135ad05f1" TargetMode="External" Id="rId353"/><Relationship Type="http://schemas.openxmlformats.org/officeDocument/2006/relationships/hyperlink" Target="https://open.canada.ca/data/dataset/012a76fd-d682-49cd-974a-21d8737997a8" TargetMode="External" Id="rId354"/><Relationship Type="http://schemas.openxmlformats.org/officeDocument/2006/relationships/hyperlink" Target="https://open.canada.ca/data/dataset/ecffe357-d8bc-4712-b8d9-11b7ccaffa71" TargetMode="External" Id="rId355"/><Relationship Type="http://schemas.openxmlformats.org/officeDocument/2006/relationships/hyperlink" Target="https://data.europa.eu/data/datasets/https-www-arcgis-com-home-item-html-id-b52cf3f82c344549977449502c7c2d2c-sublayer-0" TargetMode="External" Id="rId356"/><Relationship Type="http://schemas.openxmlformats.org/officeDocument/2006/relationships/hyperlink" Target="https://data.europa.eu/data/datasets/a11828a6-d228-46dc-98be-bdcdc099f3e6" TargetMode="External" Id="rId357"/><Relationship Type="http://schemas.openxmlformats.org/officeDocument/2006/relationships/hyperlink" Target="https://open.canada.ca/data/dataset/43ed6d12-afa8-4013-9464-d0632a5272c6" TargetMode="External" Id="rId358"/><Relationship Type="http://schemas.openxmlformats.org/officeDocument/2006/relationships/hyperlink" Target="https://data.europa.eu/data/datasets/1a6207bd-c98b-4305-9dda-3debeb9e768a" TargetMode="External" Id="rId359"/><Relationship Type="http://schemas.openxmlformats.org/officeDocument/2006/relationships/hyperlink" Target="https://registry.opendata.aws/ideam-radares/" TargetMode="External" Id="rId360"/><Relationship Type="http://schemas.openxmlformats.org/officeDocument/2006/relationships/hyperlink" Target="https://data.opendevelopmentmekong.net/dataset/keetch-byram-drought-index-kbdi" TargetMode="External" Id="rId361"/><Relationship Type="http://schemas.openxmlformats.org/officeDocument/2006/relationships/hyperlink" Target="https://data.europa.eu/data/datasets/9acba32b-9a58-4112-9dd0-1048908d27ad" TargetMode="External" Id="rId362"/><Relationship Type="http://schemas.openxmlformats.org/officeDocument/2006/relationships/hyperlink" Target="https://data.europa.eu/data/datasets/100082-kanton-basel-stadt" TargetMode="External" Id="rId363"/><Relationship Type="http://schemas.openxmlformats.org/officeDocument/2006/relationships/hyperlink" Target="https://data.europa.eu/data/datasets/100038-kanton-basel-stadt" TargetMode="External" Id="rId364"/><Relationship Type="http://schemas.openxmlformats.org/officeDocument/2006/relationships/hyperlink" Target="https://data.europa.eu/data/datasets/8522c47e-c172-446e-8ca2-44d46c2540ed" TargetMode="External" Id="rId365"/><Relationship Type="http://schemas.openxmlformats.org/officeDocument/2006/relationships/hyperlink" Target="https://data.europa.eu/data/datasets/5f0751f35bb6b9753ad5996d~~1" TargetMode="External" Id="rId366"/><Relationship Type="http://schemas.openxmlformats.org/officeDocument/2006/relationships/hyperlink" Target="https://data.europa.eu/data/datasets/9a4ac5c1-4bab-47ee-89b5-d519e732392c" TargetMode="External" Id="rId367"/><Relationship Type="http://schemas.openxmlformats.org/officeDocument/2006/relationships/hyperlink" Target="https://data.gov.au/data/dataset/long-term-cycle-network-ltcn-dot-035" TargetMode="External" Id="rId368"/><Relationship Type="http://schemas.openxmlformats.org/officeDocument/2006/relationships/hyperlink" Target="https://data.europa.eu/data/datasets/hauptradverkehrsnetz" TargetMode="External" Id="rId369"/><Relationship Type="http://schemas.openxmlformats.org/officeDocument/2006/relationships/hyperlink" Target="https://data.gov.au/data/dataset/national-drought-and-flood-recovery-regions" TargetMode="External" Id="rId370"/><Relationship Type="http://schemas.openxmlformats.org/officeDocument/2006/relationships/hyperlink" Target="https://data.europa.eu/data/datasets/6842fa78c5d2a97f089fb252" TargetMode="External" Id="rId371"/><Relationship Type="http://schemas.openxmlformats.org/officeDocument/2006/relationships/hyperlink" Target="https://open.canada.ca/data/dataset/289f9128-df6a-4230-a600-fcae6e1239c2" TargetMode="External" Id="rId372"/><Relationship Type="http://schemas.openxmlformats.org/officeDocument/2006/relationships/hyperlink" Target="https://open.canada.ca/data/dataset/98eab650-0c7f-2e1a-67b0-6b611c05b8f3" TargetMode="External" Id="rId373"/><Relationship Type="http://schemas.openxmlformats.org/officeDocument/2006/relationships/hyperlink" Target="https://data.gov.au/data/dataset/regional-long-term-cycle-network-ltcn-dot-036" TargetMode="External" Id="rId374"/><Relationship Type="http://schemas.openxmlformats.org/officeDocument/2006/relationships/hyperlink" Target="https://data.cityofnewyork.us/d/pe54-wf39" TargetMode="External" Id="rId375"/><Relationship Type="http://schemas.openxmlformats.org/officeDocument/2006/relationships/hyperlink" Target="https://data.europa.eu/data/datasets/verkehrszaehler-standorte-eco-counter-v2-mannheim" TargetMode="External" Id="rId376"/><Relationship Type="http://schemas.openxmlformats.org/officeDocument/2006/relationships/hyperlink" Target="https://data.europa.eu/data/datasets/ff712bdd-38ff-43f3-aff3-2fd50f409bc6" TargetMode="External" Id="rId377"/><Relationship Type="http://schemas.openxmlformats.org/officeDocument/2006/relationships/hyperlink" Target="https://data.humdata.org/dataset/bangladesh-other-0" TargetMode="External" Id="rId378"/><Relationship Type="http://schemas.openxmlformats.org/officeDocument/2006/relationships/hyperlink" Target="https://cmr.earthdata.nasa.gov/search/concepts/C3880765548-LARC_CLOUD.html" TargetMode="External" Id="rId379"/><Relationship Type="http://schemas.openxmlformats.org/officeDocument/2006/relationships/hyperlink" Target="https://data.humdata.org/dataset/east-timor-other-0-0" TargetMode="External" Id="rId380"/><Relationship Type="http://schemas.openxmlformats.org/officeDocument/2006/relationships/hyperlink" Target="https://cmr.earthdata.nasa.gov/search/concepts/C1214600514-SCIOPS.html" TargetMode="External" Id="rId381"/><Relationship Type="http://schemas.openxmlformats.org/officeDocument/2006/relationships/hyperlink" Target="https://cmr.earthdata.nasa.gov/search/concepts/C1214600485-SCIOPS.html" TargetMode="External" Id="rId382"/><Relationship Type="http://schemas.openxmlformats.org/officeDocument/2006/relationships/hyperlink" Target="https://cmr.earthdata.nasa.gov/search/concepts/C1214600523-SCIOPS.html" TargetMode="External" Id="rId383"/><Relationship Type="http://schemas.openxmlformats.org/officeDocument/2006/relationships/hyperlink" Target="https://cmr.earthdata.nasa.gov/search/concepts/C1214600517-SCIOPS.html" TargetMode="External" Id="rId384"/><Relationship Type="http://schemas.openxmlformats.org/officeDocument/2006/relationships/hyperlink" Target="https://cmr.earthdata.nasa.gov/search/concepts/C1214600524-SCIOPS.html" TargetMode="External" Id="rId385"/><Relationship Type="http://schemas.openxmlformats.org/officeDocument/2006/relationships/hyperlink" Target="https://data.humdata.org/dataset/dpr-korea-other" TargetMode="External" Id="rId386"/><Relationship Type="http://schemas.openxmlformats.org/officeDocument/2006/relationships/hyperlink" Target="https://data.opendevelopmentmekong.net/dataset/census-2008" TargetMode="External" Id="rId387"/><Relationship Type="http://schemas.openxmlformats.org/officeDocument/2006/relationships/hyperlink" Target="https://data.humdata.org/dataset/kyrgyzstan-population-census-2009" TargetMode="External" Id="rId388"/><Relationship Type="http://schemas.openxmlformats.org/officeDocument/2006/relationships/hyperlink" Target="https://registry.opendata.aws/census-2010-dhc-nmf/" TargetMode="External" Id="rId389"/><Relationship Type="http://schemas.openxmlformats.org/officeDocument/2006/relationships/hyperlink" Target="https://registry.opendata.aws/census-2010-pl94-nmf/" TargetMode="External" Id="rId390"/><Relationship Type="http://schemas.openxmlformats.org/officeDocument/2006/relationships/hyperlink" Target="https://data.humdata.org/dataset/sri-lanka-census-of-population-and-housing-2012" TargetMode="External" Id="rId391"/><Relationship Type="http://schemas.openxmlformats.org/officeDocument/2006/relationships/hyperlink" Target="https://data.gov.ie/dataset/cycle-network-survey" TargetMode="External" Id="rId392"/><Relationship Type="http://schemas.openxmlformats.org/officeDocument/2006/relationships/hyperlink" Target="https://cmr.earthdata.nasa.gov/search/concepts/C2773250697-ORNL_CLOUD.html" TargetMode="External" Id="rId393"/><Relationship Type="http://schemas.openxmlformats.org/officeDocument/2006/relationships/hyperlink" Target="https://data.humdata.org/dataset/kazakhstan-population-census-2009" TargetMode="External" Id="rId394"/><Relationship Type="http://schemas.openxmlformats.org/officeDocument/2006/relationships/hyperlink" Target="https://registry.opendata.aws/asset-data-africa-cement/" TargetMode="External" Id="rId395"/><Relationship Type="http://schemas.openxmlformats.org/officeDocument/2006/relationships/hyperlink" Target="https://registry.opendata.aws/asset-data-africa-coal-plant/" TargetMode="External" Id="rId396"/><Relationship Type="http://schemas.openxmlformats.org/officeDocument/2006/relationships/hyperlink" Target="https://registry.opendata.aws/asset-data-africa-paper-and-pulp/" TargetMode="External" Id="rId397"/><Relationship Type="http://schemas.openxmlformats.org/officeDocument/2006/relationships/hyperlink" Target="https://registry.opendata.aws/asset-data-africa-power-generation/" TargetMode="External" Id="rId398"/><Relationship Type="http://schemas.openxmlformats.org/officeDocument/2006/relationships/hyperlink" Target="https://registry.opendata.aws/asset-data-africa-steel/" TargetMode="External" Id="rId399"/><Relationship Type="http://schemas.openxmlformats.org/officeDocument/2006/relationships/hyperlink" Target="https://data.gov.ie/dataset/air-quality-index-regions" TargetMode="External" Id="rId400"/><Relationship Type="http://schemas.openxmlformats.org/officeDocument/2006/relationships/hyperlink" Target="https://data.europa.eu/data/datasets/6049508c-81b7-4865-b7a7-537f5252e382" TargetMode="External" Id="rId401"/><Relationship Type="http://schemas.openxmlformats.org/officeDocument/2006/relationships/hyperlink" Target="https://data.gov.au/data/dataset/contaminated-reported-sites-dwer-059" TargetMode="External" Id="rId402"/><Relationship Type="http://schemas.openxmlformats.org/officeDocument/2006/relationships/hyperlink" Target="https://data.gov.au/data/dataset/epa-victoria-victorian-landfill-register-vlr-location-points" TargetMode="External" Id="rId403"/><Relationship Type="http://schemas.openxmlformats.org/officeDocument/2006/relationships/hyperlink" Target="https://data.gov.ie/dataset/groundwater-historically-polluted-site-pressures" TargetMode="External" Id="rId404"/><Relationship Type="http://schemas.openxmlformats.org/officeDocument/2006/relationships/hyperlink" Target="https://data.europa.eu/data/datasets/c9b9a877-d0ad-4378-9be4-055d1867b508" TargetMode="External" Id="rId405"/><Relationship Type="http://schemas.openxmlformats.org/officeDocument/2006/relationships/hyperlink" Target="https://data.europa.eu/data/datasets/heath-habitat-network" TargetMode="External" Id="rId406"/><Relationship Type="http://schemas.openxmlformats.org/officeDocument/2006/relationships/hyperlink" Target="https://registry.opendata.aws/asset-data-igp-cement/" TargetMode="External" Id="rId407"/><Relationship Type="http://schemas.openxmlformats.org/officeDocument/2006/relationships/hyperlink" Target="https://registry.opendata.aws/asset-data-igp-coal-plant/" TargetMode="External" Id="rId408"/><Relationship Type="http://schemas.openxmlformats.org/officeDocument/2006/relationships/hyperlink" Target="https://registry.opendata.aws/asset-data-igp-paper-and-pulp/" TargetMode="External" Id="rId409"/><Relationship Type="http://schemas.openxmlformats.org/officeDocument/2006/relationships/hyperlink" Target="https://registry.opendata.aws/asset-data-igp-power-generation/" TargetMode="External" Id="rId410"/><Relationship Type="http://schemas.openxmlformats.org/officeDocument/2006/relationships/hyperlink" Target="https://registry.opendata.aws/asset-data-igp-steel/" TargetMode="External" Id="rId411"/><Relationship Type="http://schemas.openxmlformats.org/officeDocument/2006/relationships/hyperlink" Target="https://data.europa.eu/data/datasets/https-maps-kr-vysocina-cz-lkod-item-dataset-rozpoc-et-pr-i-jmu-kraje-vysoc-ina-jsonld" TargetMode="External" Id="rId412"/><Relationship Type="http://schemas.openxmlformats.org/officeDocument/2006/relationships/hyperlink" Target="https://data.gov.ie/dataset/integrated-pollution-control-ipc-sites" TargetMode="External" Id="rId413"/><Relationship Type="http://schemas.openxmlformats.org/officeDocument/2006/relationships/hyperlink" Target="https://data.gov.ie/dataset/lake-and-trac-historically-polluted-site-pressures" TargetMode="External" Id="rId414"/><Relationship Type="http://schemas.openxmlformats.org/officeDocument/2006/relationships/hyperlink" Target="https://data.opendevelopmentmekong.net/dataset/waste-dumping-sites" TargetMode="External" Id="rId415"/><Relationship Type="http://schemas.openxmlformats.org/officeDocument/2006/relationships/hyperlink" Target="https://www.data.gouv.fr/datasets/les-sites-et-sols-pollues-dans-lessonne" TargetMode="External" Id="rId416"/><Relationship Type="http://schemas.openxmlformats.org/officeDocument/2006/relationships/hyperlink" Target="https://data.gov.ie/dataset/licence-enforcement-and-monitoring-application-emission-points" TargetMode="External" Id="rId417"/><Relationship Type="http://schemas.openxmlformats.org/officeDocument/2006/relationships/hyperlink" Target="https://data.ct.gov/d/xcxg-6jqp" TargetMode="External" Id="rId418"/><Relationship Type="http://schemas.openxmlformats.org/officeDocument/2006/relationships/hyperlink" Target="https://www.data.gouv.fr/datasets/localisants-des-sites-et-sols-pollues-de-lorraine-1" TargetMode="External" Id="rId419"/><Relationship Type="http://schemas.openxmlformats.org/officeDocument/2006/relationships/hyperlink" Target="https://data.europa.eu/data/datasets/34675-locaties-klusbus" TargetMode="External" Id="rId420"/><Relationship Type="http://schemas.openxmlformats.org/officeDocument/2006/relationships/hyperlink" Target="https://data.europa.eu/data/datasets/5f008be9-a0de-4512-8b4a-9a6677e9720f" TargetMode="External" Id="rId421"/><Relationship Type="http://schemas.openxmlformats.org/officeDocument/2006/relationships/hyperlink" Target="https://data.europa.eu/data/datasets/c87fed13-d24e-4952-8ad4-f2fa540fed0f" TargetMode="External" Id="rId422"/><Relationship Type="http://schemas.openxmlformats.org/officeDocument/2006/relationships/hyperlink" Target="https://data.gov.ie/dataset/national-ambient-air-quality-sites" TargetMode="External" Id="rId423"/><Relationship Type="http://schemas.openxmlformats.org/officeDocument/2006/relationships/hyperlink" Target="https://www.data.gouv.fr/datasets/perimetres-des-sites-et-sols-pollues-de-lorraine-1" TargetMode="External" Id="rId424"/><Relationship Type="http://schemas.openxmlformats.org/officeDocument/2006/relationships/hyperlink" Target="https://data.gov.ie/dataset/radiation-monitoring-locations" TargetMode="External" Id="rId425"/><Relationship Type="http://schemas.openxmlformats.org/officeDocument/2006/relationships/hyperlink" Target="https://data.europa.eu/data/datasets/rpu_acces_batiment-canton-geneve" TargetMode="External" Id="rId426"/><Relationship Type="http://schemas.openxmlformats.org/officeDocument/2006/relationships/hyperlink" Target="https://data.gov.ie/dataset/river-historically-polluted-site-pressures" TargetMode="External" Id="rId427"/><Relationship Type="http://schemas.openxmlformats.org/officeDocument/2006/relationships/hyperlink" Target="https://www.data.gouv.fr/datasets/sites-et-sols-pollues-ou-potentiellement-pollues" TargetMode="External" Id="rId428"/><Relationship Type="http://schemas.openxmlformats.org/officeDocument/2006/relationships/hyperlink" Target="https://www.data.gouv.fr/datasets/stations-de-mesure-de-qualite-de-leau-1" TargetMode="External" Id="rId429"/><Relationship Type="http://schemas.openxmlformats.org/officeDocument/2006/relationships/hyperlink" Target="https://data.gov.ie/dataset/urban-waste-water-snapped-emission-points" TargetMode="External" Id="rId430"/><Relationship Type="http://schemas.openxmlformats.org/officeDocument/2006/relationships/hyperlink" Target="https://data.gov.ie/dataset/waste-emission-points" TargetMode="External" Id="rId431"/><Relationship Type="http://schemas.openxmlformats.org/officeDocument/2006/relationships/hyperlink" Target="https://data.gov.ie/dataset/waste-monitoring-points" TargetMode="External" Id="rId432"/><Relationship Type="http://schemas.openxmlformats.org/officeDocument/2006/relationships/hyperlink" Target="https://cmr.earthdata.nasa.gov/search/concepts/C2539907396-ORNL_CLOUD.html" TargetMode="External" Id="rId433"/><Relationship Type="http://schemas.openxmlformats.org/officeDocument/2006/relationships/hyperlink" Target="https://cmr.earthdata.nasa.gov/search/concepts/C2162120326-ORNL_CLOUD.html" TargetMode="External" Id="rId434"/><Relationship Type="http://schemas.openxmlformats.org/officeDocument/2006/relationships/hyperlink" Target="https://data.humdata.org/dataset/philippines-other-0-0-0-0" TargetMode="External" Id="rId435"/><Relationship Type="http://schemas.openxmlformats.org/officeDocument/2006/relationships/hyperlink" Target="https://data.humdata.org/dataset/philippines-other-0-0-0" TargetMode="External" Id="rId436"/><Relationship Type="http://schemas.openxmlformats.org/officeDocument/2006/relationships/hyperlink" Target="https://data.humdata.org/dataset/philippines-other-0-0-0-0-0-0-0-0-0-0-0" TargetMode="External" Id="rId437"/><Relationship Type="http://schemas.openxmlformats.org/officeDocument/2006/relationships/hyperlink" Target="https://www.epa.gov/waterdata/get-data-access-public-attains-data" TargetMode="External" Id="rId438"/><Relationship Type="http://schemas.openxmlformats.org/officeDocument/2006/relationships/hyperlink" Target="https://berkeleyearth.org/data/" TargetMode="External" Id="rId439"/><Relationship Type="http://schemas.openxmlformats.org/officeDocument/2006/relationships/hyperlink" Target="https://open.canada.ca/data/en/dataset/7f245e4d-76c2-4caa-951a-45d1d2051333" TargetMode="External" Id="rId440"/><Relationship Type="http://schemas.openxmlformats.org/officeDocument/2006/relationships/hyperlink" Target="https://eelp.law.harvard.edu/tracker/ceqs-climate-economic-justice-screening-tool-removed/" TargetMode="External" Id="rId441"/><Relationship Type="http://schemas.openxmlformats.org/officeDocument/2006/relationships/hyperlink" Target="https://screening-tools.com/epa-ejscreen" TargetMode="External" Id="rId442"/><Relationship Type="http://schemas.openxmlformats.org/officeDocument/2006/relationships/hyperlink" Target="https://ldas.gsfc.nasa.gov/gldas" TargetMode="External" Id="rId443"/><Relationship Type="http://schemas.openxmlformats.org/officeDocument/2006/relationships/hyperlink" Target="https://www.fema.gov/flood-maps/products-tools/hazus" TargetMode="External" Id="rId444"/><Relationship Type="http://schemas.openxmlformats.org/officeDocument/2006/relationships/hyperlink" Target="https://www.ncei.noaa.gov/products/land-based-station/local-climatological-data" TargetMode="External" Id="rId445"/><Relationship Type="http://schemas.openxmlformats.org/officeDocument/2006/relationships/hyperlink" Target="https://www.usgs.gov/national-hydrography/national-hydrography-dataset" TargetMode="External" Id="rId446"/><Relationship Type="http://schemas.openxmlformats.org/officeDocument/2006/relationships/hyperlink" Target="https://ldas.gsfc.nasa.gov/nldas" TargetMode="External" Id="rId447"/><Relationship Type="http://schemas.openxmlformats.org/officeDocument/2006/relationships/hyperlink" Target="https://www.epa.gov/superfund/superfund-data-and-reports" TargetMode="External" Id="rId448"/><Relationship Type="http://schemas.openxmlformats.org/officeDocument/2006/relationships/hyperlink" Target="https://www.temis.nl/uvradiation/UVindex.php" TargetMode="External" Id="rId449"/><Relationship Type="http://schemas.openxmlformats.org/officeDocument/2006/relationships/hyperlink" Target="https://risk.preventionweb.net/" TargetMode="External" Id="rId450"/><Relationship Type="http://schemas.openxmlformats.org/officeDocument/2006/relationships/hyperlink" Target="https://gis-mdc.opendata.arcgis.com/datasets/MDC::commercial-property/about" TargetMode="External" Id="rId451"/><Relationship Type="http://schemas.openxmlformats.org/officeDocument/2006/relationships/hyperlink" Target="https://data.humdata.org/dataset/brazil-epidemiological-and-hospital-indicators-on-covid-19-in-ouro-preto" TargetMode="External" Id="rId452"/><Relationship Type="http://schemas.openxmlformats.org/officeDocument/2006/relationships/hyperlink" Target="https://data.humdata.org/dataset/sudan-prevalence-of-diseases-in-outpatient-clinics-per-state" TargetMode="External" Id="rId453"/><Relationship Type="http://schemas.openxmlformats.org/officeDocument/2006/relationships/hyperlink" Target="https://data.humdata.org/dataset/ugandan-regional-and-general-hospitals" TargetMode="External" Id="rId454"/><Relationship Type="http://schemas.openxmlformats.org/officeDocument/2006/relationships/hyperlink" Target="https://mapas.ine.pt/download/index2021.phtml" TargetMode="External" Id="rId455"/><Relationship Type="http://schemas.openxmlformats.org/officeDocument/2006/relationships/hyperlink" Target="https://arcgis4.inei.gob.pe:6443/arcgis/rest/services/VISOR_DE_MAPAS/VISOR_DE_INDICADOR_GEOESPACIAL_A/MapServer/0" TargetMode="External" Id="rId456"/><Relationship Type="http://schemas.openxmlformats.org/officeDocument/2006/relationships/hyperlink" Target="https://ec.europa.eu/eurostat/web/gisco/geodata/statistical-units/urban-audit" TargetMode="External" Id="rId457"/><Relationship Type="http://schemas.openxmlformats.org/officeDocument/2006/relationships/hyperlink" Target="https://sg.geodatenzentrum.de/web_public/gdz/lizenz/eng/nutzungsbedingungen_vg250_eng.pdf" TargetMode="External" Id="rId458"/><Relationship Type="http://schemas.openxmlformats.org/officeDocument/2006/relationships/hyperlink" Target="https://gis-mdc.opendata.arcgis.com/datasets/MDC::park-facility" TargetMode="External" Id="rId459"/><Relationship Type="http://schemas.openxmlformats.org/officeDocument/2006/relationships/hyperlink" Target="https://www.walkscore.com/professional/research.php" TargetMode="External" Id="rId460"/><Relationship Type="http://schemas.openxmlformats.org/officeDocument/2006/relationships/hyperlink" Target="https://africapolis.org/en/data" TargetMode="External" Id="rId461"/><Relationship Type="http://schemas.openxmlformats.org/officeDocument/2006/relationships/hyperlink" Target="https://www.globio.info/download-grip-dataset" TargetMode="External" Id="rId462"/><Relationship Type="http://schemas.openxmlformats.org/officeDocument/2006/relationships/hyperlink" Target="https://www.earthdata.nasa.gov/data/catalog/esdis-ciesin-sedac-grumpv1-ext02-1.02" TargetMode="External" Id="rId463"/><Relationship Type="http://schemas.openxmlformats.org/officeDocument/2006/relationships/hyperlink" Target="https://github.com/microsoft/USBuildingFootprints" TargetMode="External" Id="rId464"/><Relationship Type="http://schemas.openxmlformats.org/officeDocument/2006/relationships/hyperlink" Target="https://www.ncei.noaa.gov/access/monitoring/climate-at-a-glance/county/time-series" TargetMode="External" Id="rId465"/><Relationship Type="http://schemas.openxmlformats.org/officeDocument/2006/relationships/hyperlink" Target="https://geospatial.yale.edu/research/global-surface-uhi-explorer" TargetMode="External" Id="rId466"/><Relationship Type="http://schemas.openxmlformats.org/officeDocument/2006/relationships/hyperlink" Target="https://www.data.gov.uk/dataset/50545819-8149-4999-9d9f-c082e7234257/risk-of-flooding-from-rivers-and-sea-key-summary-information" TargetMode="External" Id="rId467"/><Relationship Type="http://schemas.openxmlformats.org/officeDocument/2006/relationships/hyperlink" Target="https://www.ncei.noaa.gov/access/billions/" TargetMode="External" Id="rId468"/><Relationship Type="http://schemas.openxmlformats.org/officeDocument/2006/relationships/hyperlink" Target="https://stat.fi/tup/paavo/index_en.html" TargetMode="External" Id="rId469"/><Relationship Type="http://schemas.openxmlformats.org/officeDocument/2006/relationships/hyperlink" Target="https://www.pbs.gov.pk/digital-census/detailed-results" TargetMode="External" Id="rId470"/><Relationship Type="http://schemas.openxmlformats.org/officeDocument/2006/relationships/hyperlink" Target="https://www.nomisweb.co.uk/sources/census_2021" TargetMode="External" Id="rId471"/><Relationship Type="http://schemas.openxmlformats.org/officeDocument/2006/relationships/hyperlink" Target="https://www.airnow.gov/international/us-embassies-and-consulates/" TargetMode="External" Id="rId472"/><Relationship Type="http://schemas.openxmlformats.org/officeDocument/2006/relationships/hyperlink" Target="https://www.ciesin.columbia.edu/data/aqdh/pm25component-EC-NH4-NO3-OC-SO4-2000-2019" TargetMode="External" Id="rId473"/><Relationship Type="http://schemas.openxmlformats.org/officeDocument/2006/relationships/hyperlink" Target="https://sedac.ciesin.columbia.edu/data/set/aqdh-pm2-5-concentrations-contiguous-us-1-km-2000-2016" TargetMode="External" Id="rId474"/><Relationship Type="http://schemas.openxmlformats.org/officeDocument/2006/relationships/hyperlink" Target="https://www.elapseproject.eu/" TargetMode="External" Id="rId475"/><Relationship Type="http://schemas.openxmlformats.org/officeDocument/2006/relationships/hyperlink" Target="https://www.epa.gov/radon/epa-map-radon-zones" TargetMode="External" Id="rId476"/><Relationship Type="http://schemas.openxmlformats.org/officeDocument/2006/relationships/hyperlink" Target="https://uk-air.defra.gov.uk/data/pcm-data" TargetMode="External" Id="rId477"/><Relationship Type="http://schemas.openxmlformats.org/officeDocument/2006/relationships/hyperlink" Target="https://land.copernicus.eu/en/products/vegetation/normalised-difference-vegetation-index-v3-0-1km" TargetMode="External" Id="rId478"/><Relationship Type="http://schemas.openxmlformats.org/officeDocument/2006/relationships/hyperlink" Target="https://catalog.data.gov/dataset/cancer-rates" TargetMode="External" Id="rId479"/><Relationship Type="http://schemas.openxmlformats.org/officeDocument/2006/relationships/hyperlink" Target="https://www.healthdata.org/research-analysis/health-risks-issues/local-burden-disease" TargetMode="External" Id="rId480"/><Relationship Type="http://schemas.openxmlformats.org/officeDocument/2006/relationships/hyperlink" Target="https://catalog.data.gov/dataset/public-health-statistics-life-expectancy-by-community-area-historical" TargetMode="External" Id="rId481"/><Relationship Type="http://schemas.openxmlformats.org/officeDocument/2006/relationships/hyperlink" Target="https://catalog.data.gov/dataset/public-health-statistics-selected-public-health-indicators-by-chicago-community-area-histo" TargetMode="External" Id="rId482"/><Relationship Type="http://schemas.openxmlformats.org/officeDocument/2006/relationships/hyperlink" Target="https://www.cdc.gov/diabetes/php/data-research/data-and-statistics-faqs.html" TargetMode="External" Id="rId483"/><Relationship Type="http://schemas.openxmlformats.org/officeDocument/2006/relationships/hyperlink" Target="https://longitools.org/" TargetMode="External" Id="rId484"/><Relationship Type="http://schemas.openxmlformats.org/officeDocument/2006/relationships/hyperlink" Target="https://www150.statcan.gc.ca/n1/en/catalogue/92-154-X" TargetMode="External" Id="rId485"/><Relationship Type="http://schemas.openxmlformats.org/officeDocument/2006/relationships/hyperlink" Target="https://www.cbs.gov.il/en/subjects/Pages/Statistical-Areas.aspx" TargetMode="External" Id="rId486"/><Relationship Type="http://schemas.openxmlformats.org/officeDocument/2006/relationships/hyperlink" Target="https://globaldatalab.org/areadata/" TargetMode="External" Id="rId487"/><Relationship Type="http://schemas.openxmlformats.org/officeDocument/2006/relationships/hyperlink" Target="https://www.rki.de/DE/Themen/Gesundheit-und-Gesellschaft/Soziale-Lage/German-Index-of-Socioeconomic-Deprivation/gisd-node.html" TargetMode="External" Id="rId488"/><Relationship Type="http://schemas.openxmlformats.org/officeDocument/2006/relationships/hyperlink" Target="https://catalog.data.gov/dataset/heat-vulnerability-by-census-tract" TargetMode="External" Id="rId489"/><Relationship Type="http://schemas.openxmlformats.org/officeDocument/2006/relationships/hyperlink" Target="https://hudgis-hud.opendata.arcgis.com/datasets/b7ffe3607e8c4212bf7cf2428208dbb6" TargetMode="External" Id="rId490"/><Relationship Type="http://schemas.openxmlformats.org/officeDocument/2006/relationships/hyperlink" Target="https://www.atsdr.cdc.gov/ntsip/docs/2014DictionaryWEB.docx" TargetMode="External" Id="rId491"/><Relationship Type="http://schemas.openxmlformats.org/officeDocument/2006/relationships/hyperlink" Target="https://catalog.data.gov/dataset/npl-superfund-site-boundaries-epa" TargetMode="External" Id="rId492"/><Relationship Type="http://schemas.openxmlformats.org/officeDocument/2006/relationships/hyperlink" Target="https://www.pureearth.org/lead-pollution-map/" TargetMode="External" Id="rId493"/><Relationship Type="http://schemas.openxmlformats.org/officeDocument/2006/relationships/hyperlink" Target="https://atlas.eia.gov/datasets/eia::nuclear/about" TargetMode="External" Id="rId494"/></Relationships>
</file>

<file path=xl/worksheets/_rels/sheet8.xml.rels><Relationships xmlns="http://schemas.openxmlformats.org/package/2006/relationships"><Relationship Type="http://schemas.openxmlformats.org/officeDocument/2006/relationships/hyperlink" Target="https://www.who.int/publications/m/item/who-cds-gmp-2019-01" TargetMode="External" Id="rId1"/><Relationship Type="http://schemas.openxmlformats.org/officeDocument/2006/relationships/hyperlink" Target="https://web.archive.org/web/20250206201804/https://www.who.int/publications/m/item/who-cds-gmp-2019-01" TargetMode="External" Id="rId2"/><Relationship Type="http://schemas.openxmlformats.org/officeDocument/2006/relationships/hyperlink" Target="https://www.sanidad.gob.es/estadEstudios/estadisticas/sisInfSanSNS/ofertaRecursos/hospitales/home.htm" TargetMode="External" Id="rId3"/><Relationship Type="http://schemas.openxmlformats.org/officeDocument/2006/relationships/hyperlink" Target="https://web.archive.org/web/20261016174850/https://www.sanidad.gob.es/estadEstudios/estadisticas/sisInfSanSNS/ofertaRecursos/hospitales/home.htm" TargetMode="External" Id="rId4"/><Relationship Type="http://schemas.openxmlformats.org/officeDocument/2006/relationships/hyperlink" Target="https://cnes.datasus.gov.br/pages/downloads/arquivosBaseDados.jsp" TargetMode="External" Id="rId5"/><Relationship Type="http://schemas.openxmlformats.org/officeDocument/2006/relationships/hyperlink" Target="https://web.archive.org/web/20261003191347/https://cnes.datasus.gov.br/pages/downloads/arquivosBaseDados.jsp" TargetMode="External" Id="rId6"/><Relationship Type="http://schemas.openxmlformats.org/officeDocument/2006/relationships/hyperlink" Target="https://www.cqc.org.uk/about-us/transparency/using-cqc-data" TargetMode="External" Id="rId7"/><Relationship Type="http://schemas.openxmlformats.org/officeDocument/2006/relationships/hyperlink" Target="https://web.archive.org/web/20261016230038/https://www.cqc.org.uk/about-us/transparency/using-cqc-data" TargetMode="External" Id="rId8"/><Relationship Type="http://schemas.openxmlformats.org/officeDocument/2006/relationships/hyperlink" Target="https://data.cms.gov/provider-data/dataset/23ew-n7w9" TargetMode="External" Id="rId9"/><Relationship Type="http://schemas.openxmlformats.org/officeDocument/2006/relationships/hyperlink" Target="https://web.archive.org/web/20261021033251/https://data.cms.gov/provider-data/dataset/23ew-n7w9" TargetMode="External" Id="rId10"/><Relationship Type="http://schemas.openxmlformats.org/officeDocument/2006/relationships/hyperlink" Target="https://www.data.gouv.fr/datasets/finess-extraction-du-fichier-des-etablissements" TargetMode="External" Id="rId11"/><Relationship Type="http://schemas.openxmlformats.org/officeDocument/2006/relationships/hyperlink" Target="https://web.archive.org/web/20260925170415/https://www.data.gouv.fr/datasets/finess-extraction-du-fichier-des-etablissements" TargetMode="External" Id="rId12"/><Relationship Type="http://schemas.openxmlformats.org/officeDocument/2006/relationships/hyperlink" Target="https://grid3.org/news/sierra-leone-health-facilities-dataset" TargetMode="External" Id="rId13"/><Relationship Type="http://schemas.openxmlformats.org/officeDocument/2006/relationships/hyperlink" Target="https://web.archive.org/web/20260713192921/https://grid3.org/news/sierra-leone-health-facilities-dataset" TargetMode="External" Id="rId14"/><Relationship Type="http://schemas.openxmlformats.org/officeDocument/2006/relationships/hyperlink" Target="https://academiccommons.columbia.edu/doi/10.7916/d8-xksb-0t02" TargetMode="External" Id="rId15"/><Relationship Type="http://schemas.openxmlformats.org/officeDocument/2006/relationships/hyperlink" Target="https://web.archive.org/web/20260521083244/https://academiccommons.columbia.edu/doi/10.7916/d8-xksb-0t02" TargetMode="External" Id="rId16"/><Relationship Type="http://schemas.openxmlformats.org/officeDocument/2006/relationships/hyperlink" Target="https://researchdata.edu.au/healthdirect-nhsd-services-june-2026/4136231" TargetMode="External" Id="rId17"/><Relationship Type="http://schemas.openxmlformats.org/officeDocument/2006/relationships/hyperlink" Target="https://healthdata.gov/d/h8ke-ii5g" TargetMode="External" Id="rId18"/><Relationship Type="http://schemas.openxmlformats.org/officeDocument/2006/relationships/hyperlink" Target="https://healthdata.gov/d/b66f-nrt5" TargetMode="External" Id="rId19"/><Relationship Type="http://schemas.openxmlformats.org/officeDocument/2006/relationships/hyperlink" Target="https://www.opendata.nhs.scot/dataset/hospital-codes" TargetMode="External" Id="rId20"/><Relationship Type="http://schemas.openxmlformats.org/officeDocument/2006/relationships/hyperlink" Target="https://web.archive.org/web/20260305112905/https://www.opendata.nhs.scot/dataset/hospital-codes" TargetMode="External" Id="rId21"/><Relationship Type="http://schemas.openxmlformats.org/officeDocument/2006/relationships/hyperlink" Target="https://ecat.ga.gov.au/geonetwork/srv/api/records/696d12c2-38c6-4afa-96b6-309a1ac9a50b" TargetMode="External" Id="rId22"/><Relationship Type="http://schemas.openxmlformats.org/officeDocument/2006/relationships/hyperlink" Target="https://aikosh.indiaai.gov.in/home/datasets/details/national_hospital_directory_with_geo_code_and_additional_parameters_updated_till_last_month.html" TargetMode="External" Id="rId23"/><Relationship Type="http://schemas.openxmlformats.org/officeDocument/2006/relationships/hyperlink" Target="https://hfr.fmohconnect.gov.ng/" TargetMode="External" Id="rId24"/><Relationship Type="http://schemas.openxmlformats.org/officeDocument/2006/relationships/hyperlink" Target="https://web.archive.org/web/20260710222531/https://hfr.fmohconnect.gov.ng/" TargetMode="External" Id="rId25"/><Relationship Type="http://schemas.openxmlformats.org/officeDocument/2006/relationships/hyperlink" Target="https://www.cms.gov/medicare/regulations-guidance/administrative-simplification/data-dissemination" TargetMode="External" Id="rId26"/><Relationship Type="http://schemas.openxmlformats.org/officeDocument/2006/relationships/hyperlink" Target="https://web.archive.org/web/20261009163703/https://www.cms.gov/medicare/regulations-guidance/administrative-simplification/data-dissemination" TargetMode="External" Id="rId27"/><Relationship Type="http://schemas.openxmlformats.org/officeDocument/2006/relationships/hyperlink" Target="https://www.data.gouv.fr/datasets/referentiel-finess-t-finess" TargetMode="External" Id="rId28"/><Relationship Type="http://schemas.openxmlformats.org/officeDocument/2006/relationships/hyperlink" Target="https://web.archive.org/web/20260526074348/https://www.data.gouv.fr/datasets/referentiel-finess-t-finess" TargetMode="External" Id="rId29"/><Relationship Type="http://schemas.openxmlformats.org/officeDocument/2006/relationships/hyperlink" Target="https://www.statcan.gc.ca/en/lode/databases/odhf" TargetMode="External" Id="rId30"/><Relationship Type="http://schemas.openxmlformats.org/officeDocument/2006/relationships/hyperlink" Target="https://web.archive.org/web/20261017220645/https://www.statcan.gc.ca/en/lode/databases/odhf" TargetMode="External" Id="rId31"/><Relationship Type="http://schemas.openxmlformats.org/officeDocument/2006/relationships/hyperlink" Target="https://www.statistikportal.de/de/veroeffentlichungen/krankenhausverzeichnis" TargetMode="External" Id="rId32"/><Relationship Type="http://schemas.openxmlformats.org/officeDocument/2006/relationships/hyperlink" Target="https://web.archive.org/web/20260309211010/https://www.statistikportal.de/de/veroeffentlichungen/krankenhausverzeichnis" TargetMode="External" Id="rId33"/><Relationship Type="http://schemas.openxmlformats.org/officeDocument/2006/relationships/hyperlink" Target="https://healthsites.io/" TargetMode="External" Id="rId34"/><Relationship Type="http://schemas.openxmlformats.org/officeDocument/2006/relationships/hyperlink" Target="https://web.archive.org/web/20261012063008/https://healthsites.io/" TargetMode="External" Id="rId35"/><Relationship Type="http://schemas.openxmlformats.org/officeDocument/2006/relationships/hyperlink" Target="https://www.gov.wales/node/77371" TargetMode="External" Id="rId36"/><Relationship Type="http://schemas.openxmlformats.org/officeDocument/2006/relationships/hyperlink" Target="https://www.healthnz.govt.nz/about-us/data-management-and-standards/data-references/code-tables/common-code-tables" TargetMode="External" Id="rId37"/><Relationship Type="http://schemas.openxmlformats.org/officeDocument/2006/relationships/hyperlink" Target="https://web.archive.org/web/20261025141614/https://www.healthnz.govt.nz/about-us/data-management-and-standards/data-references/code-tables/common-code-tables" TargetMode="External" Id="rId38"/><Relationship Type="http://schemas.openxmlformats.org/officeDocument/2006/relationships/hyperlink" Target="https://kmhfl.health.go.ke/" TargetMode="External" Id="rId39"/><Relationship Type="http://schemas.openxmlformats.org/officeDocument/2006/relationships/hyperlink" Target="https://web.archive.org/web/20260723111121/https://kmhfl.health.go.ke/" TargetMode="External" Id="rId40"/><Relationship Type="http://schemas.openxmlformats.org/officeDocument/2006/relationships/hyperlink" Target="https://digital.nhs.uk/services/organisation-data-service/data-search-and-export" TargetMode="External" Id="rId41"/><Relationship Type="http://schemas.openxmlformats.org/officeDocument/2006/relationships/hyperlink" Target="https://web.archive.org/web/20260312095924/https://digital.nhs.uk/services/organisation-data-service/data-search-and-export" TargetMode="External" Id="rId42"/></Relationships>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cols>
    <col width="44" customWidth="1" min="1" max="1"/>
    <col width="15" customWidth="1" min="2" max="2"/>
    <col width="44" customWidth="1" min="3" max="3"/>
    <col width="15" customWidth="1" min="4" max="4"/>
    <col width="15" customWidth="1" min="5" max="5"/>
    <col width="15" customWidth="1" min="6" max="6"/>
    <col width="15" customWidth="1" min="7" max="7"/>
    <col width="15" customWidth="1" min="8" max="8"/>
  </cols>
  <sheetData>
    <row r="1">
      <c r="A1" s="1" t="inlineStr">
        <is>
          <t>Place-based data inventory · refined set · summary</t>
        </is>
      </c>
    </row>
    <row r="2">
      <c r="A2" s="2" t="inlineStr">
        <is>
          <t>Counts are live formulas over the Verification tab (every kept dataset), except the funnel (fixed counts; sources named).</t>
        </is>
      </c>
    </row>
    <row r="4">
      <c r="A4" s="3" t="inlineStr">
        <is>
          <t>Tier × theme</t>
        </is>
      </c>
      <c r="B4" s="3" t="inlineStr">
        <is>
          <t>Gold</t>
        </is>
      </c>
      <c r="C4" s="3" t="inlineStr">
        <is>
          <t>Silver</t>
        </is>
      </c>
      <c r="D4" s="3" t="inlineStr">
        <is>
          <t>Bronze</t>
        </is>
      </c>
      <c r="E4" s="3" t="inlineStr">
        <is>
          <t>Browser needed</t>
        </is>
      </c>
      <c r="F4" s="3" t="inlineStr">
        <is>
          <t>Failed</t>
        </is>
      </c>
      <c r="G4" s="3" t="inlineStr">
        <is>
          <t>Total</t>
        </is>
      </c>
    </row>
    <row r="5">
      <c r="A5" s="4" t="inlineStr"/>
      <c r="B5" s="4">
        <f>COUNTIFS(Verification!$D$2:$D$667,$A5,Verification!$B$2:$B$667,"Gold")</f>
        <v/>
      </c>
      <c r="C5" s="4">
        <f>COUNTIFS(Verification!$D$2:$D$667,$A5,Verification!$B$2:$B$667,"Silver")</f>
        <v/>
      </c>
      <c r="D5" s="4">
        <f>COUNTIFS(Verification!$D$2:$D$667,$A5,Verification!$B$2:$B$667,"Bronze")</f>
        <v/>
      </c>
      <c r="E5" s="4">
        <f>COUNTIFS(Verification!$D$2:$D$667,$A5,Verification!$B$2:$B$667,"Browser needed")</f>
        <v/>
      </c>
      <c r="F5" s="4">
        <f>COUNTIFS(Verification!$D$2:$D$667,$A5,Verification!$B$2:$B$667,"Failed")</f>
        <v/>
      </c>
      <c r="G5" s="4">
        <f>SUM(B5:F5)</f>
        <v/>
      </c>
    </row>
    <row r="6">
      <c r="A6" s="4" t="inlineStr">
        <is>
          <t>air quality</t>
        </is>
      </c>
      <c r="B6" s="4">
        <f>COUNTIFS(Verification!$D$2:$D$667,$A6,Verification!$B$2:$B$667,"Gold")</f>
        <v/>
      </c>
      <c r="C6" s="4">
        <f>COUNTIFS(Verification!$D$2:$D$667,$A6,Verification!$B$2:$B$667,"Silver")</f>
        <v/>
      </c>
      <c r="D6" s="4">
        <f>COUNTIFS(Verification!$D$2:$D$667,$A6,Verification!$B$2:$B$667,"Bronze")</f>
        <v/>
      </c>
      <c r="E6" s="4">
        <f>COUNTIFS(Verification!$D$2:$D$667,$A6,Verification!$B$2:$B$667,"Browser needed")</f>
        <v/>
      </c>
      <c r="F6" s="4">
        <f>COUNTIFS(Verification!$D$2:$D$667,$A6,Verification!$B$2:$B$667,"Failed")</f>
        <v/>
      </c>
      <c r="G6" s="4">
        <f>SUM(B6:F6)</f>
        <v/>
      </c>
    </row>
    <row r="7">
      <c r="A7" s="4" t="inlineStr">
        <is>
          <t>boundaries</t>
        </is>
      </c>
      <c r="B7" s="4">
        <f>COUNTIFS(Verification!$D$2:$D$667,$A7,Verification!$B$2:$B$667,"Gold")</f>
        <v/>
      </c>
      <c r="C7" s="4">
        <f>COUNTIFS(Verification!$D$2:$D$667,$A7,Verification!$B$2:$B$667,"Silver")</f>
        <v/>
      </c>
      <c r="D7" s="4">
        <f>COUNTIFS(Verification!$D$2:$D$667,$A7,Verification!$B$2:$B$667,"Bronze")</f>
        <v/>
      </c>
      <c r="E7" s="4">
        <f>COUNTIFS(Verification!$D$2:$D$667,$A7,Verification!$B$2:$B$667,"Browser needed")</f>
        <v/>
      </c>
      <c r="F7" s="4">
        <f>COUNTIFS(Verification!$D$2:$D$667,$A7,Verification!$B$2:$B$667,"Failed")</f>
        <v/>
      </c>
      <c r="G7" s="4">
        <f>SUM(B7:F7)</f>
        <v/>
      </c>
    </row>
    <row r="8">
      <c r="A8" s="4" t="inlineStr">
        <is>
          <t>built_environment</t>
        </is>
      </c>
      <c r="B8" s="4">
        <f>COUNTIFS(Verification!$D$2:$D$667,$A8,Verification!$B$2:$B$667,"Gold")</f>
        <v/>
      </c>
      <c r="C8" s="4">
        <f>COUNTIFS(Verification!$D$2:$D$667,$A8,Verification!$B$2:$B$667,"Silver")</f>
        <v/>
      </c>
      <c r="D8" s="4">
        <f>COUNTIFS(Verification!$D$2:$D$667,$A8,Verification!$B$2:$B$667,"Bronze")</f>
        <v/>
      </c>
      <c r="E8" s="4">
        <f>COUNTIFS(Verification!$D$2:$D$667,$A8,Verification!$B$2:$B$667,"Browser needed")</f>
        <v/>
      </c>
      <c r="F8" s="4">
        <f>COUNTIFS(Verification!$D$2:$D$667,$A8,Verification!$B$2:$B$667,"Failed")</f>
        <v/>
      </c>
      <c r="G8" s="4">
        <f>SUM(B8:F8)</f>
        <v/>
      </c>
    </row>
    <row r="9">
      <c r="A9" s="4" t="inlineStr">
        <is>
          <t>climate_hazard</t>
        </is>
      </c>
      <c r="B9" s="4">
        <f>COUNTIFS(Verification!$D$2:$D$667,$A9,Verification!$B$2:$B$667,"Gold")</f>
        <v/>
      </c>
      <c r="C9" s="4">
        <f>COUNTIFS(Verification!$D$2:$D$667,$A9,Verification!$B$2:$B$667,"Silver")</f>
        <v/>
      </c>
      <c r="D9" s="4">
        <f>COUNTIFS(Verification!$D$2:$D$667,$A9,Verification!$B$2:$B$667,"Bronze")</f>
        <v/>
      </c>
      <c r="E9" s="4">
        <f>COUNTIFS(Verification!$D$2:$D$667,$A9,Verification!$B$2:$B$667,"Browser needed")</f>
        <v/>
      </c>
      <c r="F9" s="4">
        <f>COUNTIFS(Verification!$D$2:$D$667,$A9,Verification!$B$2:$B$667,"Failed")</f>
        <v/>
      </c>
      <c r="G9" s="4">
        <f>SUM(B9:F9)</f>
        <v/>
      </c>
    </row>
    <row r="10">
      <c r="A10" s="4" t="inlineStr">
        <is>
          <t>demographics</t>
        </is>
      </c>
      <c r="B10" s="4">
        <f>COUNTIFS(Verification!$D$2:$D$667,$A10,Verification!$B$2:$B$667,"Gold")</f>
        <v/>
      </c>
      <c r="C10" s="4">
        <f>COUNTIFS(Verification!$D$2:$D$667,$A10,Verification!$B$2:$B$667,"Silver")</f>
        <v/>
      </c>
      <c r="D10" s="4">
        <f>COUNTIFS(Verification!$D$2:$D$667,$A10,Verification!$B$2:$B$667,"Bronze")</f>
        <v/>
      </c>
      <c r="E10" s="4">
        <f>COUNTIFS(Verification!$D$2:$D$667,$A10,Verification!$B$2:$B$667,"Browser needed")</f>
        <v/>
      </c>
      <c r="F10" s="4">
        <f>COUNTIFS(Verification!$D$2:$D$667,$A10,Verification!$B$2:$B$667,"Failed")</f>
        <v/>
      </c>
      <c r="G10" s="4">
        <f>SUM(B10:F10)</f>
        <v/>
      </c>
    </row>
    <row r="11">
      <c r="A11" s="4" t="inlineStr">
        <is>
          <t>environment</t>
        </is>
      </c>
      <c r="B11" s="4">
        <f>COUNTIFS(Verification!$D$2:$D$667,$A11,Verification!$B$2:$B$667,"Gold")</f>
        <v/>
      </c>
      <c r="C11" s="4">
        <f>COUNTIFS(Verification!$D$2:$D$667,$A11,Verification!$B$2:$B$667,"Silver")</f>
        <v/>
      </c>
      <c r="D11" s="4">
        <f>COUNTIFS(Verification!$D$2:$D$667,$A11,Verification!$B$2:$B$667,"Bronze")</f>
        <v/>
      </c>
      <c r="E11" s="4">
        <f>COUNTIFS(Verification!$D$2:$D$667,$A11,Verification!$B$2:$B$667,"Browser needed")</f>
        <v/>
      </c>
      <c r="F11" s="4">
        <f>COUNTIFS(Verification!$D$2:$D$667,$A11,Verification!$B$2:$B$667,"Failed")</f>
        <v/>
      </c>
      <c r="G11" s="4">
        <f>SUM(B11:F11)</f>
        <v/>
      </c>
    </row>
    <row r="12">
      <c r="A12" s="4" t="inlineStr">
        <is>
          <t>food_access</t>
        </is>
      </c>
      <c r="B12" s="4">
        <f>COUNTIFS(Verification!$D$2:$D$667,$A12,Verification!$B$2:$B$667,"Gold")</f>
        <v/>
      </c>
      <c r="C12" s="4">
        <f>COUNTIFS(Verification!$D$2:$D$667,$A12,Verification!$B$2:$B$667,"Silver")</f>
        <v/>
      </c>
      <c r="D12" s="4">
        <f>COUNTIFS(Verification!$D$2:$D$667,$A12,Verification!$B$2:$B$667,"Bronze")</f>
        <v/>
      </c>
      <c r="E12" s="4">
        <f>COUNTIFS(Verification!$D$2:$D$667,$A12,Verification!$B$2:$B$667,"Browser needed")</f>
        <v/>
      </c>
      <c r="F12" s="4">
        <f>COUNTIFS(Verification!$D$2:$D$667,$A12,Verification!$B$2:$B$667,"Failed")</f>
        <v/>
      </c>
      <c r="G12" s="4">
        <f>SUM(B12:F12)</f>
        <v/>
      </c>
    </row>
    <row r="13">
      <c r="A13" s="4" t="inlineStr">
        <is>
          <t>health surveys</t>
        </is>
      </c>
      <c r="B13" s="4">
        <f>COUNTIFS(Verification!$D$2:$D$667,$A13,Verification!$B$2:$B$667,"Gold")</f>
        <v/>
      </c>
      <c r="C13" s="4">
        <f>COUNTIFS(Verification!$D$2:$D$667,$A13,Verification!$B$2:$B$667,"Silver")</f>
        <v/>
      </c>
      <c r="D13" s="4">
        <f>COUNTIFS(Verification!$D$2:$D$667,$A13,Verification!$B$2:$B$667,"Bronze")</f>
        <v/>
      </c>
      <c r="E13" s="4">
        <f>COUNTIFS(Verification!$D$2:$D$667,$A13,Verification!$B$2:$B$667,"Browser needed")</f>
        <v/>
      </c>
      <c r="F13" s="4">
        <f>COUNTIFS(Verification!$D$2:$D$667,$A13,Verification!$B$2:$B$667,"Failed")</f>
        <v/>
      </c>
      <c r="G13" s="4">
        <f>SUM(B13:F13)</f>
        <v/>
      </c>
    </row>
    <row r="14">
      <c r="A14" s="4" t="inlineStr">
        <is>
          <t>health_outcome</t>
        </is>
      </c>
      <c r="B14" s="4">
        <f>COUNTIFS(Verification!$D$2:$D$667,$A14,Verification!$B$2:$B$667,"Gold")</f>
        <v/>
      </c>
      <c r="C14" s="4">
        <f>COUNTIFS(Verification!$D$2:$D$667,$A14,Verification!$B$2:$B$667,"Silver")</f>
        <v/>
      </c>
      <c r="D14" s="4">
        <f>COUNTIFS(Verification!$D$2:$D$667,$A14,Verification!$B$2:$B$667,"Bronze")</f>
        <v/>
      </c>
      <c r="E14" s="4">
        <f>COUNTIFS(Verification!$D$2:$D$667,$A14,Verification!$B$2:$B$667,"Browser needed")</f>
        <v/>
      </c>
      <c r="F14" s="4">
        <f>COUNTIFS(Verification!$D$2:$D$667,$A14,Verification!$B$2:$B$667,"Failed")</f>
        <v/>
      </c>
      <c r="G14" s="4">
        <f>SUM(B14:F14)</f>
        <v/>
      </c>
    </row>
    <row r="15">
      <c r="A15" s="4" t="inlineStr">
        <is>
          <t>other</t>
        </is>
      </c>
      <c r="B15" s="4">
        <f>COUNTIFS(Verification!$D$2:$D$667,$A15,Verification!$B$2:$B$667,"Gold")</f>
        <v/>
      </c>
      <c r="C15" s="4">
        <f>COUNTIFS(Verification!$D$2:$D$667,$A15,Verification!$B$2:$B$667,"Silver")</f>
        <v/>
      </c>
      <c r="D15" s="4">
        <f>COUNTIFS(Verification!$D$2:$D$667,$A15,Verification!$B$2:$B$667,"Bronze")</f>
        <v/>
      </c>
      <c r="E15" s="4">
        <f>COUNTIFS(Verification!$D$2:$D$667,$A15,Verification!$B$2:$B$667,"Browser needed")</f>
        <v/>
      </c>
      <c r="F15" s="4">
        <f>COUNTIFS(Verification!$D$2:$D$667,$A15,Verification!$B$2:$B$667,"Failed")</f>
        <v/>
      </c>
      <c r="G15" s="4">
        <f>SUM(B15:F15)</f>
        <v/>
      </c>
    </row>
    <row r="16">
      <c r="A16" s="4" t="inlineStr">
        <is>
          <t>sdoh</t>
        </is>
      </c>
      <c r="B16" s="4">
        <f>COUNTIFS(Verification!$D$2:$D$667,$A16,Verification!$B$2:$B$667,"Gold")</f>
        <v/>
      </c>
      <c r="C16" s="4">
        <f>COUNTIFS(Verification!$D$2:$D$667,$A16,Verification!$B$2:$B$667,"Silver")</f>
        <v/>
      </c>
      <c r="D16" s="4">
        <f>COUNTIFS(Verification!$D$2:$D$667,$A16,Verification!$B$2:$B$667,"Bronze")</f>
        <v/>
      </c>
      <c r="E16" s="4">
        <f>COUNTIFS(Verification!$D$2:$D$667,$A16,Verification!$B$2:$B$667,"Browser needed")</f>
        <v/>
      </c>
      <c r="F16" s="4">
        <f>COUNTIFS(Verification!$D$2:$D$667,$A16,Verification!$B$2:$B$667,"Failed")</f>
        <v/>
      </c>
      <c r="G16" s="4">
        <f>SUM(B16:F16)</f>
        <v/>
      </c>
    </row>
    <row r="17">
      <c r="A17" s="4" t="inlineStr">
        <is>
          <t>socioeconomic</t>
        </is>
      </c>
      <c r="B17" s="4">
        <f>COUNTIFS(Verification!$D$2:$D$667,$A17,Verification!$B$2:$B$667,"Gold")</f>
        <v/>
      </c>
      <c r="C17" s="4">
        <f>COUNTIFS(Verification!$D$2:$D$667,$A17,Verification!$B$2:$B$667,"Silver")</f>
        <v/>
      </c>
      <c r="D17" s="4">
        <f>COUNTIFS(Verification!$D$2:$D$667,$A17,Verification!$B$2:$B$667,"Bronze")</f>
        <v/>
      </c>
      <c r="E17" s="4">
        <f>COUNTIFS(Verification!$D$2:$D$667,$A17,Verification!$B$2:$B$667,"Browser needed")</f>
        <v/>
      </c>
      <c r="F17" s="4">
        <f>COUNTIFS(Verification!$D$2:$D$667,$A17,Verification!$B$2:$B$667,"Failed")</f>
        <v/>
      </c>
      <c r="G17" s="4">
        <f>SUM(B17:F17)</f>
        <v/>
      </c>
    </row>
    <row r="18">
      <c r="A18" s="4" t="inlineStr">
        <is>
          <t>toxics</t>
        </is>
      </c>
      <c r="B18" s="4">
        <f>COUNTIFS(Verification!$D$2:$D$667,$A18,Verification!$B$2:$B$667,"Gold")</f>
        <v/>
      </c>
      <c r="C18" s="4">
        <f>COUNTIFS(Verification!$D$2:$D$667,$A18,Verification!$B$2:$B$667,"Silver")</f>
        <v/>
      </c>
      <c r="D18" s="4">
        <f>COUNTIFS(Verification!$D$2:$D$667,$A18,Verification!$B$2:$B$667,"Bronze")</f>
        <v/>
      </c>
      <c r="E18" s="4">
        <f>COUNTIFS(Verification!$D$2:$D$667,$A18,Verification!$B$2:$B$667,"Browser needed")</f>
        <v/>
      </c>
      <c r="F18" s="4">
        <f>COUNTIFS(Verification!$D$2:$D$667,$A18,Verification!$B$2:$B$667,"Failed")</f>
        <v/>
      </c>
      <c r="G18" s="4">
        <f>SUM(B18:F18)</f>
        <v/>
      </c>
    </row>
    <row r="19">
      <c r="A19" s="4" t="inlineStr">
        <is>
          <t>water</t>
        </is>
      </c>
      <c r="B19" s="4">
        <f>COUNTIFS(Verification!$D$2:$D$667,$A19,Verification!$B$2:$B$667,"Gold")</f>
        <v/>
      </c>
      <c r="C19" s="4">
        <f>COUNTIFS(Verification!$D$2:$D$667,$A19,Verification!$B$2:$B$667,"Silver")</f>
        <v/>
      </c>
      <c r="D19" s="4">
        <f>COUNTIFS(Verification!$D$2:$D$667,$A19,Verification!$B$2:$B$667,"Bronze")</f>
        <v/>
      </c>
      <c r="E19" s="4">
        <f>COUNTIFS(Verification!$D$2:$D$667,$A19,Verification!$B$2:$B$667,"Browser needed")</f>
        <v/>
      </c>
      <c r="F19" s="4">
        <f>COUNTIFS(Verification!$D$2:$D$667,$A19,Verification!$B$2:$B$667,"Failed")</f>
        <v/>
      </c>
      <c r="G19" s="4">
        <f>SUM(B19:F19)</f>
        <v/>
      </c>
    </row>
    <row r="20">
      <c r="A20" s="4" t="inlineStr">
        <is>
          <t>water quality</t>
        </is>
      </c>
      <c r="B20" s="4">
        <f>COUNTIFS(Verification!$D$2:$D$667,$A20,Verification!$B$2:$B$667,"Gold")</f>
        <v/>
      </c>
      <c r="C20" s="4">
        <f>COUNTIFS(Verification!$D$2:$D$667,$A20,Verification!$B$2:$B$667,"Silver")</f>
        <v/>
      </c>
      <c r="D20" s="4">
        <f>COUNTIFS(Verification!$D$2:$D$667,$A20,Verification!$B$2:$B$667,"Bronze")</f>
        <v/>
      </c>
      <c r="E20" s="4">
        <f>COUNTIFS(Verification!$D$2:$D$667,$A20,Verification!$B$2:$B$667,"Browser needed")</f>
        <v/>
      </c>
      <c r="F20" s="4">
        <f>COUNTIFS(Verification!$D$2:$D$667,$A20,Verification!$B$2:$B$667,"Failed")</f>
        <v/>
      </c>
      <c r="G20" s="4">
        <f>SUM(B20:F20)</f>
        <v/>
      </c>
    </row>
    <row r="21">
      <c r="A21" s="5" t="inlineStr">
        <is>
          <t>Total</t>
        </is>
      </c>
      <c r="B21" s="5">
        <f>SUM(B5:B20)</f>
        <v/>
      </c>
      <c r="C21" s="5">
        <f>SUM(C5:C20)</f>
        <v/>
      </c>
      <c r="D21" s="5">
        <f>SUM(D5:D20)</f>
        <v/>
      </c>
      <c r="E21" s="5">
        <f>SUM(E5:E20)</f>
        <v/>
      </c>
      <c r="F21" s="5">
        <f>SUM(F5:F20)</f>
        <v/>
      </c>
      <c r="G21" s="5">
        <f>SUM(G5:G20)</f>
        <v/>
      </c>
    </row>
    <row r="23">
      <c r="A23" s="3" t="inlineStr">
        <is>
          <t>URL health</t>
        </is>
      </c>
      <c r="B23" s="3" t="inlineStr">
        <is>
          <t>Datasets</t>
        </is>
      </c>
    </row>
    <row r="24">
      <c r="A24" s="4" t="inlineStr">
        <is>
          <t>healthy</t>
        </is>
      </c>
      <c r="B24" s="4">
        <f>COUNTIF(Verification!$E$2:$E$667,A24)</f>
        <v/>
      </c>
    </row>
    <row r="25">
      <c r="A25" s="4" t="inlineStr">
        <is>
          <t>degraded</t>
        </is>
      </c>
      <c r="B25" s="4">
        <f>COUNTIF(Verification!$E$2:$E$667,A25)</f>
        <v/>
      </c>
    </row>
    <row r="26">
      <c r="A26" s="4" t="inlineStr">
        <is>
          <t>moved</t>
        </is>
      </c>
      <c r="B26" s="4">
        <f>COUNTIF(Verification!$E$2:$E$667,A26)</f>
        <v/>
      </c>
    </row>
    <row r="27">
      <c r="A27" s="4" t="inlineStr">
        <is>
          <t>blocked</t>
        </is>
      </c>
      <c r="B27" s="4">
        <f>COUNTIF(Verification!$E$2:$E$667,A27)</f>
        <v/>
      </c>
    </row>
    <row r="28">
      <c r="A28" s="4" t="inlineStr">
        <is>
          <t>dead</t>
        </is>
      </c>
      <c r="B28" s="4">
        <f>COUNTIF(Verification!$E$2:$E$667,A28)</f>
        <v/>
      </c>
    </row>
    <row r="29">
      <c r="A29" s="4" t="inlineStr">
        <is>
          <t>n.a.</t>
        </is>
      </c>
      <c r="B29" s="4">
        <f>COUNTIF(Verification!$E$2:$E$667,A29)</f>
        <v/>
      </c>
    </row>
    <row r="31">
      <c r="A31" s="3" t="inlineStr">
        <is>
          <t>License class (content checks)</t>
        </is>
      </c>
      <c r="B31" s="3" t="inlineStr">
        <is>
          <t>Datasets</t>
        </is>
      </c>
    </row>
    <row r="32">
      <c r="A32" s="4" t="inlineStr">
        <is>
          <t>open</t>
        </is>
      </c>
      <c r="B32" s="4">
        <f>COUNTIF(Verification!$F$2:$F$667,A32)</f>
        <v/>
      </c>
    </row>
    <row r="33">
      <c r="A33" s="4" t="inlineStr">
        <is>
          <t>attribution</t>
        </is>
      </c>
      <c r="B33" s="4">
        <f>COUNTIF(Verification!$F$2:$F$667,A33)</f>
        <v/>
      </c>
    </row>
    <row r="34">
      <c r="A34" s="4" t="inlineStr">
        <is>
          <t>non-commercial</t>
        </is>
      </c>
      <c r="B34" s="4">
        <f>COUNTIF(Verification!$F$2:$F$667,A34)</f>
        <v/>
      </c>
    </row>
    <row r="35">
      <c r="A35" s="4" t="inlineStr">
        <is>
          <t>registration</t>
        </is>
      </c>
      <c r="B35" s="4">
        <f>COUNTIF(Verification!$F$2:$F$667,A35)</f>
        <v/>
      </c>
    </row>
    <row r="36">
      <c r="A36" s="4" t="inlineStr">
        <is>
          <t>restricted</t>
        </is>
      </c>
      <c r="B36" s="4">
        <f>COUNTIF(Verification!$F$2:$F$667,A36)</f>
        <v/>
      </c>
    </row>
    <row r="37">
      <c r="A37" s="4" t="inlineStr">
        <is>
          <t>unknown</t>
        </is>
      </c>
      <c r="B37" s="4">
        <f>COUNTIF(Verification!$F$2:$F$667,A37)</f>
        <v/>
      </c>
    </row>
    <row r="38">
      <c r="A38" s="4" t="inlineStr">
        <is>
          <t>not checked</t>
        </is>
      </c>
      <c r="B38" s="4">
        <f>COUNTIF(Verification!$F$2:$F$667,A38)</f>
        <v/>
      </c>
    </row>
    <row r="40">
      <c r="A40" s="3" t="inlineStr">
        <is>
          <t>Finest unit</t>
        </is>
      </c>
      <c r="B40" s="3" t="inlineStr">
        <is>
          <t>Datasets</t>
        </is>
      </c>
    </row>
    <row r="41">
      <c r="A41" s="4" t="inlineStr">
        <is>
          <t>point</t>
        </is>
      </c>
      <c r="B41" s="4">
        <f>COUNTIF(Verification!$G$2:$G$667,A41)</f>
        <v/>
      </c>
    </row>
    <row r="42">
      <c r="A42" s="4" t="inlineStr">
        <is>
          <t>unknown</t>
        </is>
      </c>
      <c r="B42" s="4">
        <f>COUNTIF(Verification!$G$2:$G$667,A42)</f>
        <v/>
      </c>
    </row>
    <row r="43">
      <c r="A43" s="4" t="inlineStr">
        <is>
          <t>tract</t>
        </is>
      </c>
      <c r="B43" s="4">
        <f>COUNTIF(Verification!$G$2:$G$667,A43)</f>
        <v/>
      </c>
    </row>
    <row r="44">
      <c r="A44" s="4" t="inlineStr">
        <is>
          <t>county</t>
        </is>
      </c>
      <c r="B44" s="4">
        <f>COUNTIF(Verification!$G$2:$G$667,A44)</f>
        <v/>
      </c>
    </row>
    <row r="45">
      <c r="A45" s="4" t="inlineStr">
        <is>
          <t>postcode_small_area</t>
        </is>
      </c>
      <c r="B45" s="4">
        <f>COUNTIF(Verification!$G$2:$G$667,A45)</f>
        <v/>
      </c>
    </row>
    <row r="46">
      <c r="A46" s="4" t="inlineStr">
        <is>
          <t>country</t>
        </is>
      </c>
      <c r="B46" s="4">
        <f>COUNTIF(Verification!$G$2:$G$667,A46)</f>
        <v/>
      </c>
    </row>
    <row r="47">
      <c r="A47" s="4" t="inlineStr">
        <is>
          <t>grid_1km</t>
        </is>
      </c>
      <c r="B47" s="4">
        <f>COUNTIF(Verification!$G$2:$G$667,A47)</f>
        <v/>
      </c>
    </row>
    <row r="48">
      <c r="A48" s="4" t="inlineStr">
        <is>
          <t>polygon</t>
        </is>
      </c>
      <c r="B48" s="4">
        <f>COUNTIF(Verification!$G$2:$G$667,A48)</f>
        <v/>
      </c>
    </row>
    <row r="49">
      <c r="A49" s="4" t="inlineStr">
        <is>
          <t>state</t>
        </is>
      </c>
      <c r="B49" s="4">
        <f>COUNTIF(Verification!$G$2:$G$667,A49)</f>
        <v/>
      </c>
    </row>
    <row r="50">
      <c r="A50" s="4" t="inlineStr">
        <is>
          <t>grid_30m</t>
        </is>
      </c>
      <c r="B50" s="4">
        <f>COUNTIF(Verification!$G$2:$G$667,A50)</f>
        <v/>
      </c>
    </row>
    <row r="51">
      <c r="A51" s="4" t="inlineStr">
        <is>
          <t>block_group</t>
        </is>
      </c>
      <c r="B51" s="4">
        <f>COUNTIF(Verification!$G$2:$G$667,A51)</f>
        <v/>
      </c>
    </row>
    <row r="52">
      <c r="A52" s="4" t="inlineStr">
        <is>
          <t>block</t>
        </is>
      </c>
      <c r="B52" s="4">
        <f>COUNTIF(Verification!$G$2:$G$667,A52)</f>
        <v/>
      </c>
    </row>
    <row r="53">
      <c r="A53" s="4" t="inlineStr">
        <is>
          <t>admin1</t>
        </is>
      </c>
      <c r="B53" s="4">
        <f>COUNTIF(Verification!$G$2:$G$667,A53)</f>
        <v/>
      </c>
    </row>
    <row r="54">
      <c r="A54" s="4" t="inlineStr">
        <is>
          <t>admin2</t>
        </is>
      </c>
      <c r="B54" s="4">
        <f>COUNTIF(Verification!$G$2:$G$667,A54)</f>
        <v/>
      </c>
    </row>
    <row r="55">
      <c r="A55" s="4" t="inlineStr">
        <is>
          <t>grid_</t>
        </is>
      </c>
      <c r="B55" s="4">
        <f>COUNTIF(Verification!$G$2:$G$667,A55)</f>
        <v/>
      </c>
    </row>
    <row r="56">
      <c r="A56" s="4" t="inlineStr">
        <is>
          <t>tract; ZCTA</t>
        </is>
      </c>
      <c r="B56" s="4">
        <f>COUNTIF(Verification!$G$2:$G$667,A56)</f>
        <v/>
      </c>
    </row>
    <row r="57">
      <c r="A57" s="4" t="inlineStr">
        <is>
          <t>grid_100m</t>
        </is>
      </c>
      <c r="B57" s="4">
        <f>COUNTIF(Verification!$G$2:$G$667,A57)</f>
        <v/>
      </c>
    </row>
    <row r="58">
      <c r="A58" s="4" t="inlineStr">
        <is>
          <t>line</t>
        </is>
      </c>
      <c r="B58" s="4">
        <f>COUNTIF(Verification!$G$2:$G$667,A58)</f>
        <v/>
      </c>
    </row>
    <row r="59">
      <c r="A59" s="4" t="inlineStr">
        <is>
          <t>(blank)</t>
        </is>
      </c>
      <c r="B59" s="4">
        <f>COUNTBLANK(Verification!$G$2:$G$667)</f>
        <v/>
      </c>
    </row>
    <row r="60">
      <c r="A60" s="4" t="inlineStr">
        <is>
          <t>grid_0.25deg</t>
        </is>
      </c>
      <c r="B60" s="4">
        <f>COUNTIF(Verification!$G$2:$G$667,A60)</f>
        <v/>
      </c>
    </row>
    <row r="61">
      <c r="A61" s="4" t="inlineStr">
        <is>
          <t>points</t>
        </is>
      </c>
      <c r="B61" s="4">
        <f>COUNTIF(Verification!$G$2:$G$667,A61)</f>
        <v/>
      </c>
    </row>
    <row r="62">
      <c r="A62" s="4" t="inlineStr">
        <is>
          <t>grid_10m</t>
        </is>
      </c>
      <c r="B62" s="4">
        <f>COUNTIF(Verification!$G$2:$G$667,A62)</f>
        <v/>
      </c>
    </row>
    <row r="63">
      <c r="A63" s="4" t="inlineStr">
        <is>
          <t>grid_0.01deg</t>
        </is>
      </c>
      <c r="B63" s="4">
        <f>COUNTIF(Verification!$G$2:$G$667,A63)</f>
        <v/>
      </c>
    </row>
    <row r="64">
      <c r="A64" s="4" t="inlineStr">
        <is>
          <t>grid_0.5deg</t>
        </is>
      </c>
      <c r="B64" s="4">
        <f>COUNTIF(Verification!$G$2:$G$667,A64)</f>
        <v/>
      </c>
    </row>
    <row r="65">
      <c r="A65" s="4" t="inlineStr">
        <is>
          <t>zip</t>
        </is>
      </c>
      <c r="B65" s="4">
        <f>COUNTIF(Verification!$G$2:$G$667,A65)</f>
        <v/>
      </c>
    </row>
    <row r="66">
      <c r="A66" s="4" t="inlineStr">
        <is>
          <t>zcta_zip</t>
        </is>
      </c>
      <c r="B66" s="4">
        <f>COUNTIF(Verification!$G$2:$G$667,A66)</f>
        <v/>
      </c>
    </row>
    <row r="67">
      <c r="A67" s="4" t="inlineStr">
        <is>
          <t>points (OSM)</t>
        </is>
      </c>
      <c r="B67" s="4">
        <f>COUNTIF(Verification!$G$2:$G$667,A67)</f>
        <v/>
      </c>
    </row>
    <row r="68">
      <c r="A68" s="4" t="inlineStr">
        <is>
          <t>raster</t>
        </is>
      </c>
      <c r="B68" s="4">
        <f>COUNTIF(Verification!$G$2:$G$667,A68)</f>
        <v/>
      </c>
    </row>
    <row r="69">
      <c r="A69" s="4" t="inlineStr">
        <is>
          <t>state (50 states + DC code; no local)</t>
        </is>
      </c>
      <c r="B69" s="4">
        <f>COUNTIF(Verification!$G$2:$G$667,A69)</f>
        <v/>
      </c>
    </row>
    <row r="70">
      <c r="A70" s="4" t="inlineStr">
        <is>
          <t>grid_300m</t>
        </is>
      </c>
      <c r="B70" s="4">
        <f>COUNTIF(Verification!$G$2:$G$667,A70)</f>
        <v/>
      </c>
    </row>
    <row r="71">
      <c r="A71" s="4" t="inlineStr">
        <is>
          <t>grid_0.1deg</t>
        </is>
      </c>
      <c r="B71" s="4">
        <f>COUNTIF(Verification!$G$2:$G$667,A71)</f>
        <v/>
      </c>
    </row>
    <row r="72">
      <c r="A72" s="4" t="inlineStr">
        <is>
          <t>grid_4km</t>
        </is>
      </c>
      <c r="B72" s="4">
        <f>COUNTIF(Verification!$G$2:$G$667,A72)</f>
        <v/>
      </c>
    </row>
    <row r="73">
      <c r="A73" s="4" t="inlineStr">
        <is>
          <t>grid_5km</t>
        </is>
      </c>
      <c r="B73" s="4">
        <f>COUNTIF(Verification!$G$2:$G$667,A73)</f>
        <v/>
      </c>
    </row>
    <row r="74">
      <c r="A74" s="4" t="inlineStr">
        <is>
          <t>grid_250m</t>
        </is>
      </c>
      <c r="B74" s="4">
        <f>COUNTIF(Verification!$G$2:$G$667,A74)</f>
        <v/>
      </c>
    </row>
    <row r="75">
      <c r="A75" s="4" t="inlineStr">
        <is>
          <t>state (+DC/territories; 52 jurisdictions)</t>
        </is>
      </c>
      <c r="B75" s="4">
        <f>COUNTIF(Verification!$G$2:$G$667,A75)</f>
        <v/>
      </c>
    </row>
    <row r="76">
      <c r="A76" s="4" t="inlineStr">
        <is>
          <t>admin3</t>
        </is>
      </c>
      <c r="B76" s="4">
        <f>COUNTIF(Verification!$G$2:$G$667,A76)</f>
        <v/>
      </c>
    </row>
    <row r="77">
      <c r="A77" s="4" t="inlineStr">
        <is>
          <t>address</t>
        </is>
      </c>
      <c r="B77" s="4">
        <f>COUNTIF(Verification!$G$2:$G$667,A77)</f>
        <v/>
      </c>
    </row>
    <row r="78">
      <c r="A78" s="4" t="inlineStr">
        <is>
          <t>grid_1m</t>
        </is>
      </c>
      <c r="B78" s="4">
        <f>COUNTIF(Verification!$G$2:$G$667,A78)</f>
        <v/>
      </c>
    </row>
    <row r="79">
      <c r="A79" s="4" t="inlineStr">
        <is>
          <t>grid_500m</t>
        </is>
      </c>
      <c r="B79" s="4">
        <f>COUNTIF(Verification!$G$2:$G$667,A79)</f>
        <v/>
      </c>
    </row>
    <row r="80">
      <c r="A80" s="4" t="inlineStr">
        <is>
          <t>point (address/ZIP; needs geocoding)</t>
        </is>
      </c>
      <c r="B80" s="4">
        <f>COUNTIF(Verification!$G$2:$G$667,A80)</f>
        <v/>
      </c>
    </row>
    <row r="81">
      <c r="A81" s="4" t="inlineStr">
        <is>
          <t>grid_5arcmin</t>
        </is>
      </c>
      <c r="B81" s="4">
        <f>COUNTIF(Verification!$G$2:$G$667,A81)</f>
        <v/>
      </c>
    </row>
    <row r="82">
      <c r="A82" s="4" t="inlineStr">
        <is>
          <t>grid_30arcsec</t>
        </is>
      </c>
      <c r="B82" s="4">
        <f>COUNTIF(Verification!$G$2:$G$667,A82)</f>
        <v/>
      </c>
    </row>
    <row r="83">
      <c r="A83" s="4" t="inlineStr">
        <is>
          <t>grid_0.05deg</t>
        </is>
      </c>
      <c r="B83" s="4">
        <f>COUNTIF(Verification!$G$2:$G$667,A83)</f>
        <v/>
      </c>
    </row>
    <row r="84">
      <c r="A84" s="4" t="inlineStr">
        <is>
          <t>grid_50m</t>
        </is>
      </c>
      <c r="B84" s="4">
        <f>COUNTIF(Verification!$G$2:$G$667,A84)</f>
        <v/>
      </c>
    </row>
    <row r="85">
      <c r="A85" s="4" t="inlineStr">
        <is>
          <t>pws (water system)</t>
        </is>
      </c>
      <c r="B85" s="4">
        <f>COUNTIF(Verification!$G$2:$G$667,A85)</f>
        <v/>
      </c>
    </row>
    <row r="86">
      <c r="A86" s="4" t="inlineStr">
        <is>
          <t>facility (address, ZIP)</t>
        </is>
      </c>
      <c r="B86" s="4">
        <f>COUNTIF(Verification!$G$2:$G$667,A86)</f>
        <v/>
      </c>
    </row>
    <row r="87">
      <c r="A87" s="4" t="inlineStr">
        <is>
          <t>state (+DC/territories; 51 jurisdictions)</t>
        </is>
      </c>
      <c r="B87" s="4">
        <f>COUNTIF(Verification!$G$2:$G$667,A87)</f>
        <v/>
      </c>
    </row>
    <row r="88">
      <c r="A88" s="4" t="inlineStr">
        <is>
          <t>polygon (seccion censal; small statistical area)</t>
        </is>
      </c>
      <c r="B88" s="4">
        <f>COUNTIF(Verification!$G$2:$G$667,A88)</f>
        <v/>
      </c>
    </row>
    <row r="89">
      <c r="A89" s="4" t="inlineStr">
        <is>
          <t>polygon (DeSO small statistical area; county and municipality as attributes)</t>
        </is>
      </c>
      <c r="B89" s="4">
        <f>COUNTIF(Verification!$G$2:$G$667,A89)</f>
        <v/>
      </c>
    </row>
    <row r="90">
      <c r="A90" s="4" t="inlineStr">
        <is>
          <t>grid_2m</t>
        </is>
      </c>
      <c r="B90" s="4">
        <f>COUNTIF(Verification!$G$2:$G$667,A90)</f>
        <v/>
      </c>
    </row>
    <row r="91">
      <c r="A91" s="4" t="inlineStr">
        <is>
          <t>GADM 4.1 administrative units, levels 0-5 (GHS-DUC); grid_1km (GHS-WUP-DUC)</t>
        </is>
      </c>
      <c r="B91" s="4">
        <f>COUNTIF(Verification!$G$2:$G$667,A91)</f>
        <v/>
      </c>
    </row>
    <row r="92">
      <c r="A92" s="4" t="inlineStr">
        <is>
          <t>polygon (v3 footprints); grid_4m effective resolution, rasters provided at 50 cm (Temporal)</t>
        </is>
      </c>
      <c r="B92" s="4">
        <f>COUNTIF(Verification!$G$2:$G$667,A92)</f>
        <v/>
      </c>
    </row>
    <row r="93">
      <c r="A93" s="4" t="inlineStr">
        <is>
          <t>block (manzana)</t>
        </is>
      </c>
      <c r="B93" s="4">
        <f>COUNTIF(Verification!$G$2:$G$667,A93)</f>
        <v/>
      </c>
    </row>
    <row r="94">
      <c r="A94" s="4" t="inlineStr">
        <is>
          <t>IRIS (small statistical area, ~2000 inhabitants; commune level where commune not split into IRIS)</t>
        </is>
      </c>
      <c r="B94" s="4">
        <f>COUNTIF(Verification!$G$2:$G$667,A94)</f>
        <v/>
      </c>
    </row>
    <row r="95">
      <c r="A95" s="4" t="inlineStr">
        <is>
          <t>output_area (OA; 188,880 OAs of c. 100-625 people)</t>
        </is>
      </c>
      <c r="B95" s="4">
        <f>COUNTIF(Verification!$G$2:$G$667,A95)</f>
        <v/>
      </c>
    </row>
    <row r="96">
      <c r="A96" s="4" t="inlineStr">
        <is>
          <t>block group (091), tract (080)</t>
        </is>
      </c>
      <c r="B96" s="4">
        <f>COUNTIF(Verification!$G$2:$G$667,A96)</f>
        <v/>
      </c>
    </row>
    <row r="97">
      <c r="A97" s="4" t="inlineStr">
        <is>
          <t>admin5 (ADM0-ADM5)</t>
        </is>
      </c>
      <c r="B97" s="4">
        <f>COUNTIF(Verification!$G$2:$G$667,A97)</f>
        <v/>
      </c>
    </row>
    <row r="98">
      <c r="A98" s="4" t="inlineStr">
        <is>
          <t>polygon (radio censal, census enumeration area)</t>
        </is>
      </c>
      <c r="B98" s="4">
        <f>COUNTIF(Verification!$G$2:$G$667,A98)</f>
        <v/>
      </c>
    </row>
    <row r="99">
      <c r="A99" s="4" t="inlineStr">
        <is>
          <t>polygon (SA2; plus grid_250m population grid); meshblock/SA1 layers not seen</t>
        </is>
      </c>
      <c r="B99" s="4">
        <f>COUNTIF(Verification!$G$2:$G$667,A99)</f>
        <v/>
      </c>
    </row>
    <row r="100">
      <c r="A100" s="4" t="inlineStr">
        <is>
          <t>admin2 (region and district confirmed; ward, village/mtaa and EA levels described as planned in text carried over from the 2012 release)</t>
        </is>
      </c>
      <c r="B100" s="4">
        <f>COUNTIF(Verification!$G$2:$G$667,A100)</f>
        <v/>
      </c>
    </row>
    <row r="101">
      <c r="A101" s="4" t="inlineStr">
        <is>
          <t>grid_0.3m (30-100 cm imagery)</t>
        </is>
      </c>
      <c r="B101" s="4">
        <f>COUNTIF(Verification!$G$2:$G$667,A101)</f>
        <v/>
      </c>
    </row>
    <row r="102">
      <c r="A102" s="4" t="inlineStr">
        <is>
          <t>point (approximate; text location such as '6 miles WNW of Russellville, AR'; no coordinates)</t>
        </is>
      </c>
      <c r="B102" s="4">
        <f>COUNTIF(Verification!$G$2:$G$667,A102)</f>
        <v/>
      </c>
    </row>
    <row r="103">
      <c r="A103" s="4" t="inlineStr">
        <is>
          <t>grid_5.5km</t>
        </is>
      </c>
      <c r="B103" s="4">
        <f>COUNTIF(Verification!$G$2:$G$667,A103)</f>
        <v/>
      </c>
    </row>
    <row r="104">
      <c r="A104" s="4" t="inlineStr">
        <is>
          <t>grid_250km</t>
        </is>
      </c>
      <c r="B104" s="4">
        <f>COUNTIF(Verification!$G$2:$G$667,A104)</f>
        <v/>
      </c>
    </row>
    <row r="105">
      <c r="A105" s="4" t="inlineStr">
        <is>
          <t>grid_0.25deg (15arcmin experiment labels; 60arcmin for most global sectors)</t>
        </is>
      </c>
      <c r="B105" s="4">
        <f>COUNTIF(Verification!$G$2:$G$667,A105)</f>
        <v/>
      </c>
    </row>
    <row r="106">
      <c r="A106" s="4" t="inlineStr">
        <is>
          <t>grid_2.5arcmin (0.0417 x 0.0417 decimal degrees)</t>
        </is>
      </c>
      <c r="B106" s="4">
        <f>COUNTIF(Verification!$G$2:$G$667,A106)</f>
        <v/>
      </c>
    </row>
    <row r="107">
      <c r="A107" s="4" t="inlineStr">
        <is>
          <t>point (375 m VIIRS pixel; ~1 km MODIS pixel)</t>
        </is>
      </c>
      <c r="B107" s="4">
        <f>COUNTIF(Verification!$G$2:$G$667,A107)</f>
        <v/>
      </c>
    </row>
    <row r="108">
      <c r="A108" s="4" t="inlineStr">
        <is>
          <t>grid_30arcsec (0.00083 deg, ~1 km)</t>
        </is>
      </c>
      <c r="B108" s="4">
        <f>COUNTIF(Verification!$G$2:$G$667,A108)</f>
        <v/>
      </c>
    </row>
    <row r="109">
      <c r="A109" s="4" t="inlineStr">
        <is>
          <t>grid_4km (1/24 degree, METDATA); grid_6km (1/16 degree, LIVNEH)</t>
        </is>
      </c>
      <c r="B109" s="4">
        <f>COUNTIF(Verification!$G$2:$G$667,A109)</f>
        <v/>
      </c>
    </row>
    <row r="110">
      <c r="A110" s="4" t="inlineStr">
        <is>
          <t>grid_500m (MODIS Sinusoidal Tiling System)</t>
        </is>
      </c>
      <c r="B110" s="4">
        <f>COUNTIF(Verification!$G$2:$G$667,A110)</f>
        <v/>
      </c>
    </row>
    <row r="111">
      <c r="A111" s="4" t="inlineStr">
        <is>
          <t>grid_0.02deg (stated for Hawaii 2021 only; other regions not stated)</t>
        </is>
      </c>
      <c r="B111" s="4">
        <f>COUNTIF(Verification!$G$2:$G$667,A111)</f>
        <v/>
      </c>
    </row>
    <row r="112">
      <c r="A112" s="4" t="inlineStr">
        <is>
          <t>grid_500m (gridded data); polygon (one polygon per DM class); county/state (Excel statistics)</t>
        </is>
      </c>
      <c r="B112" s="4">
        <f>COUNTIF(Verification!$G$2:$G$667,A112)</f>
        <v/>
      </c>
    </row>
    <row r="113">
      <c r="A113" s="4" t="inlineStr">
        <is>
          <t>place and county with population 65,000+ (no tract/block group/ZCTA in 1-year data)</t>
        </is>
      </c>
      <c r="B113" s="4">
        <f>COUNTIF(Verification!$G$2:$G$667,A113)</f>
        <v/>
      </c>
    </row>
    <row r="114">
      <c r="A114" s="4" t="inlineStr">
        <is>
          <t>admin2 (municipio) on landing page; manzana/MGN not mentioned</t>
        </is>
      </c>
      <c r="B114" s="4">
        <f>COUNTIF(Verification!$G$2:$G$667,A114)</f>
        <v/>
      </c>
    </row>
    <row r="115">
      <c r="A115" s="4" t="inlineStr">
        <is>
          <t>polygon (Small Area, 18,919 units)</t>
        </is>
      </c>
      <c r="B115" s="4">
        <f>COUNTIF(Verification!$G$2:$G$667,A115)</f>
        <v/>
      </c>
    </row>
    <row r="116">
      <c r="A116" s="4" t="inlineStr">
        <is>
          <t>polygon (小地域 small area); regional mesh mentioned but mesh size not stated</t>
        </is>
      </c>
      <c r="B116" s="4">
        <f>COUNTIF(Verification!$G$2:$G$667,A116)</f>
        <v/>
      </c>
    </row>
    <row r="117">
      <c r="A117" s="4" t="inlineStr">
        <is>
          <t>grid_1km (Census 2021 and GEOSTAT); derived JRC 100 m population grid also linked</t>
        </is>
      </c>
      <c r="B117" s="4">
        <f>COUNTIF(Verification!$G$2:$G$667,A117)</f>
        <v/>
      </c>
    </row>
    <row r="118">
      <c r="A118" s="4" t="inlineStr">
        <is>
          <t>admin3 (commune); urban/rural split</t>
        </is>
      </c>
      <c r="B118" s="4">
        <f>COUNTIF(Verification!$G$2:$G$667,A118)</f>
        <v/>
      </c>
    </row>
    <row r="119">
      <c r="A119" s="4" t="inlineStr">
        <is>
          <t>urban area / country</t>
        </is>
      </c>
      <c r="B119" s="4">
        <f>COUNTIF(Verification!$G$2:$G$667,A119)</f>
        <v/>
      </c>
    </row>
    <row r="120">
      <c r="A120" s="4" t="inlineStr">
        <is>
          <t>grid_0.75deg</t>
        </is>
      </c>
      <c r="B120" s="4">
        <f>COUNTIF(Verification!$G$2:$G$667,A120)</f>
        <v/>
      </c>
    </row>
    <row r="121">
      <c r="A121" s="4" t="inlineStr">
        <is>
          <t>point (facility/unit)</t>
        </is>
      </c>
      <c r="B121" s="4">
        <f>COUNTIF(Verification!$G$2:$G$667,A121)</f>
        <v/>
      </c>
    </row>
    <row r="122">
      <c r="A122" s="4" t="inlineStr">
        <is>
          <t>point (2010 US Census tract centroids, 11-digit FIPS); inputs grid_12km (36 km for 2002-2006)</t>
        </is>
      </c>
      <c r="B122" s="4">
        <f>COUNTIF(Verification!$G$2:$G$667,A122)</f>
        <v/>
      </c>
    </row>
    <row r="123">
      <c r="A123" s="4" t="inlineStr">
        <is>
          <t>grid_3arcsec</t>
        </is>
      </c>
      <c r="B123" s="4">
        <f>COUNTIF(Verification!$G$2:$G$667,A123)</f>
        <v/>
      </c>
    </row>
    <row r="124">
      <c r="A124" s="4" t="inlineStr">
        <is>
          <t>vector dataset of sites (geometry type not named on pages read)</t>
        </is>
      </c>
      <c r="B124" s="4">
        <f>COUNTIF(Verification!$G$2:$G$667,A124)</f>
        <v/>
      </c>
    </row>
    <row r="125">
      <c r="A125" s="4" t="inlineStr">
        <is>
          <t>admin3 (French commune, code INSEE; ~26,000 communes)</t>
        </is>
      </c>
      <c r="B125" s="4">
        <f>COUNTIF(Verification!$G$2:$G$667,A125)</f>
        <v/>
      </c>
    </row>
    <row r="126">
      <c r="A126" s="4" t="inlineStr">
        <is>
          <t>grid_9km</t>
        </is>
      </c>
      <c r="B126" s="4">
        <f>COUNTIF(Verification!$G$2:$G$667,A126)</f>
        <v/>
      </c>
    </row>
    <row r="127">
      <c r="A127" s="4" t="inlineStr">
        <is>
          <t>grid_1km (30 arc-second grid)</t>
        </is>
      </c>
      <c r="B127" s="4">
        <f>COUNTIF(Verification!$G$2:$G$667,A127)</f>
        <v/>
      </c>
    </row>
    <row r="128">
      <c r="A128" s="4" t="inlineStr">
        <is>
          <t>lsoa (2021 LSOAs for England and Wales; 2022 Data Zones for Scotland)</t>
        </is>
      </c>
      <c r="B128" s="4">
        <f>COUNTIF(Verification!$G$2:$G$667,A128)</f>
        <v/>
      </c>
    </row>
    <row r="129">
      <c r="A129" s="4" t="inlineStr">
        <is>
          <t>block group</t>
        </is>
      </c>
      <c r="B129" s="4">
        <f>COUNTIF(Verification!$G$2:$G$667,A129)</f>
        <v/>
      </c>
    </row>
    <row r="130">
      <c r="A130" s="4" t="inlineStr">
        <is>
          <t>UDH (sub-municipal), municipality</t>
        </is>
      </c>
      <c r="B130" s="4">
        <f>COUNTIF(Verification!$G$2:$G$667,A130)</f>
        <v/>
      </c>
    </row>
    <row r="131">
      <c r="A131" s="4" t="inlineStr">
        <is>
          <t>seccion_censal (census section; small area below district and municipality)</t>
        </is>
      </c>
      <c r="B131" s="4">
        <f>COUNTIF(Verification!$G$2:$G$667,A131)</f>
        <v/>
      </c>
    </row>
    <row r="132">
      <c r="A132" s="4" t="inlineStr">
        <is>
          <t>census tract</t>
        </is>
      </c>
      <c r="B132" s="4">
        <f>COUNTIF(Verification!$G$2:$G$667,A132)</f>
        <v/>
      </c>
    </row>
    <row r="133">
      <c r="A133" s="4" t="inlineStr">
        <is>
          <t>lsoa</t>
        </is>
      </c>
      <c r="B133" s="4">
        <f>COUNTIF(Verification!$G$2:$G$667,A133)</f>
        <v/>
      </c>
    </row>
    <row r="134">
      <c r="A134" s="4" t="inlineStr">
        <is>
          <t>census tract / ZIP</t>
        </is>
      </c>
      <c r="B134" s="4">
        <f>COUNTIF(Verification!$G$2:$G$667,A134)</f>
        <v/>
      </c>
    </row>
    <row r="135">
      <c r="A135" s="4" t="inlineStr">
        <is>
          <t>ZIP (Small Area FMR); county</t>
        </is>
      </c>
      <c r="B135" s="4">
        <f>COUNTIF(Verification!$G$2:$G$667,A135)</f>
        <v/>
      </c>
    </row>
    <row r="136">
      <c r="A136" s="4" t="inlineStr">
        <is>
          <t>polygon (colonia, new in 2020; also AGEB urbana, localidad, municipio, entidad)</t>
        </is>
      </c>
      <c r="B136" s="4">
        <f>COUNTIF(Verification!$G$2:$G$667,A136)</f>
        <v/>
      </c>
    </row>
    <row r="137">
      <c r="A137" s="4" t="inlineStr">
        <is>
          <t>point (lat/long rounded to one decimal place); censusBlockGroupFips is the finest exact key</t>
        </is>
      </c>
      <c r="B137" s="4">
        <f>COUNTIF(Verification!$G$2:$G$667,A137)</f>
        <v/>
      </c>
    </row>
    <row r="138">
      <c r="A138" s="4" t="inlineStr">
        <is>
          <t>admin3 (fr:commune)</t>
        </is>
      </c>
      <c r="B138" s="4">
        <f>COUNTIF(Verification!$G$2:$G$667,A138)</f>
        <v/>
      </c>
    </row>
    <row r="139">
      <c r="A139" s="4" t="inlineStr">
        <is>
          <t>zip (files by County, ZIP Code, High School, College)</t>
        </is>
      </c>
      <c r="B139" s="4">
        <f>COUNTIF(Verification!$G$2:$G$667,A139)</f>
        <v/>
      </c>
    </row>
    <row r="140">
      <c r="A140" s="4" t="inlineStr">
        <is>
          <t>tract (also county, zcta, PCSA v3.1)</t>
        </is>
      </c>
      <c r="B140" s="4">
        <f>COUNTIF(Verification!$G$2:$G$667,A140)</f>
        <v/>
      </c>
    </row>
    <row r="141">
      <c r="A141" s="4" t="inlineStr">
        <is>
          <t>SA1 (ABS Statistical Area Level 1; polygon) - finer than the listed postcode_small_area; also SA2, LGA, POA, SAL</t>
        </is>
      </c>
      <c r="B141" s="4">
        <f>COUNTIF(Verification!$G$2:$G$667,A141)</f>
        <v/>
      </c>
    </row>
    <row r="142">
      <c r="A142" s="4" t="inlineStr">
        <is>
          <t>zip (explicit in UV Index and zip_code filters); facility-level tables referenced without stating coordinates</t>
        </is>
      </c>
      <c r="B142" s="4">
        <f>COUNTIF(Verification!$G$2:$G$667,A142)</f>
        <v/>
      </c>
    </row>
    <row r="143">
      <c r="A143" s="4" t="inlineStr">
        <is>
          <t>facility/installation site (vector, EPSG:4326, 10 m resolution in companion spatial record; geometry type not stated)</t>
        </is>
      </c>
      <c r="B143" s="4">
        <f>COUNTIF(Verification!$G$2:$G$667,A143)</f>
        <v/>
      </c>
    </row>
    <row r="144">
      <c r="A144" s="4" t="inlineStr">
        <is>
          <t>polygon (PLS Township-Range-Section, via 'GIS Files for Plotting Pesticide Use by Township, Section, Range'); page also says 'PUR data is collected at the county level'</t>
        </is>
      </c>
      <c r="B144" s="4">
        <f>COUNTIF(Verification!$G$2:$G$667,A144)</f>
        <v/>
      </c>
    </row>
    <row r="145">
      <c r="A145" s="4" t="inlineStr">
        <is>
          <t>basic statistical unit (grunnkrets; small-area code list, no geometry)</t>
        </is>
      </c>
      <c r="B145" s="4">
        <f>COUNTIF(Verification!$G$2:$G$667,A145)</f>
        <v/>
      </c>
    </row>
    <row r="146">
      <c r="A146" s="4" t="inlineStr">
        <is>
          <t>tract (ZIP Code and census tract tables); a grid_90m raster version of each 2020 FAR level is offered via the ERS Geospatial Resources page</t>
        </is>
      </c>
      <c r="B146" s="4">
        <f>COUNTIF(Verification!$G$2:$G$667,A146)</f>
        <v/>
      </c>
    </row>
    <row r="147">
      <c r="A147" s="4" t="inlineStr">
        <is>
          <t>block (2020 Census Block Relationship Files and 2010 Census Block Relationship Files listed in the record-layout index); 2024 files are CD/SLD to county</t>
        </is>
      </c>
      <c r="B147" s="4">
        <f>COUNTIF(Verification!$G$2:$G$667,A147)</f>
        <v/>
      </c>
    </row>
    <row r="148">
      <c r="A148" s="4" t="inlineStr">
        <is>
          <t>address (house-number precision in 51 countries; street-level in 81); postal code and admin polygons (up to five admin levels)</t>
        </is>
      </c>
      <c r="B148" s="4">
        <f>COUNTIF(Verification!$G$2:$G$667,A148)</f>
        <v/>
      </c>
    </row>
    <row r="149">
      <c r="A149" s="4" t="inlineStr">
        <is>
          <t>admin2 (NUTS 3, 'small regions for specific diagnoses')</t>
        </is>
      </c>
      <c r="B149" s="4">
        <f>COUNTIF(Verification!$G$2:$G$667,A149)</f>
        <v/>
      </c>
    </row>
    <row r="150">
      <c r="A150" s="4" t="inlineStr">
        <is>
          <t>zcta</t>
        </is>
      </c>
      <c r="B150" s="4">
        <f>COUNTIF(Verification!$G$2:$G$667,A150)</f>
        <v/>
      </c>
    </row>
    <row r="151">
      <c r="A151" s="4" t="inlineStr">
        <is>
          <t>grid_15arcsec</t>
        </is>
      </c>
      <c r="B151" s="4">
        <f>COUNTIF(Verification!$G$2:$G$667,A151)</f>
        <v/>
      </c>
    </row>
    <row r="152">
      <c r="A152" s="4" t="inlineStr">
        <is>
          <t>grid_0.5deg (page: 'about 50 km in the latitudinal direction')</t>
        </is>
      </c>
      <c r="B152" s="4">
        <f>COUNTIF(Verification!$G$2:$G$667,A152)</f>
        <v/>
      </c>
    </row>
    <row r="153">
      <c r="A153" s="4" t="inlineStr">
        <is>
          <t>grid_4km (1/24 degree, 0.0417 deg); area averages for tract, county, climate division, state, HUC, WFO</t>
        </is>
      </c>
      <c r="B153" s="4">
        <f>COUNTIF(Verification!$G$2:$G$667,A153)</f>
        <v/>
      </c>
    </row>
    <row r="154">
      <c r="A154" s="4" t="inlineStr">
        <is>
          <t>grid (ASCII grids; resolution not stated) and point lookup via interactive map</t>
        </is>
      </c>
      <c r="B154" s="4">
        <f>COUNTIF(Verification!$G$2:$G$667,A154)</f>
        <v/>
      </c>
    </row>
    <row r="155">
      <c r="A155" s="4" t="inlineStr">
        <is>
          <t>raster (resolution not stated); also inundation polygons/vectors</t>
        </is>
      </c>
      <c r="B155" s="4">
        <f>COUNTIF(Verification!$G$2:$G$667,A155)</f>
        <v/>
      </c>
    </row>
    <row r="156">
      <c r="A156" s="4" t="inlineStr">
        <is>
          <t>grid_4km (1/24 degree)</t>
        </is>
      </c>
      <c r="B156" s="4">
        <f>COUNTIF(Verification!$G$2:$G$667,A156)</f>
        <v/>
      </c>
    </row>
    <row r="157">
      <c r="A157" s="4" t="inlineStr">
        <is>
          <t>point (settlement names) / polygon (settlement extents); wards (admin3), LGA (admin2), state (admin1)</t>
        </is>
      </c>
      <c r="B157" s="4">
        <f>COUNTIF(Verification!$G$2:$G$667,A157)</f>
        <v/>
      </c>
    </row>
    <row r="158">
      <c r="A158" s="4" t="inlineStr">
        <is>
          <t>place (cities and towns); county; PR municipio</t>
        </is>
      </c>
      <c r="B158" s="4">
        <f>COUNTIF(Verification!$G$2:$G$667,A158)</f>
        <v/>
      </c>
    </row>
    <row r="159">
      <c r="A159" s="4" t="inlineStr">
        <is>
          <t>admin2 (district) as stated ('District &amp; regional outputs'); sub-district/locality not stated on pages read</t>
        </is>
      </c>
      <c r="B159" s="4">
        <f>COUNTIF(Verification!$G$2:$G$667,A159)</f>
        <v/>
      </c>
    </row>
    <row r="160">
      <c r="A160" s="4" t="inlineStr">
        <is>
          <t>polygon (SA1, Statistical Area Level 1; POA postal areas also available)</t>
        </is>
      </c>
      <c r="B160" s="4">
        <f>COUNTIF(Verification!$G$2:$G$667,A160)</f>
        <v/>
      </c>
    </row>
    <row r="161">
      <c r="A161" s="4" t="inlineStr">
        <is>
          <t>zip (Canadian postal code)</t>
        </is>
      </c>
      <c r="B161" s="4">
        <f>COUNTIF(Verification!$G$2:$G$667,A161)</f>
        <v/>
      </c>
    </row>
    <row r="162">
      <c r="A162" s="4" t="inlineStr">
        <is>
          <t>grid_10km</t>
        </is>
      </c>
      <c r="B162" s="4">
        <f>COUNTIF(Verification!$G$2:$G$667,A162)</f>
        <v/>
      </c>
    </row>
    <row r="163">
      <c r="A163" s="4" t="inlineStr">
        <is>
          <t>grid_1km (modelled layer); point (monitoring stations, &gt;3,500)</t>
        </is>
      </c>
      <c r="B163" s="4">
        <f>COUNTIF(Verification!$G$2:$G$667,A163)</f>
        <v/>
      </c>
    </row>
    <row r="164">
      <c r="A164" s="4" t="inlineStr">
        <is>
          <t>city/town (human settlement) average</t>
        </is>
      </c>
      <c r="B164" s="4">
        <f>COUNTIF(Verification!$G$2:$G$667,A164)</f>
        <v/>
      </c>
    </row>
    <row r="165">
      <c r="A165" s="4" t="inlineStr">
        <is>
          <t>cbsa (MMSA: metropolitan/micropolitan statistical area)</t>
        </is>
      </c>
      <c r="B165" s="4">
        <f>COUNTIF(Verification!$G$2:$G$667,A165)</f>
        <v/>
      </c>
    </row>
    <row r="166">
      <c r="A166" s="4" t="inlineStr">
        <is>
          <t>county (HeatRisk); HHS region (ED rates)</t>
        </is>
      </c>
      <c r="B166" s="4">
        <f>COUNTIF(Verification!$G$2:$G$667,A166)</f>
        <v/>
      </c>
    </row>
    <row r="167">
      <c r="A167" s="4" t="inlineStr">
        <is>
          <t>grid_h3_level8 (H3 'hex8' hexagons, mean area 0.737 km2, mean edge 0.53 km)</t>
        </is>
      </c>
      <c r="B167" s="4">
        <f>COUNTIF(Verification!$G$2:$G$667,A167)</f>
        <v/>
      </c>
    </row>
    <row r="168">
      <c r="A168" s="4" t="inlineStr">
        <is>
          <t>dissemination_area</t>
        </is>
      </c>
      <c r="B168" s="4">
        <f>COUNTIF(Verification!$G$2:$G$667,A168)</f>
        <v/>
      </c>
    </row>
    <row r="169">
      <c r="A169" s="4" t="inlineStr">
        <is>
          <t>polygon (Small Area, SA; results also for 890 Super Output Areas, SOA)</t>
        </is>
      </c>
      <c r="B169" s="4">
        <f>COUNTIF(Verification!$G$2:$G$667,A169)</f>
        <v/>
      </c>
    </row>
    <row r="170">
      <c r="A170" s="4" t="inlineStr">
        <is>
          <t>admin1 (467 OECD regions; territorial level not named)</t>
        </is>
      </c>
      <c r="B170" s="4">
        <f>COUNTIF(Verification!$G$2:$G$667,A170)</f>
        <v/>
      </c>
    </row>
    <row r="171">
      <c r="A171" s="4" t="inlineStr">
        <is>
          <t>county (systems located by 'city or county served'; no geometry)</t>
        </is>
      </c>
      <c r="B171" s="4">
        <f>COUNTIF(Verification!$G$2:$G$667,A171)</f>
        <v/>
      </c>
    </row>
    <row r="172">
      <c r="A172" s="4" t="inlineStr">
        <is>
          <t>county (school districts also provided; not in vocabulary)</t>
        </is>
      </c>
      <c r="B172" s="4">
        <f>COUNTIF(Verification!$G$2:$G$667,A172)</f>
        <v/>
      </c>
    </row>
    <row r="173">
      <c r="A173" s="4" t="inlineStr">
        <is>
          <t>grid_810m (810 m x 810 m grid cells; also block group, tract and ZIP aggregations)</t>
        </is>
      </c>
      <c r="B173" s="4">
        <f>COUNTIF(Verification!$G$2:$G$667,A173)</f>
        <v/>
      </c>
    </row>
    <row r="174">
      <c r="A174" s="4" t="inlineStr">
        <is>
          <t>grid_810m</t>
        </is>
      </c>
      <c r="B174" s="4">
        <f>COUNTIF(Verification!$G$2:$G$667,A174)</f>
        <v/>
      </c>
    </row>
    <row r="175">
      <c r="A175" s="4" t="inlineStr">
        <is>
          <t>admin1 (state / primacy agency; counts also by public water system, which is not a geographic unit)</t>
        </is>
      </c>
      <c r="B175" s="4">
        <f>COUNTIF(Verification!$G$2:$G$667,A175)</f>
        <v/>
      </c>
    </row>
    <row r="176">
      <c r="A176" s="4" t="inlineStr">
        <is>
          <t>admin1 (state; results are per public water system, PWS ID, which is not a geographic unit)</t>
        </is>
      </c>
      <c r="B176" s="4">
        <f>COUNTIF(Verification!$G$2:$G$667,A176)</f>
        <v/>
      </c>
    </row>
    <row r="177">
      <c r="A177" s="4" t="inlineStr">
        <is>
          <t>points (health facilities), polygons (settlements)</t>
        </is>
      </c>
      <c r="B177" s="4">
        <f>COUNTIF(Verification!$G$2:$G$667,A177)</f>
        <v/>
      </c>
    </row>
    <row r="178">
      <c r="A178" s="4" t="inlineStr">
        <is>
          <t>grid_1.67km</t>
        </is>
      </c>
      <c r="B178" s="4">
        <f>COUNTIF(Verification!$G$2:$G$667,A178)</f>
        <v/>
      </c>
    </row>
    <row r="179">
      <c r="A179" s="4" t="inlineStr">
        <is>
          <t>grid_25m</t>
        </is>
      </c>
      <c r="B179" s="4">
        <f>COUNTIF(Verification!$G$2:$G$667,A179)</f>
        <v/>
      </c>
    </row>
    <row r="180">
      <c r="A180" s="4" t="inlineStr">
        <is>
          <t>grid_3.5km</t>
        </is>
      </c>
      <c r="B180" s="4">
        <f>COUNTIF(Verification!$G$2:$G$667,A180)</f>
        <v/>
      </c>
    </row>
    <row r="181">
      <c r="A181" s="4" t="inlineStr">
        <is>
          <t>points, 28 records</t>
        </is>
      </c>
      <c r="B181" s="4">
        <f>COUNTIF(Verification!$G$2:$G$667,A181)</f>
        <v/>
      </c>
    </row>
    <row r="182">
      <c r="A182" s="4" t="inlineStr">
        <is>
          <t>facility list (coordinates not confirmed)</t>
        </is>
      </c>
      <c r="B182" s="4">
        <f>COUNTIF(Verification!$G$2:$G$667,A182)</f>
        <v/>
      </c>
    </row>
    <row r="183">
      <c r="A183" s="4" t="inlineStr">
        <is>
          <t>establishment (CNES), municipality</t>
        </is>
      </c>
      <c r="B183" s="4">
        <f>COUNTIF(Verification!$G$2:$G$667,A183)</f>
        <v/>
      </c>
    </row>
    <row r="184">
      <c r="A184" s="4" t="inlineStr">
        <is>
          <t>national, subnational, pixel</t>
        </is>
      </c>
      <c r="B184" s="4">
        <f>COUNTIF(Verification!$G$2:$G$667,A184)</f>
        <v/>
      </c>
    </row>
    <row r="185">
      <c r="A185" s="4" t="inlineStr">
        <is>
          <t>facility list with location</t>
        </is>
      </c>
      <c r="B185" s="4">
        <f>COUNTIF(Verification!$G$2:$G$667,A185)</f>
        <v/>
      </c>
    </row>
    <row r="186">
      <c r="A186" s="4" t="inlineStr">
        <is>
          <t>facility list</t>
        </is>
      </c>
      <c r="B186" s="4">
        <f>COUNTIF(Verification!$G$2:$G$667,A186)</f>
        <v/>
      </c>
    </row>
    <row r="187">
      <c r="A187" s="4" t="inlineStr">
        <is>
          <t>census tract, ZCTA</t>
        </is>
      </c>
      <c r="B187" s="4">
        <f>COUNTIF(Verification!$G$2:$G$667,A187)</f>
        <v/>
      </c>
    </row>
    <row r="188">
      <c r="A188" s="4" t="inlineStr">
        <is>
          <t>address (needs geocoding); CMS Certification Number</t>
        </is>
      </c>
      <c r="B188" s="4">
        <f>COUNTIF(Verification!$G$2:$G$667,A188)</f>
        <v/>
      </c>
    </row>
    <row r="189">
      <c r="A189" s="4" t="inlineStr">
        <is>
          <t>country (the API's location dimension is ALLAREA/URBAN/RURAL only; no sub-national areas)</t>
        </is>
      </c>
      <c r="B189" s="4">
        <f>COUNTIF(Verification!$G$2:$G$667,A189)</f>
        <v/>
      </c>
    </row>
    <row r="190">
      <c r="A190" s="4" t="inlineStr">
        <is>
          <t>grid_200m</t>
        </is>
      </c>
      <c r="B190" s="4">
        <f>COUNTIF(Verification!$G$2:$G$667,A190)</f>
        <v/>
      </c>
    </row>
    <row r="191">
      <c r="A191" s="4" t="inlineStr">
        <is>
          <t>admin (varies by country)</t>
        </is>
      </c>
      <c r="B191" s="4">
        <f>COUNTIF(Verification!$G$2:$G$667,A191)</f>
        <v/>
      </c>
    </row>
    <row r="192">
      <c r="A192" s="4" t="inlineStr">
        <is>
          <t>admin1 (survey region)</t>
        </is>
      </c>
      <c r="B192" s="4">
        <f>COUNTIF(Verification!$G$2:$G$667,A192)</f>
        <v/>
      </c>
    </row>
    <row r="193">
      <c r="A193" s="4" t="inlineStr">
        <is>
          <t>grid_5deg</t>
        </is>
      </c>
      <c r="B193" s="4">
        <f>COUNTIF(Verification!$G$2:$G$667,A193)</f>
        <v/>
      </c>
    </row>
    <row r="194">
      <c r="A194" s="4" t="inlineStr">
        <is>
          <t>small_area</t>
        </is>
      </c>
      <c r="B194" s="4">
        <f>COUNTIF(Verification!$G$2:$G$667,A194)</f>
        <v/>
      </c>
    </row>
    <row r="195">
      <c r="A195" s="4" t="inlineStr">
        <is>
          <t>nuts2</t>
        </is>
      </c>
      <c r="B195" s="4">
        <f>COUNTIF(Verification!$G$2:$G$667,A195)</f>
        <v/>
      </c>
    </row>
    <row r="196">
      <c r="A196" s="4" t="inlineStr">
        <is>
          <t>facility (point; geocoded)</t>
        </is>
      </c>
      <c r="B196" s="4">
        <f>COUNTIF(Verification!$G$2:$G$667,A196)</f>
        <v/>
      </c>
    </row>
    <row r="197">
      <c r="A197" s="4" t="inlineStr">
        <is>
          <t>facility/provider (VA; quality measures)</t>
        </is>
      </c>
      <c r="B197" s="4">
        <f>COUNTIF(Verification!$G$2:$G$667,A197)</f>
        <v/>
      </c>
    </row>
    <row r="198">
      <c r="A198" s="4" t="inlineStr">
        <is>
          <t>facility (11 PPS-exempt cancer hospitals)</t>
        </is>
      </c>
      <c r="B198" s="4">
        <f>COUNTIF(Verification!$G$2:$G$667,A198)</f>
        <v/>
      </c>
    </row>
    <row r="199">
      <c r="A199" s="4" t="inlineStr">
        <is>
          <t>ZIP (agency service areas)</t>
        </is>
      </c>
      <c r="B199" s="4">
        <f>COUNTIF(Verification!$G$2:$G$667,A199)</f>
        <v/>
      </c>
    </row>
    <row r="200">
      <c r="A200" s="4" t="inlineStr">
        <is>
          <t>ZIP (hospice service ZIPs)</t>
        </is>
      </c>
      <c r="B200" s="4">
        <f>COUNTIF(Verification!$G$2:$G$667,A200)</f>
        <v/>
      </c>
    </row>
    <row r="201">
      <c r="A201" s="4" t="inlineStr">
        <is>
          <t>state (+DC/territories; 53 jurisdictions)</t>
        </is>
      </c>
      <c r="B201" s="4">
        <f>COUNTIF(Verification!$G$2:$G$667,A201)</f>
        <v/>
      </c>
    </row>
    <row r="202">
      <c r="A202" s="4" t="inlineStr">
        <is>
          <t>state (+DC/territories; 25 jurisdictions)</t>
        </is>
      </c>
      <c r="B202" s="4">
        <f>COUNTIF(Verification!$G$2:$G$667,A202)</f>
        <v/>
      </c>
    </row>
    <row r="203">
      <c r="A203" s="4" t="inlineStr">
        <is>
          <t>city (30 cities)</t>
        </is>
      </c>
      <c r="B203" s="4">
        <f>COUNTIF(Verification!$G$2:$G$667,A203)</f>
        <v/>
      </c>
    </row>
    <row r="204">
      <c r="A204" s="4" t="inlineStr">
        <is>
          <t>facility (centre); coordinates not confirmed</t>
        </is>
      </c>
      <c r="B204" s="4">
        <f>COUNTIF(Verification!$G$2:$G$667,A204)</f>
        <v/>
      </c>
    </row>
    <row r="206">
      <c r="A206" s="3" t="inlineStr">
        <is>
          <t>Gaia fit × health relevance</t>
        </is>
      </c>
      <c r="B206" s="3" t="inlineStr">
        <is>
          <t>Health 3</t>
        </is>
      </c>
      <c r="C206" s="3" t="inlineStr">
        <is>
          <t>Health 2</t>
        </is>
      </c>
      <c r="D206" s="3" t="inlineStr">
        <is>
          <t>Health 1</t>
        </is>
      </c>
      <c r="E206" s="3" t="inlineStr">
        <is>
          <t>Health 0</t>
        </is>
      </c>
      <c r="F206" s="3" t="inlineStr">
        <is>
          <t>Unknown</t>
        </is>
      </c>
      <c r="G206" s="3" t="inlineStr">
        <is>
          <t>Total</t>
        </is>
      </c>
    </row>
    <row r="207">
      <c r="A207" s="4" t="inlineStr">
        <is>
          <t>Joins today</t>
        </is>
      </c>
      <c r="B207" s="4">
        <f>COUNTIFS(Verification!$H$2:$H$667,$A207,Verification!$I$2:$I$667,3)</f>
        <v/>
      </c>
      <c r="C207" s="4">
        <f>COUNTIFS(Verification!$H$2:$H$667,$A207,Verification!$I$2:$I$667,2)</f>
        <v/>
      </c>
      <c r="D207" s="4">
        <f>COUNTIFS(Verification!$H$2:$H$667,$A207,Verification!$I$2:$I$667,1)</f>
        <v/>
      </c>
      <c r="E207" s="4">
        <f>COUNTIFS(Verification!$H$2:$H$667,$A207,Verification!$I$2:$I$667,0)</f>
        <v/>
      </c>
      <c r="F207" s="4">
        <f>COUNTIFS(Verification!$H$2:$H$667,$A207,Verification!$I$2:$I$667,"unknown")</f>
        <v/>
      </c>
      <c r="G207" s="4">
        <f>COUNTIF(Verification!$H$2:$H$667,$A207)</f>
        <v/>
      </c>
    </row>
    <row r="208">
      <c r="A208" s="4" t="inlineStr">
        <is>
          <t>Needs a count/distance step</t>
        </is>
      </c>
      <c r="B208" s="4">
        <f>COUNTIFS(Verification!$H$2:$H$667,$A208,Verification!$I$2:$I$667,3)</f>
        <v/>
      </c>
      <c r="C208" s="4">
        <f>COUNTIFS(Verification!$H$2:$H$667,$A208,Verification!$I$2:$I$667,2)</f>
        <v/>
      </c>
      <c r="D208" s="4">
        <f>COUNTIFS(Verification!$H$2:$H$667,$A208,Verification!$I$2:$I$667,1)</f>
        <v/>
      </c>
      <c r="E208" s="4">
        <f>COUNTIFS(Verification!$H$2:$H$667,$A208,Verification!$I$2:$I$667,0)</f>
        <v/>
      </c>
      <c r="F208" s="4">
        <f>COUNTIFS(Verification!$H$2:$H$667,$A208,Verification!$I$2:$I$667,"unknown")</f>
        <v/>
      </c>
      <c r="G208" s="4">
        <f>COUNTIF(Verification!$H$2:$H$667,$A208)</f>
        <v/>
      </c>
    </row>
    <row r="209">
      <c r="A209" s="4" t="inlineStr">
        <is>
          <t>Needs raster support</t>
        </is>
      </c>
      <c r="B209" s="4">
        <f>COUNTIFS(Verification!$H$2:$H$667,$A209,Verification!$I$2:$I$667,3)</f>
        <v/>
      </c>
      <c r="C209" s="4">
        <f>COUNTIFS(Verification!$H$2:$H$667,$A209,Verification!$I$2:$I$667,2)</f>
        <v/>
      </c>
      <c r="D209" s="4">
        <f>COUNTIFS(Verification!$H$2:$H$667,$A209,Verification!$I$2:$I$667,1)</f>
        <v/>
      </c>
      <c r="E209" s="4">
        <f>COUNTIFS(Verification!$H$2:$H$667,$A209,Verification!$I$2:$I$667,0)</f>
        <v/>
      </c>
      <c r="F209" s="4">
        <f>COUNTIFS(Verification!$H$2:$H$667,$A209,Verification!$I$2:$I$667,"unknown")</f>
        <v/>
      </c>
      <c r="G209" s="4">
        <f>COUNTIF(Verification!$H$2:$H$667,$A209)</f>
        <v/>
      </c>
    </row>
    <row r="210">
      <c r="A210" s="4" t="inlineStr">
        <is>
          <t>Not linkable as listed</t>
        </is>
      </c>
      <c r="B210" s="4">
        <f>COUNTIFS(Verification!$H$2:$H$667,$A210,Verification!$I$2:$I$667,3)</f>
        <v/>
      </c>
      <c r="C210" s="4">
        <f>COUNTIFS(Verification!$H$2:$H$667,$A210,Verification!$I$2:$I$667,2)</f>
        <v/>
      </c>
      <c r="D210" s="4">
        <f>COUNTIFS(Verification!$H$2:$H$667,$A210,Verification!$I$2:$I$667,1)</f>
        <v/>
      </c>
      <c r="E210" s="4">
        <f>COUNTIFS(Verification!$H$2:$H$667,$A210,Verification!$I$2:$I$667,0)</f>
        <v/>
      </c>
      <c r="F210" s="4">
        <f>COUNTIFS(Verification!$H$2:$H$667,$A210,Verification!$I$2:$I$667,"unknown")</f>
        <v/>
      </c>
      <c r="G210" s="4">
        <f>COUNTIF(Verification!$H$2:$H$667,$A210)</f>
        <v/>
      </c>
    </row>
    <row r="211">
      <c r="A211" s="4" t="inlineStr">
        <is>
          <t>Unknown</t>
        </is>
      </c>
      <c r="B211" s="4">
        <f>COUNTIFS(Verification!$H$2:$H$667,$A211,Verification!$I$2:$I$667,3)</f>
        <v/>
      </c>
      <c r="C211" s="4">
        <f>COUNTIFS(Verification!$H$2:$H$667,$A211,Verification!$I$2:$I$667,2)</f>
        <v/>
      </c>
      <c r="D211" s="4">
        <f>COUNTIFS(Verification!$H$2:$H$667,$A211,Verification!$I$2:$I$667,1)</f>
        <v/>
      </c>
      <c r="E211" s="4">
        <f>COUNTIFS(Verification!$H$2:$H$667,$A211,Verification!$I$2:$I$667,0)</f>
        <v/>
      </c>
      <c r="F211" s="4">
        <f>COUNTIFS(Verification!$H$2:$H$667,$A211,Verification!$I$2:$I$667,"unknown")</f>
        <v/>
      </c>
      <c r="G211" s="4">
        <f>COUNTIF(Verification!$H$2:$H$667,$A211)</f>
        <v/>
      </c>
    </row>
    <row r="213">
      <c r="A213" s="3" t="inlineStr">
        <is>
          <t>Already in gaiaCatalog</t>
        </is>
      </c>
      <c r="B213" s="3" t="inlineStr">
        <is>
          <t>Datasets</t>
        </is>
      </c>
    </row>
    <row r="214">
      <c r="A214" s="4" t="inlineStr">
        <is>
          <t>Kept datasets with a gaiaCatalog folder</t>
        </is>
      </c>
      <c r="B214" s="4">
        <f>COUNTIF(Verification!$J$2:$J$667,"?*")</f>
        <v/>
      </c>
    </row>
    <row r="215">
      <c r="A215" s="4" t="inlineStr">
        <is>
          <t>…of which Gold or Silver</t>
        </is>
      </c>
      <c r="B215" s="4">
        <f>COUNTIFS(Verification!$J$2:$J$667,"?*",Verification!$B$2:$B$667,"Gold")+COUNTIFS(Verification!$J$2:$J$667,"?*",Verification!$B$2:$B$667,"Silver")</f>
        <v/>
      </c>
    </row>
    <row r="216">
      <c r="A216" s="4" t="inlineStr">
        <is>
          <t>Public access: registration or restricted</t>
        </is>
      </c>
      <c r="B216" s="4">
        <f>COUNTIF(Verification!$M$2:$M$667,"registration")+COUNTIF(Verification!$M$2:$M$667,"restricted")</f>
        <v/>
      </c>
    </row>
    <row r="218">
      <c r="A218" s="3" t="inlineStr">
        <is>
          <t>Coverage of assessment</t>
        </is>
      </c>
      <c r="B218" s="3" t="inlineStr">
        <is>
          <t>Datasets</t>
        </is>
      </c>
      <c r="C218" s="3" t="inlineStr">
        <is>
          <t>Of which Gold/Silver</t>
        </is>
      </c>
    </row>
    <row r="219">
      <c r="A219" s="4" t="inlineStr">
        <is>
          <t>Read by part B (content checks, 22 or 28 Oct)</t>
        </is>
      </c>
      <c r="B219" s="6" t="n">
        <v>396</v>
      </c>
      <c r="C219" s="6" t="n">
        <v>296</v>
      </c>
    </row>
    <row r="220">
      <c r="A220" s="4" t="inlineStr">
        <is>
          <t>Sent to part B but blocked at the content step</t>
        </is>
      </c>
      <c r="B220" s="6" t="n">
        <v>91</v>
      </c>
      <c r="C220" s="6" t="n">
        <v>10</v>
      </c>
    </row>
    <row r="221">
      <c r="A221" s="4" t="inlineStr">
        <is>
          <t>Not read: browser queue (site blocks scripts or certificate problem)</t>
        </is>
      </c>
      <c r="B221" s="6" t="n">
        <v>61</v>
      </c>
      <c r="C221" s="6" t="n">
        <v>0</v>
      </c>
    </row>
    <row r="222">
      <c r="A222" s="4" t="inlineStr">
        <is>
          <t>Not read: link dead or withdrawn (Failed)</t>
        </is>
      </c>
      <c r="B222" s="6" t="n">
        <v>34</v>
      </c>
      <c r="C222" s="6" t="n">
        <v>0</v>
      </c>
    </row>
    <row r="223">
      <c r="A223" s="4" t="inlineStr">
        <is>
          <t>Not read: no URL</t>
        </is>
      </c>
      <c r="B223" s="6" t="n">
        <v>1</v>
      </c>
      <c r="C223" s="6" t="n">
        <v>0</v>
      </c>
    </row>
    <row r="224">
      <c r="A224" s="4" t="inlineStr">
        <is>
          <t>Checked in a browser by a person (sample, 28 Oct)</t>
        </is>
      </c>
      <c r="B224" s="6" t="n">
        <v>41</v>
      </c>
      <c r="C224" s="6" t="n">
        <v>28</v>
      </c>
    </row>
    <row r="225">
      <c r="A225" s="4" t="inlineStr">
        <is>
          <t>Not read: other</t>
        </is>
      </c>
      <c r="B225" s="6" t="n">
        <v>63</v>
      </c>
      <c r="C225" s="6" t="n">
        <v>21</v>
      </c>
    </row>
    <row r="226">
      <c r="A226" s="5" t="inlineStr">
        <is>
          <t>Total kept</t>
        </is>
      </c>
      <c r="B226" s="5" t="n">
        <v>666</v>
      </c>
    </row>
    <row r="228">
      <c r="A228" s="3" t="inlineStr">
        <is>
          <t>How the list was built (fixed counts)</t>
        </is>
      </c>
      <c r="B228" s="3" t="inlineStr">
        <is>
          <t>Rows</t>
        </is>
      </c>
      <c r="C228" s="3" t="inlineStr">
        <is>
          <t>Source</t>
        </is>
      </c>
    </row>
    <row r="229">
      <c r="A229" s="4" t="inlineStr">
        <is>
          <t>Harvested: agent web sweeps + catalog-API listings</t>
        </is>
      </c>
      <c r="B229" s="6" t="n">
        <v>3337</v>
      </c>
      <c r="C229" s="4" t="inlineStr">
        <is>
          <t>harvest-2026-10-20-summary.md</t>
        </is>
      </c>
    </row>
    <row r="230">
      <c r="A230" s="4" t="inlineStr">
        <is>
          <t>After removing duplicates</t>
        </is>
      </c>
      <c r="B230" s="6" t="n">
        <v>3160</v>
      </c>
      <c r="C230" s="4" t="inlineStr">
        <is>
          <t>harvest-2026-10-20-dedupe-report.md</t>
        </is>
      </c>
    </row>
    <row r="231">
      <c r="A231" s="4" t="inlineStr">
        <is>
          <t>Curated rows, or a catalog lead with a stated spatial unit</t>
        </is>
      </c>
      <c r="B231" s="6" t="n">
        <v>1018</v>
      </c>
      <c r="C231" s="4" t="inlineStr">
        <is>
          <t>next-pass-2026-10-20-report.md; place-data-inventory-2026-10-21.xlsx</t>
        </is>
      </c>
    </row>
    <row r="232">
      <c r="A232" s="4" t="inlineStr">
        <is>
          <t>Kept after trimming</t>
        </is>
      </c>
      <c r="B232" s="6" t="n">
        <v>570</v>
      </c>
      <c r="C232" s="4" t="inlineStr">
        <is>
          <t>trim-2026-10-22-report.md</t>
        </is>
      </c>
    </row>
    <row r="233">
      <c r="A233" s="4" t="inlineStr">
        <is>
          <t>Mirrors / successors of withdrawn tools added</t>
        </is>
      </c>
      <c r="B233" s="6" t="n">
        <v>4</v>
      </c>
      <c r="C233" s="4" t="inlineStr">
        <is>
          <t>refine-report-2026-10-23.md</t>
        </is>
      </c>
    </row>
    <row r="234">
      <c r="A234" s="4" t="inlineStr">
        <is>
          <t>Dropped as duplicates (28 Oct)</t>
        </is>
      </c>
      <c r="B234" s="6" t="n">
        <v>0</v>
      </c>
      <c r="C234" s="4" t="inlineStr">
        <is>
          <t>dupe-review-2026-10-28.csv</t>
        </is>
      </c>
    </row>
    <row r="235">
      <c r="A235" s="4" t="inlineStr">
        <is>
          <t>Trimmed after a browser check (28 Oct)</t>
        </is>
      </c>
      <c r="B235" s="6" t="n">
        <v>3</v>
      </c>
      <c r="C235" s="4" t="inlineStr">
        <is>
          <t>browser-sample-2026-10-28.md</t>
        </is>
      </c>
    </row>
    <row r="236">
      <c r="A236" s="4" t="inlineStr">
        <is>
          <t>Read for content (part B, 22 and 28 Oct)</t>
        </is>
      </c>
      <c r="B236" s="6" t="n">
        <v>487</v>
      </c>
      <c r="C236" s="4" t="inlineStr">
        <is>
          <t>close-report-2026-10-28.md</t>
        </is>
      </c>
    </row>
    <row r="237">
      <c r="A237" s="4" t="inlineStr">
        <is>
          <t>Verified (Gold + Silver)</t>
        </is>
      </c>
      <c r="B237" s="7">
        <f>B21+C21</f>
        <v/>
      </c>
      <c r="C237" s="4" t="inlineStr">
        <is>
          <t>Summary, tier totals</t>
        </is>
      </c>
    </row>
    <row r="238">
      <c r="A238" s="8" t="inlineStr">
        <is>
          <t>Blue numbers are fixed counts from the files named in column C (docs/discovery, 20–28 October 2026).</t>
        </is>
      </c>
    </row>
    <row r="240">
      <c r="A240" s="3" t="inlineStr">
        <is>
          <t>Round 2 pilot (not in the counts above)</t>
        </is>
      </c>
      <c r="B240" s="3" t="inlineStr">
        <is>
          <t>Datasets</t>
        </is>
      </c>
    </row>
    <row r="241">
      <c r="A241" s="4" t="inlineStr">
        <is>
          <t>Bronze</t>
        </is>
      </c>
      <c r="B241" s="4">
        <f>COUNTIF('Round 2 pilot'!$B$2:$B$25,A241)</f>
        <v/>
      </c>
    </row>
    <row r="242">
      <c r="A242" s="4" t="inlineStr">
        <is>
          <t>Browser needed</t>
        </is>
      </c>
      <c r="B242" s="4">
        <f>COUNTIF('Round 2 pilot'!$B$2:$B$25,A242)</f>
        <v/>
      </c>
    </row>
    <row r="243">
      <c r="A243" s="4" t="inlineStr">
        <is>
          <t>Gold / Silver / Failed (part B not run)</t>
        </is>
      </c>
      <c r="B243" s="4">
        <f>COUNTIF('Round 2 pilot'!$B$2:$B$25,"Gold")+COUNTIF('Round 2 pilot'!$B$2:$B$25,"Silver")+COUNTIF('Round 2 pilot'!$B$2:$B$25,"Failed")</f>
        <v/>
      </c>
    </row>
    <row r="244">
      <c r="A244" s="5" t="inlineStr">
        <is>
          <t>Total new round 2 rows</t>
        </is>
      </c>
      <c r="B244" s="5">
        <f>SUM(B241:B243)</f>
        <v/>
      </c>
    </row>
    <row r="245">
      <c r="A245" s="4" t="inlineStr">
        <is>
          <t>URL health: healthy</t>
        </is>
      </c>
      <c r="B245" s="4">
        <f>COUNTIF('Round 2 pilot'!$C$2:$C$25,"healthy")</f>
        <v/>
      </c>
    </row>
    <row r="246">
      <c r="A246" s="4" t="inlineStr">
        <is>
          <t>URL health: degraded</t>
        </is>
      </c>
      <c r="B246" s="4">
        <f>COUNTIF('Round 2 pilot'!$C$2:$C$25,"degraded")</f>
        <v/>
      </c>
    </row>
    <row r="247">
      <c r="A247" s="4" t="inlineStr">
        <is>
          <t>URL health: blocked</t>
        </is>
      </c>
      <c r="B247" s="4">
        <f>COUNTIF('Round 2 pilot'!$C$2:$C$25,"blocked")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20" customWidth="1" min="2" max="2"/>
  </cols>
  <sheetData>
    <row r="1">
      <c r="A1" s="9" t="inlineStr">
        <is>
          <t>Place-based data inventory: refined set</t>
        </is>
      </c>
      <c r="B1" s="10" t="inlineStr"/>
    </row>
    <row r="2">
      <c r="A2" s="11" t="inlineStr">
        <is>
          <t>Date</t>
        </is>
      </c>
      <c r="B2" s="10" t="inlineStr">
        <is>
          <t>29 October 2026 · OHDSI GIS Working Group · built 20–29 October 2026 (round 1 closed 28 October; on 29 October: working-group requests, the US federal licence rule, geometry classification, and file verification of the request datasets)</t>
        </is>
      </c>
    </row>
    <row r="3">
      <c r="A3" s="11" t="inlineStr">
        <is>
          <t>What this is</t>
        </is>
      </c>
      <c r="B3" s="10" t="inlineStr">
        <is>
          <t>666 public, place-based datasets that could be linked to where patients live (571 from round 1, then added on 29 October for working-group requests, file verification, category backfill and the priority-sources spike), each with a verification tier; the Round 2 pilot sheet holds 24 more. 345 are verified (Gold or Silver): years, spatial unit and access were read from the publisher's page, with the page URL kept as evidence. 15 are file-verified: a real file was downloaded and its columns, place key, geometry and years read (column verification_level). For US federal datasets the licence pass comes from the working group's rule (US federal works are public domain under 17 U.S.C. 105 unless a page says otherwise); their license_class is public_domain_us_federal.</t>
        </is>
      </c>
    </row>
    <row r="4">
      <c r="A4" s="11" t="inlineStr">
        <is>
          <t>How it was built</t>
        </is>
      </c>
      <c r="B4" s="10" t="inlineStr">
        <is>
          <t>1 Harvest: AI-assisted web sweeps plus scripted catalog-API listings (data.gov, HDX, Earthdata CMR, EU and national portals): 3,337 listings. 2 De-duplication: 3,160. 3 Split: 594 curated rows kept apart from 2,576 catalog leads; leads whose title names a spatial unit were added: 1,018. 4 Score: health relevance (0–3) and Gaia fit (joins today / needs a count or distance step / needs raster support / not linkable) from each listing. 5 Trim: 570 kept (relevant, data from 2000 on, not a one-off event, not hyper-local, not a portal). 6 URL health (21–22 Oct): scripted checks of every landing and access URL. 7 Content checks (22 and 28 Oct): an agent read the landing page and one documentation page of each live dataset (shortlist and step-3 groups on 22 Oct; the remaining live rows on 28 Oct). 8 Mirrors: four community mirrors or successors of withdrawn federal tools were added. 9 Duplicates (28 Oct): every flagged group among the kept rows was decided (see the Duplicates resolved tab).</t>
        </is>
      </c>
    </row>
    <row r="5">
      <c r="A5" s="11" t="inlineStr">
        <is>
          <t>What 'verified' means</t>
        </is>
      </c>
      <c r="B5" s="10" t="inlineStr">
        <is>
          <t>Each check is pass / warn / fail / n.a. / not checked, with a detail and (for content checks) an evidence URL. Link checks: link live (2xx), redirect (same domain), TLS, soft-404 (page names the dataset), withdrawn (no retirement notice), access URL, format match, machine-readable metadata, persistent id, Wayback snapshot. Content checks: licence (+ class: open / attribution / non-commercial / registration / restricted), years (+ latest year), recency (pass 2020+, warn 2000–2019, fail before 2000 or discontinued), update cadence, version, finest unit, coverage, access route, join key, Gaia-loadable format. Workspace checks: in gaiaCatalog, recipe health from the deployment logs.</t>
        </is>
      </c>
    </row>
    <row r="6">
      <c r="A6" s="11" t="inlineStr">
        <is>
          <t>Tiers</t>
        </is>
      </c>
      <c r="B6" s="10" t="inlineStr">
        <is>
          <t>Gold: link, page, withdrawn, licence, unit, years and access all pass; recency pass or warn. Silver: link passes and no fail among licence, unit, years, recency. Bronze: link live but content not read or incomplete. Browser needed: the site blocks scripts or has a certificate problem; it needs a real browser (a person or a browser agent). Failed: link dead, page generic, publisher says withdrawn, or data before 2000.</t>
        </is>
      </c>
    </row>
    <row r="7">
      <c r="A7" s="11" t="inlineStr">
        <is>
          <t>Score</t>
        </is>
      </c>
      <c r="B7" s="10" t="inlineStr">
        <is>
          <t>0–100, weighted: link 20, soft-404 10, withdrawn 10, licence 15, unit 15, years 7.5, recency 7.5, access 10, join key 10, machine metadata 5; pass = 1, warn = 0.5, fail = 0; normalised over the checks that apply.</t>
        </is>
      </c>
    </row>
    <row r="8">
      <c r="A8" s="11" t="inlineStr">
        <is>
          <t>Assumptions</t>
        </is>
      </c>
      <c r="B8" s="10" t="inlineStr">
        <is>
          <t>Links were checked automatically on 21–22 October 2026; pages were read on 22 and 28 October, the working-group targets on 29 October, and the request datasets' files opened on 29 October (no other downloads). A 'fail' on licence means no licence statement was found on the pages read, not that the data are restricted; US federal rows pass by rule. A row keyed to one specific geometry dataset that is not yet found is capped at Silver. Relevance and Gaia-fit are rule-based from each listing; geometry classes are partly inferred (column geo_class_basis). Recency cut-off is 2000. Sites that block scripts were not worked around.</t>
        </is>
      </c>
    </row>
    <row r="9">
      <c r="A9" s="11" t="inlineStr">
        <is>
          <t>Tabs</t>
        </is>
      </c>
      <c r="B9" s="10" t="inlineStr">
        <is>
          <t>Summary (live formulas over the Verification tab, plus the coverage of the assessment) · Refined set (Gold and Silver) · Verification (every kept row, colour-coded checks) · Browser queue · Duplicates resolved · Trimmed (what was left out and why) · Round 2 pilot (24 new health-facility registries, link-checked only).</t>
        </is>
      </c>
    </row>
    <row r="10">
      <c r="A10" s="11" t="inlineStr">
        <is>
          <t>Files</t>
        </is>
      </c>
      <c r="B10" s="10" t="inlineStr">
        <is>
          <t>In docs/discovery of the Gaia workspace: inventory-combined-2026-10-29-fv.csv (every column; 604 rows incl. the round 2 pilot), inventory.csv (the Gold and Silver), landscape/landscape-report-2026-10-29.md, fileverify/fileverify-report-2026-10-29.md, exploration-1.5-report-2026-10-29.md, iterations/README.md (how it was built), TODO.md (what's next).</t>
        </is>
      </c>
    </row>
    <row r="11">
      <c r="A11" s="11" t="inlineStr">
        <is>
          <t>Round 2 pilot</t>
        </is>
      </c>
      <c r="B11" s="10" t="inlineStr">
        <is>
          <t>24 new health-facility registries (sweep 1 of 5; the other sweeps were not run). They were link-checked (part A) but not read for content (part B), so none is above Bronze. They are NOT in the Summary counts above (571 round 1 rows); see the foot of the Summary and the Round 2 pilot sheet. One more candidate (HRSA health-center sites) was already in the inventory and stays a single round 1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6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5" customWidth="1" min="2" max="2"/>
    <col width="7" customWidth="1" min="3" max="3"/>
    <col width="15" customWidth="1" min="4" max="4"/>
    <col width="11" customWidth="1" min="5" max="5"/>
    <col width="13" customWidth="1" min="6" max="6"/>
    <col width="13" customWidth="1" min="7" max="7"/>
    <col width="22" customWidth="1" min="8" max="8"/>
    <col width="10" customWidth="1" min="9" max="9"/>
    <col width="22" customWidth="1" min="10" max="10"/>
    <col width="10" customWidth="1" min="11" max="11"/>
    <col width="9"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40" customWidth="1" min="37" max="37"/>
    <col width="45" customWidth="1" min="38" max="38"/>
    <col width="30" customWidth="1" min="39" max="39"/>
  </cols>
  <sheetData>
    <row r="1" ht="32" customHeight="1">
      <c r="A1" s="12" t="inlineStr">
        <is>
          <t>Dataset</t>
        </is>
      </c>
      <c r="B1" s="12" t="inlineStr">
        <is>
          <t>Tier</t>
        </is>
      </c>
      <c r="C1" s="12" t="inlineStr">
        <is>
          <t>Score</t>
        </is>
      </c>
      <c r="D1" s="12" t="inlineStr">
        <is>
          <t>Theme</t>
        </is>
      </c>
      <c r="E1" s="12" t="inlineStr">
        <is>
          <t>URL health</t>
        </is>
      </c>
      <c r="F1" s="12" t="inlineStr">
        <is>
          <t>License class</t>
        </is>
      </c>
      <c r="G1" s="12" t="inlineStr">
        <is>
          <t>Finest unit</t>
        </is>
      </c>
      <c r="H1" s="12" t="inlineStr">
        <is>
          <t>Gaia fit</t>
        </is>
      </c>
      <c r="I1" s="12" t="inlineStr">
        <is>
          <t>Health relevance (0-3)</t>
        </is>
      </c>
      <c r="J1" s="12" t="inlineStr">
        <is>
          <t>In gaiaCatalog</t>
        </is>
      </c>
      <c r="K1" s="12" t="inlineStr">
        <is>
          <t>Source</t>
        </is>
      </c>
      <c r="L1" s="12" t="inlineStr">
        <is>
          <t>Latest year</t>
        </is>
      </c>
      <c r="M1" s="12" t="inlineStr">
        <is>
          <t>Public access</t>
        </is>
      </c>
      <c r="N1" s="12" t="inlineStr">
        <is>
          <t>Verified on</t>
        </is>
      </c>
      <c r="O1" s="12" t="inlineStr">
        <is>
          <t>✓ link live</t>
        </is>
      </c>
      <c r="P1" s="12" t="inlineStr">
        <is>
          <t>✓ redirect</t>
        </is>
      </c>
      <c r="Q1" s="12" t="inlineStr">
        <is>
          <t>✓ tls</t>
        </is>
      </c>
      <c r="R1" s="12" t="inlineStr">
        <is>
          <t>✓ soft404</t>
        </is>
      </c>
      <c r="S1" s="12" t="inlineStr">
        <is>
          <t>✓ withdrawn</t>
        </is>
      </c>
      <c r="T1" s="12" t="inlineStr">
        <is>
          <t>✓ access url</t>
        </is>
      </c>
      <c r="U1" s="12" t="inlineStr">
        <is>
          <t>✓ format match</t>
        </is>
      </c>
      <c r="V1" s="12" t="inlineStr">
        <is>
          <t>✓ machine metadata</t>
        </is>
      </c>
      <c r="W1" s="12" t="inlineStr">
        <is>
          <t>✓ persistent id</t>
        </is>
      </c>
      <c r="X1" s="12" t="inlineStr">
        <is>
          <t>✓ archived</t>
        </is>
      </c>
      <c r="Y1" s="12" t="inlineStr">
        <is>
          <t>✓ license</t>
        </is>
      </c>
      <c r="Z1" s="12" t="inlineStr">
        <is>
          <t>✓ temporal</t>
        </is>
      </c>
      <c r="AA1" s="12" t="inlineStr">
        <is>
          <t>✓ recency</t>
        </is>
      </c>
      <c r="AB1" s="12" t="inlineStr">
        <is>
          <t>✓ cadence</t>
        </is>
      </c>
      <c r="AC1" s="12" t="inlineStr">
        <is>
          <t>✓ version</t>
        </is>
      </c>
      <c r="AD1" s="12" t="inlineStr">
        <is>
          <t>✓ unit</t>
        </is>
      </c>
      <c r="AE1" s="12" t="inlineStr">
        <is>
          <t>✓ coverage</t>
        </is>
      </c>
      <c r="AF1" s="12" t="inlineStr">
        <is>
          <t>✓ access</t>
        </is>
      </c>
      <c r="AG1" s="12" t="inlineStr">
        <is>
          <t>✓ join key</t>
        </is>
      </c>
      <c r="AH1" s="12" t="inlineStr">
        <is>
          <t>✓ format gaia</t>
        </is>
      </c>
      <c r="AI1" s="12" t="inlineStr">
        <is>
          <t>✓ in gaia</t>
        </is>
      </c>
      <c r="AJ1" s="12" t="inlineStr">
        <is>
          <t>✓ recipe health</t>
        </is>
      </c>
      <c r="AK1" s="12" t="inlineStr">
        <is>
          <t>Blockers</t>
        </is>
      </c>
      <c r="AL1" s="12" t="inlineStr">
        <is>
          <t>Landing page</t>
        </is>
      </c>
      <c r="AM1" s="12" t="inlineStr">
        <is>
          <t>id</t>
        </is>
      </c>
    </row>
    <row r="2">
      <c r="A2" s="4" t="inlineStr">
        <is>
          <t>Cartografia digitalizada de secciones censales</t>
        </is>
      </c>
      <c r="B2" s="13" t="inlineStr">
        <is>
          <t>Gold</t>
        </is>
      </c>
      <c r="C2" s="4" t="n">
        <v>98</v>
      </c>
      <c r="D2" s="4" t="inlineStr">
        <is>
          <t>boundaries</t>
        </is>
      </c>
      <c r="E2" s="4" t="inlineStr">
        <is>
          <t>healthy</t>
        </is>
      </c>
      <c r="F2" s="4" t="inlineStr">
        <is>
          <t>open</t>
        </is>
      </c>
      <c r="G2" s="4" t="inlineStr">
        <is>
          <t>polygon (seccion censal; small statistical area)</t>
        </is>
      </c>
      <c r="H2" s="4" t="inlineStr">
        <is>
          <t>Joins today</t>
        </is>
      </c>
      <c r="I2" s="4" t="n">
        <v>1</v>
      </c>
      <c r="J2" s="4" t="inlineStr"/>
      <c r="K2" s="4" t="inlineStr">
        <is>
          <t>Curated</t>
        </is>
      </c>
      <c r="L2" s="4" t="n">
        <v>2025</v>
      </c>
      <c r="M2" s="4" t="inlineStr">
        <is>
          <t>open</t>
        </is>
      </c>
      <c r="N2" s="4" t="inlineStr">
        <is>
          <t>2026-10-28</t>
        </is>
      </c>
      <c r="O2" s="14" t="inlineStr">
        <is>
          <t>pass</t>
        </is>
      </c>
      <c r="P2" s="14" t="inlineStr">
        <is>
          <t>pass</t>
        </is>
      </c>
      <c r="Q2" s="14" t="inlineStr">
        <is>
          <t>pass</t>
        </is>
      </c>
      <c r="R2" s="14" t="inlineStr">
        <is>
          <t>pass</t>
        </is>
      </c>
      <c r="S2" s="14" t="inlineStr">
        <is>
          <t>pass</t>
        </is>
      </c>
      <c r="T2" s="15" t="inlineStr">
        <is>
          <t>n.a.</t>
        </is>
      </c>
      <c r="U2" s="15" t="inlineStr">
        <is>
          <t>n.a.</t>
        </is>
      </c>
      <c r="V2" s="16" t="inlineStr">
        <is>
          <t>warn</t>
        </is>
      </c>
      <c r="W2" s="16" t="inlineStr">
        <is>
          <t>warn</t>
        </is>
      </c>
      <c r="X2" s="14" t="inlineStr">
        <is>
          <t>pass</t>
        </is>
      </c>
      <c r="Y2" s="14" t="inlineStr">
        <is>
          <t>pass</t>
        </is>
      </c>
      <c r="Z2" s="14" t="inlineStr">
        <is>
          <t>pass</t>
        </is>
      </c>
      <c r="AA2" s="14" t="inlineStr">
        <is>
          <t>pass</t>
        </is>
      </c>
      <c r="AB2" s="16" t="inlineStr">
        <is>
          <t>warn</t>
        </is>
      </c>
      <c r="AC2" s="14" t="inlineStr">
        <is>
          <t>pass</t>
        </is>
      </c>
      <c r="AD2" s="14" t="inlineStr">
        <is>
          <t>pass</t>
        </is>
      </c>
      <c r="AE2" s="14" t="inlineStr">
        <is>
          <t>pass</t>
        </is>
      </c>
      <c r="AF2" s="14" t="inlineStr">
        <is>
          <t>pass</t>
        </is>
      </c>
      <c r="AG2" s="14" t="inlineStr">
        <is>
          <t>pass</t>
        </is>
      </c>
      <c r="AH2" s="14" t="inlineStr">
        <is>
          <t>pass</t>
        </is>
      </c>
      <c r="AI2" s="15" t="inlineStr">
        <is>
          <t>n.a.</t>
        </is>
      </c>
      <c r="AJ2" s="15" t="inlineStr">
        <is>
          <t>n.a.</t>
        </is>
      </c>
      <c r="AK2" s="4" t="inlineStr">
        <is>
          <t>machine_metadata(warn);persistent_id(warn);cadence(warn)</t>
        </is>
      </c>
      <c r="AL2" s="17" t="inlineStr">
        <is>
          <t>https://www.ine.es/ss/Satellite?L=es_ES&amp;c=Page&amp;cid=1259952026632&amp;p=1259952026632&amp;pagename=ProductosYServicios%2FPYSLayout</t>
        </is>
      </c>
      <c r="AM2" s="4" t="inlineStr">
        <is>
          <t>es_ine_secciones_censales</t>
        </is>
      </c>
    </row>
    <row r="3">
      <c r="A3" s="4" t="inlineStr">
        <is>
          <t>Demografiska statistikomraden (DeSO)</t>
        </is>
      </c>
      <c r="B3" s="13" t="inlineStr">
        <is>
          <t>Gold</t>
        </is>
      </c>
      <c r="C3" s="4" t="n">
        <v>98</v>
      </c>
      <c r="D3" s="4" t="inlineStr">
        <is>
          <t>boundaries</t>
        </is>
      </c>
      <c r="E3" s="4" t="inlineStr">
        <is>
          <t>healthy</t>
        </is>
      </c>
      <c r="F3" s="4" t="inlineStr">
        <is>
          <t>open</t>
        </is>
      </c>
      <c r="G3" s="4" t="inlineStr">
        <is>
          <t>polygon (DeSO small statistical area; county and municipality as attributes)</t>
        </is>
      </c>
      <c r="H3" s="4" t="inlineStr">
        <is>
          <t>Joins today</t>
        </is>
      </c>
      <c r="I3" s="4" t="n">
        <v>1</v>
      </c>
      <c r="J3" s="4" t="inlineStr"/>
      <c r="K3" s="4" t="inlineStr">
        <is>
          <t>Curated</t>
        </is>
      </c>
      <c r="L3" s="4" t="n">
        <v>2025</v>
      </c>
      <c r="M3" s="4" t="inlineStr">
        <is>
          <t>open</t>
        </is>
      </c>
      <c r="N3" s="4" t="inlineStr">
        <is>
          <t>2026-10-28</t>
        </is>
      </c>
      <c r="O3" s="14" t="inlineStr">
        <is>
          <t>pass</t>
        </is>
      </c>
      <c r="P3" s="14" t="inlineStr">
        <is>
          <t>pass</t>
        </is>
      </c>
      <c r="Q3" s="14" t="inlineStr">
        <is>
          <t>pass</t>
        </is>
      </c>
      <c r="R3" s="14" t="inlineStr">
        <is>
          <t>pass</t>
        </is>
      </c>
      <c r="S3" s="14" t="inlineStr">
        <is>
          <t>pass</t>
        </is>
      </c>
      <c r="T3" s="14" t="inlineStr">
        <is>
          <t>pass</t>
        </is>
      </c>
      <c r="U3" s="14" t="inlineStr">
        <is>
          <t>pass</t>
        </is>
      </c>
      <c r="V3" s="16" t="inlineStr">
        <is>
          <t>warn</t>
        </is>
      </c>
      <c r="W3" s="16" t="inlineStr">
        <is>
          <t>warn</t>
        </is>
      </c>
      <c r="X3" s="14" t="inlineStr">
        <is>
          <t>pass</t>
        </is>
      </c>
      <c r="Y3" s="14" t="inlineStr">
        <is>
          <t>pass</t>
        </is>
      </c>
      <c r="Z3" s="14" t="inlineStr">
        <is>
          <t>pass</t>
        </is>
      </c>
      <c r="AA3" s="14" t="inlineStr">
        <is>
          <t>pass</t>
        </is>
      </c>
      <c r="AB3" s="16" t="inlineStr">
        <is>
          <t>warn</t>
        </is>
      </c>
      <c r="AC3" s="14" t="inlineStr">
        <is>
          <t>pass</t>
        </is>
      </c>
      <c r="AD3" s="14" t="inlineStr">
        <is>
          <t>pass</t>
        </is>
      </c>
      <c r="AE3" s="14" t="inlineStr">
        <is>
          <t>pass</t>
        </is>
      </c>
      <c r="AF3" s="14" t="inlineStr">
        <is>
          <t>pass</t>
        </is>
      </c>
      <c r="AG3" s="14" t="inlineStr">
        <is>
          <t>pass</t>
        </is>
      </c>
      <c r="AH3" s="14" t="inlineStr">
        <is>
          <t>pass</t>
        </is>
      </c>
      <c r="AI3" s="15" t="inlineStr">
        <is>
          <t>n.a.</t>
        </is>
      </c>
      <c r="AJ3" s="15" t="inlineStr">
        <is>
          <t>n.a.</t>
        </is>
      </c>
      <c r="AK3" s="4" t="inlineStr">
        <is>
          <t>machine_metadata(warn);persistent_id(warn);cadence(warn)</t>
        </is>
      </c>
      <c r="AL3" s="17" t="inlineStr">
        <is>
          <t>https://www.scb.se/en/services/open-data-api/open-geodata/open-data-for-deso--demographic-statistical-areas/</t>
        </is>
      </c>
      <c r="AM3" s="4" t="inlineStr">
        <is>
          <t>se_scb_deso</t>
        </is>
      </c>
    </row>
    <row r="4">
      <c r="A4" s="4" t="inlineStr">
        <is>
          <t>Global Administrative Unit Layers (GAUL)</t>
        </is>
      </c>
      <c r="B4" s="13" t="inlineStr">
        <is>
          <t>Gold</t>
        </is>
      </c>
      <c r="C4" s="4" t="n">
        <v>93</v>
      </c>
      <c r="D4" s="4" t="inlineStr">
        <is>
          <t>boundaries</t>
        </is>
      </c>
      <c r="E4" s="4" t="inlineStr">
        <is>
          <t>healthy</t>
        </is>
      </c>
      <c r="F4" s="4" t="inlineStr">
        <is>
          <t>open</t>
        </is>
      </c>
      <c r="G4" s="4" t="inlineStr">
        <is>
          <t>admin2</t>
        </is>
      </c>
      <c r="H4" s="4" t="inlineStr">
        <is>
          <t>Joins today</t>
        </is>
      </c>
      <c r="I4" s="4" t="n">
        <v>1</v>
      </c>
      <c r="J4" s="4" t="inlineStr"/>
      <c r="K4" s="4" t="inlineStr">
        <is>
          <t>Curated</t>
        </is>
      </c>
      <c r="L4" s="4" t="n">
        <v>2024</v>
      </c>
      <c r="M4" s="4" t="inlineStr">
        <is>
          <t>open</t>
        </is>
      </c>
      <c r="N4" s="4" t="inlineStr">
        <is>
          <t>2026-10-28</t>
        </is>
      </c>
      <c r="O4" s="14" t="inlineStr">
        <is>
          <t>pass</t>
        </is>
      </c>
      <c r="P4" s="14" t="inlineStr">
        <is>
          <t>pass</t>
        </is>
      </c>
      <c r="Q4" s="14" t="inlineStr">
        <is>
          <t>pass</t>
        </is>
      </c>
      <c r="R4" s="14" t="inlineStr">
        <is>
          <t>pass</t>
        </is>
      </c>
      <c r="S4" s="14" t="inlineStr">
        <is>
          <t>pass</t>
        </is>
      </c>
      <c r="T4" s="14" t="inlineStr">
        <is>
          <t>pass</t>
        </is>
      </c>
      <c r="U4" s="16" t="inlineStr">
        <is>
          <t>warn</t>
        </is>
      </c>
      <c r="V4" s="16" t="inlineStr">
        <is>
          <t>warn</t>
        </is>
      </c>
      <c r="W4" s="16" t="inlineStr">
        <is>
          <t>warn</t>
        </is>
      </c>
      <c r="X4" s="14" t="inlineStr">
        <is>
          <t>pass</t>
        </is>
      </c>
      <c r="Y4" s="14" t="inlineStr">
        <is>
          <t>pass</t>
        </is>
      </c>
      <c r="Z4" s="14" t="inlineStr">
        <is>
          <t>pass</t>
        </is>
      </c>
      <c r="AA4" s="14" t="inlineStr">
        <is>
          <t>pass</t>
        </is>
      </c>
      <c r="AB4" s="14" t="inlineStr">
        <is>
          <t>pass</t>
        </is>
      </c>
      <c r="AC4" s="14" t="inlineStr">
        <is>
          <t>pass</t>
        </is>
      </c>
      <c r="AD4" s="14" t="inlineStr">
        <is>
          <t>pass</t>
        </is>
      </c>
      <c r="AE4" s="14" t="inlineStr">
        <is>
          <t>pass</t>
        </is>
      </c>
      <c r="AF4" s="14" t="inlineStr">
        <is>
          <t>pass</t>
        </is>
      </c>
      <c r="AG4" s="16" t="inlineStr">
        <is>
          <t>warn</t>
        </is>
      </c>
      <c r="AH4" s="14" t="inlineStr">
        <is>
          <t>pass</t>
        </is>
      </c>
      <c r="AI4" s="15" t="inlineStr">
        <is>
          <t>n.a.</t>
        </is>
      </c>
      <c r="AJ4" s="15" t="inlineStr">
        <is>
          <t>n.a.</t>
        </is>
      </c>
      <c r="AK4" s="4" t="inlineStr">
        <is>
          <t>format_match(warn);machine_metadata(warn);persistent_id(warn);join_key(warn)</t>
        </is>
      </c>
      <c r="AL4" s="17" t="inlineStr">
        <is>
          <t>https://www.fao.org/hih-geospatial-platform/news/detail/now-available--the-global-administrative-unit-layers-(gaul)-dataset---2024-edition/en</t>
        </is>
      </c>
      <c r="AM4" s="4" t="inlineStr">
        <is>
          <t>global_fao_gaul</t>
        </is>
      </c>
    </row>
    <row r="5">
      <c r="A5" s="4" t="inlineStr">
        <is>
          <t>Postal codes point dataset and postal code to NUTS correspondence (Tercet)</t>
        </is>
      </c>
      <c r="B5" s="13" t="inlineStr">
        <is>
          <t>Gold</t>
        </is>
      </c>
      <c r="C5" s="4" t="n">
        <v>98</v>
      </c>
      <c r="D5" s="4" t="inlineStr">
        <is>
          <t>boundaries</t>
        </is>
      </c>
      <c r="E5" s="4" t="inlineStr">
        <is>
          <t>degraded</t>
        </is>
      </c>
      <c r="F5" s="4" t="inlineStr">
        <is>
          <t>open</t>
        </is>
      </c>
      <c r="G5" s="4" t="inlineStr">
        <is>
          <t>point</t>
        </is>
      </c>
      <c r="H5" s="4" t="inlineStr">
        <is>
          <t>Needs a count/distance step</t>
        </is>
      </c>
      <c r="I5" s="4" t="n">
        <v>1</v>
      </c>
      <c r="J5" s="4" t="inlineStr"/>
      <c r="K5" s="4" t="inlineStr">
        <is>
          <t>Curated</t>
        </is>
      </c>
      <c r="L5" s="4" t="n">
        <v>2024</v>
      </c>
      <c r="M5" s="4" t="inlineStr">
        <is>
          <t>open</t>
        </is>
      </c>
      <c r="N5" s="4" t="inlineStr">
        <is>
          <t>2026-10-28</t>
        </is>
      </c>
      <c r="O5" s="14" t="inlineStr">
        <is>
          <t>pass</t>
        </is>
      </c>
      <c r="P5" s="14" t="inlineStr">
        <is>
          <t>pass</t>
        </is>
      </c>
      <c r="Q5" s="14" t="inlineStr">
        <is>
          <t>pass</t>
        </is>
      </c>
      <c r="R5" s="14" t="inlineStr">
        <is>
          <t>pass</t>
        </is>
      </c>
      <c r="S5" s="14" t="inlineStr">
        <is>
          <t>pass</t>
        </is>
      </c>
      <c r="T5" s="18" t="inlineStr">
        <is>
          <t>fail</t>
        </is>
      </c>
      <c r="U5" s="15" t="inlineStr">
        <is>
          <t>n.a.</t>
        </is>
      </c>
      <c r="V5" s="16" t="inlineStr">
        <is>
          <t>warn</t>
        </is>
      </c>
      <c r="W5" s="16" t="inlineStr">
        <is>
          <t>warn</t>
        </is>
      </c>
      <c r="X5" s="14" t="inlineStr">
        <is>
          <t>pass</t>
        </is>
      </c>
      <c r="Y5" s="14" t="inlineStr">
        <is>
          <t>pass</t>
        </is>
      </c>
      <c r="Z5" s="14" t="inlineStr">
        <is>
          <t>pass</t>
        </is>
      </c>
      <c r="AA5" s="14" t="inlineStr">
        <is>
          <t>pass</t>
        </is>
      </c>
      <c r="AB5" s="16" t="inlineStr">
        <is>
          <t>warn</t>
        </is>
      </c>
      <c r="AC5" s="14" t="inlineStr">
        <is>
          <t>pass</t>
        </is>
      </c>
      <c r="AD5" s="14" t="inlineStr">
        <is>
          <t>pass</t>
        </is>
      </c>
      <c r="AE5" s="14" t="inlineStr">
        <is>
          <t>pass</t>
        </is>
      </c>
      <c r="AF5" s="14" t="inlineStr">
        <is>
          <t>pass</t>
        </is>
      </c>
      <c r="AG5" s="14" t="inlineStr">
        <is>
          <t>pass</t>
        </is>
      </c>
      <c r="AH5" s="14" t="inlineStr">
        <is>
          <t>pass</t>
        </is>
      </c>
      <c r="AI5" s="15" t="inlineStr">
        <is>
          <t>n.a.</t>
        </is>
      </c>
      <c r="AJ5" s="15" t="inlineStr">
        <is>
          <t>n.a.</t>
        </is>
      </c>
      <c r="AK5" s="4" t="inlineStr">
        <is>
          <t>access_url;machine_metadata(warn);persistent_id(warn);cadence(warn)</t>
        </is>
      </c>
      <c r="AL5" s="17" t="inlineStr">
        <is>
          <t>https://ec.europa.eu/eurostat/web/gisco/geodata/administrative-units/postal-codes</t>
        </is>
      </c>
      <c r="AM5" s="4" t="inlineStr">
        <is>
          <t>eu_eurostat_gisco_postal_codes</t>
        </is>
      </c>
    </row>
    <row r="6">
      <c r="A6" s="4" t="inlineStr">
        <is>
          <t>National Walkability Index</t>
        </is>
      </c>
      <c r="B6" s="13" t="inlineStr">
        <is>
          <t>Gold</t>
        </is>
      </c>
      <c r="C6" s="4" t="n">
        <v>95</v>
      </c>
      <c r="D6" s="4" t="inlineStr">
        <is>
          <t>built_environment</t>
        </is>
      </c>
      <c r="E6" s="4" t="inlineStr">
        <is>
          <t>healthy</t>
        </is>
      </c>
      <c r="F6" s="4" t="inlineStr">
        <is>
          <t>open</t>
        </is>
      </c>
      <c r="G6" s="4" t="inlineStr">
        <is>
          <t>block_group</t>
        </is>
      </c>
      <c r="H6" s="4" t="inlineStr">
        <is>
          <t>Joins today</t>
        </is>
      </c>
      <c r="I6" s="4" t="n">
        <v>3</v>
      </c>
      <c r="J6" s="4" t="inlineStr"/>
      <c r="K6" s="4" t="inlineStr">
        <is>
          <t>Curated</t>
        </is>
      </c>
      <c r="L6" s="4" t="n">
        <v>2021</v>
      </c>
      <c r="M6" s="4" t="inlineStr">
        <is>
          <t>open</t>
        </is>
      </c>
      <c r="N6" s="4" t="inlineStr">
        <is>
          <t>2026-10-22</t>
        </is>
      </c>
      <c r="O6" s="14" t="inlineStr">
        <is>
          <t>pass</t>
        </is>
      </c>
      <c r="P6" s="14" t="inlineStr">
        <is>
          <t>pass</t>
        </is>
      </c>
      <c r="Q6" s="14" t="inlineStr">
        <is>
          <t>pass</t>
        </is>
      </c>
      <c r="R6" s="14" t="inlineStr">
        <is>
          <t>pass</t>
        </is>
      </c>
      <c r="S6" s="14" t="inlineStr">
        <is>
          <t>pass</t>
        </is>
      </c>
      <c r="T6" s="14" t="inlineStr">
        <is>
          <t>pass</t>
        </is>
      </c>
      <c r="U6" s="14" t="inlineStr">
        <is>
          <t>pass</t>
        </is>
      </c>
      <c r="V6" s="14" t="inlineStr">
        <is>
          <t>pass</t>
        </is>
      </c>
      <c r="W6" s="16" t="inlineStr">
        <is>
          <t>warn</t>
        </is>
      </c>
      <c r="X6" s="14" t="inlineStr">
        <is>
          <t>pass</t>
        </is>
      </c>
      <c r="Y6" s="14" t="inlineStr">
        <is>
          <t>pass</t>
        </is>
      </c>
      <c r="Z6" s="14" t="inlineStr">
        <is>
          <t>pass</t>
        </is>
      </c>
      <c r="AA6" s="14" t="inlineStr">
        <is>
          <t>pass</t>
        </is>
      </c>
      <c r="AB6" s="15" t="inlineStr">
        <is>
          <t>not_checked</t>
        </is>
      </c>
      <c r="AC6" s="16" t="inlineStr">
        <is>
          <t>warn</t>
        </is>
      </c>
      <c r="AD6" s="14" t="inlineStr">
        <is>
          <t>pass</t>
        </is>
      </c>
      <c r="AE6" s="14" t="inlineStr">
        <is>
          <t>pass</t>
        </is>
      </c>
      <c r="AF6" s="14" t="inlineStr">
        <is>
          <t>pass</t>
        </is>
      </c>
      <c r="AG6" s="16" t="inlineStr">
        <is>
          <t>warn</t>
        </is>
      </c>
      <c r="AH6" s="16" t="inlineStr">
        <is>
          <t>warn</t>
        </is>
      </c>
      <c r="AI6" s="15" t="inlineStr">
        <is>
          <t>n.a.</t>
        </is>
      </c>
      <c r="AJ6" s="15" t="inlineStr">
        <is>
          <t>n.a.</t>
        </is>
      </c>
      <c r="AK6" s="4" t="inlineStr">
        <is>
          <t>persistent_id(warn);version(warn);join_key(warn);format_gaia(warn)</t>
        </is>
      </c>
      <c r="AL6" s="17" t="inlineStr">
        <is>
          <t>https://catalog.data.gov/dataset/walkability-index</t>
        </is>
      </c>
      <c r="AM6" s="4" t="inlineStr">
        <is>
          <t>us_epa_national_walkability_index</t>
        </is>
      </c>
    </row>
    <row r="7">
      <c r="A7" s="4" t="inlineStr">
        <is>
          <t>European Settlement Map (ESM) 2015 R2019 (2 m / 10 m built-up)</t>
        </is>
      </c>
      <c r="B7" s="13" t="inlineStr">
        <is>
          <t>Gold</t>
        </is>
      </c>
      <c r="C7" s="4" t="n">
        <v>92</v>
      </c>
      <c r="D7" s="4" t="inlineStr">
        <is>
          <t>built_environment</t>
        </is>
      </c>
      <c r="E7" s="4" t="inlineStr">
        <is>
          <t>degraded</t>
        </is>
      </c>
      <c r="F7" s="4" t="inlineStr">
        <is>
          <t>attribution</t>
        </is>
      </c>
      <c r="G7" s="4" t="inlineStr">
        <is>
          <t>grid_2m</t>
        </is>
      </c>
      <c r="H7" s="4" t="inlineStr">
        <is>
          <t>Needs raster support</t>
        </is>
      </c>
      <c r="I7" s="4" t="n">
        <v>2</v>
      </c>
      <c r="J7" s="4" t="inlineStr"/>
      <c r="K7" s="4" t="inlineStr">
        <is>
          <t>Curated</t>
        </is>
      </c>
      <c r="L7" s="4" t="n">
        <v>2015</v>
      </c>
      <c r="M7" s="4" t="inlineStr">
        <is>
          <t>open</t>
        </is>
      </c>
      <c r="N7" s="4" t="inlineStr">
        <is>
          <t>2026-10-28</t>
        </is>
      </c>
      <c r="O7" s="14" t="inlineStr">
        <is>
          <t>pass</t>
        </is>
      </c>
      <c r="P7" s="14" t="inlineStr">
        <is>
          <t>pass</t>
        </is>
      </c>
      <c r="Q7" s="14" t="inlineStr">
        <is>
          <t>pass</t>
        </is>
      </c>
      <c r="R7" s="14" t="inlineStr">
        <is>
          <t>pass</t>
        </is>
      </c>
      <c r="S7" s="14" t="inlineStr">
        <is>
          <t>pass</t>
        </is>
      </c>
      <c r="T7" s="18" t="inlineStr">
        <is>
          <t>fail</t>
        </is>
      </c>
      <c r="U7" s="15" t="inlineStr">
        <is>
          <t>n.a.</t>
        </is>
      </c>
      <c r="V7" s="18" t="inlineStr">
        <is>
          <t>fail</t>
        </is>
      </c>
      <c r="W7" s="14" t="inlineStr">
        <is>
          <t>pass</t>
        </is>
      </c>
      <c r="X7" s="14" t="inlineStr">
        <is>
          <t>pass</t>
        </is>
      </c>
      <c r="Y7" s="14" t="inlineStr">
        <is>
          <t>pass</t>
        </is>
      </c>
      <c r="Z7" s="14" t="inlineStr">
        <is>
          <t>pass</t>
        </is>
      </c>
      <c r="AA7" s="16" t="inlineStr">
        <is>
          <t>warn</t>
        </is>
      </c>
      <c r="AB7" s="15" t="inlineStr">
        <is>
          <t>not_checked</t>
        </is>
      </c>
      <c r="AC7" s="14" t="inlineStr">
        <is>
          <t>pass</t>
        </is>
      </c>
      <c r="AD7" s="14" t="inlineStr">
        <is>
          <t>pass</t>
        </is>
      </c>
      <c r="AE7" s="16" t="inlineStr">
        <is>
          <t>warn</t>
        </is>
      </c>
      <c r="AF7" s="14" t="inlineStr">
        <is>
          <t>pass</t>
        </is>
      </c>
      <c r="AG7" s="14" t="inlineStr">
        <is>
          <t>pass</t>
        </is>
      </c>
      <c r="AH7" s="15" t="inlineStr">
        <is>
          <t>not_checked</t>
        </is>
      </c>
      <c r="AI7" s="15" t="inlineStr">
        <is>
          <t>n.a.</t>
        </is>
      </c>
      <c r="AJ7" s="15" t="inlineStr">
        <is>
          <t>n.a.</t>
        </is>
      </c>
      <c r="AK7" s="4" t="inlineStr">
        <is>
          <t>access_url;machine_metadata;recency(warn);coverage(warn)</t>
        </is>
      </c>
      <c r="AL7" s="17" t="inlineStr">
        <is>
          <t>https://human-settlement.emergency.copernicus.eu/datasets.php</t>
        </is>
      </c>
      <c r="AM7" s="4" t="inlineStr">
        <is>
          <t>eu_jrc_european_settlement_map</t>
        </is>
      </c>
    </row>
    <row r="8">
      <c r="A8" s="4" t="inlineStr">
        <is>
          <t>Florida Managed Areas (FLMA) / state and national parks (FNAI GIS data)</t>
        </is>
      </c>
      <c r="B8" s="13" t="inlineStr">
        <is>
          <t>Gold</t>
        </is>
      </c>
      <c r="C8" s="4" t="n">
        <v>95</v>
      </c>
      <c r="D8" s="4" t="inlineStr">
        <is>
          <t>built_environment</t>
        </is>
      </c>
      <c r="E8" s="4" t="inlineStr">
        <is>
          <t>degraded</t>
        </is>
      </c>
      <c r="F8" s="4" t="inlineStr">
        <is>
          <t>attribution</t>
        </is>
      </c>
      <c r="G8" s="4" t="inlineStr">
        <is>
          <t>polygon</t>
        </is>
      </c>
      <c r="H8" s="4" t="inlineStr">
        <is>
          <t>Joins today</t>
        </is>
      </c>
      <c r="I8" s="4" t="n">
        <v>2</v>
      </c>
      <c r="J8" s="4" t="inlineStr">
        <is>
          <t>fl_2026_flma;mdc_2026_flma</t>
        </is>
      </c>
      <c r="K8" s="4" t="inlineStr">
        <is>
          <t>Curated</t>
        </is>
      </c>
      <c r="L8" s="4" t="n">
        <v>2026</v>
      </c>
      <c r="M8" s="4" t="inlineStr">
        <is>
          <t>open</t>
        </is>
      </c>
      <c r="N8" s="4" t="inlineStr">
        <is>
          <t>2026-10-22</t>
        </is>
      </c>
      <c r="O8" s="14" t="inlineStr">
        <is>
          <t>pass</t>
        </is>
      </c>
      <c r="P8" s="14" t="inlineStr">
        <is>
          <t>pass</t>
        </is>
      </c>
      <c r="Q8" s="14" t="inlineStr">
        <is>
          <t>pass</t>
        </is>
      </c>
      <c r="R8" s="14" t="inlineStr">
        <is>
          <t>pass</t>
        </is>
      </c>
      <c r="S8" s="14" t="inlineStr">
        <is>
          <t>pass</t>
        </is>
      </c>
      <c r="T8" s="15" t="inlineStr">
        <is>
          <t>n.a.</t>
        </is>
      </c>
      <c r="U8" s="15" t="inlineStr">
        <is>
          <t>n.a.</t>
        </is>
      </c>
      <c r="V8" s="18" t="inlineStr">
        <is>
          <t>fail</t>
        </is>
      </c>
      <c r="W8" s="16" t="inlineStr">
        <is>
          <t>warn</t>
        </is>
      </c>
      <c r="X8" s="14" t="inlineStr">
        <is>
          <t>pass</t>
        </is>
      </c>
      <c r="Y8" s="14" t="inlineStr">
        <is>
          <t>pass</t>
        </is>
      </c>
      <c r="Z8" s="14" t="inlineStr">
        <is>
          <t>pass</t>
        </is>
      </c>
      <c r="AA8" s="14" t="inlineStr">
        <is>
          <t>pass</t>
        </is>
      </c>
      <c r="AB8" s="14" t="inlineStr">
        <is>
          <t>pass</t>
        </is>
      </c>
      <c r="AC8" s="14" t="inlineStr">
        <is>
          <t>pass</t>
        </is>
      </c>
      <c r="AD8" s="14" t="inlineStr">
        <is>
          <t>pass</t>
        </is>
      </c>
      <c r="AE8" s="14" t="inlineStr">
        <is>
          <t>pass</t>
        </is>
      </c>
      <c r="AF8" s="14" t="inlineStr">
        <is>
          <t>pass</t>
        </is>
      </c>
      <c r="AG8" s="14" t="inlineStr">
        <is>
          <t>pass</t>
        </is>
      </c>
      <c r="AH8" s="14" t="inlineStr">
        <is>
          <t>pass</t>
        </is>
      </c>
      <c r="AI8" s="14" t="inlineStr">
        <is>
          <t>pass</t>
        </is>
      </c>
      <c r="AJ8" s="15" t="inlineStr">
        <is>
          <t>not_checked</t>
        </is>
      </c>
      <c r="AK8" s="4" t="inlineStr">
        <is>
          <t>machine_metadata;persistent_id(warn)</t>
        </is>
      </c>
      <c r="AL8" s="17" t="inlineStr">
        <is>
          <t>https://www.fnai.org/publications/gis-data</t>
        </is>
      </c>
      <c r="AM8" s="4" t="inlineStr">
        <is>
          <t>us_fnai_florida_managed_areas</t>
        </is>
      </c>
    </row>
    <row r="9">
      <c r="A9" s="4" t="inlineStr">
        <is>
          <t>GHSL GHS-BUILT-S built-up surface grid (R2023A); related GHS-BUILT-V volume, GHS-BUILT-H height, GHS-BUILT-C characteristics, GHS-AGE</t>
        </is>
      </c>
      <c r="B9" s="13" t="inlineStr">
        <is>
          <t>Gold</t>
        </is>
      </c>
      <c r="C9" s="4" t="n">
        <v>95</v>
      </c>
      <c r="D9" s="4" t="inlineStr">
        <is>
          <t>built_environment</t>
        </is>
      </c>
      <c r="E9" s="4" t="inlineStr">
        <is>
          <t>degraded</t>
        </is>
      </c>
      <c r="F9" s="4" t="inlineStr">
        <is>
          <t>open</t>
        </is>
      </c>
      <c r="G9" s="4" t="inlineStr">
        <is>
          <t>grid_10m</t>
        </is>
      </c>
      <c r="H9" s="4" t="inlineStr">
        <is>
          <t>Needs raster support</t>
        </is>
      </c>
      <c r="I9" s="4" t="n">
        <v>2</v>
      </c>
      <c r="J9" s="4" t="inlineStr"/>
      <c r="K9" s="4" t="inlineStr">
        <is>
          <t>Curated</t>
        </is>
      </c>
      <c r="L9" s="4" t="n">
        <v>2030</v>
      </c>
      <c r="M9" s="4" t="inlineStr">
        <is>
          <t>open</t>
        </is>
      </c>
      <c r="N9" s="4" t="inlineStr">
        <is>
          <t>2026-10-28</t>
        </is>
      </c>
      <c r="O9" s="14" t="inlineStr">
        <is>
          <t>pass</t>
        </is>
      </c>
      <c r="P9" s="14" t="inlineStr">
        <is>
          <t>pass</t>
        </is>
      </c>
      <c r="Q9" s="14" t="inlineStr">
        <is>
          <t>pass</t>
        </is>
      </c>
      <c r="R9" s="14" t="inlineStr">
        <is>
          <t>pass</t>
        </is>
      </c>
      <c r="S9" s="14" t="inlineStr">
        <is>
          <t>pass</t>
        </is>
      </c>
      <c r="T9" s="14" t="inlineStr">
        <is>
          <t>pass</t>
        </is>
      </c>
      <c r="U9" s="16" t="inlineStr">
        <is>
          <t>warn</t>
        </is>
      </c>
      <c r="V9" s="18" t="inlineStr">
        <is>
          <t>fail</t>
        </is>
      </c>
      <c r="W9" s="14" t="inlineStr">
        <is>
          <t>pass</t>
        </is>
      </c>
      <c r="X9" s="14" t="inlineStr">
        <is>
          <t>pass</t>
        </is>
      </c>
      <c r="Y9" s="14" t="inlineStr">
        <is>
          <t>pass</t>
        </is>
      </c>
      <c r="Z9" s="14" t="inlineStr">
        <is>
          <t>pass</t>
        </is>
      </c>
      <c r="AA9" s="14" t="inlineStr">
        <is>
          <t>pass</t>
        </is>
      </c>
      <c r="AB9" s="16" t="inlineStr">
        <is>
          <t>warn</t>
        </is>
      </c>
      <c r="AC9" s="14" t="inlineStr">
        <is>
          <t>pass</t>
        </is>
      </c>
      <c r="AD9" s="14" t="inlineStr">
        <is>
          <t>pass</t>
        </is>
      </c>
      <c r="AE9" s="14" t="inlineStr">
        <is>
          <t>pass</t>
        </is>
      </c>
      <c r="AF9" s="14" t="inlineStr">
        <is>
          <t>pass</t>
        </is>
      </c>
      <c r="AG9" s="14" t="inlineStr">
        <is>
          <t>pass</t>
        </is>
      </c>
      <c r="AH9" s="15" t="inlineStr">
        <is>
          <t>not_checked</t>
        </is>
      </c>
      <c r="AI9" s="15" t="inlineStr">
        <is>
          <t>n.a.</t>
        </is>
      </c>
      <c r="AJ9" s="15" t="inlineStr">
        <is>
          <t>n.a.</t>
        </is>
      </c>
      <c r="AK9" s="4" t="inlineStr">
        <is>
          <t>machine_metadata;format_match(warn);cadence(warn)</t>
        </is>
      </c>
      <c r="AL9" s="17" t="inlineStr">
        <is>
          <t>https://human-settlement.emergency.copernicus.eu/datasets.php</t>
        </is>
      </c>
      <c r="AM9" s="4" t="inlineStr">
        <is>
          <t>global_jrc_ghsl_ghs_built_s</t>
        </is>
      </c>
    </row>
    <row r="10">
      <c r="A10" s="4" t="inlineStr">
        <is>
          <t>GHSL GHS-DUC Degree of Urbanisation Classification of administrative units (GADM 4.1), R2023A; GHS-WUP-DUC R2025A</t>
        </is>
      </c>
      <c r="B10" s="13" t="inlineStr">
        <is>
          <t>Gold</t>
        </is>
      </c>
      <c r="C10" s="4" t="n">
        <v>91</v>
      </c>
      <c r="D10" s="4" t="inlineStr">
        <is>
          <t>built_environment</t>
        </is>
      </c>
      <c r="E10" s="4" t="inlineStr">
        <is>
          <t>degraded</t>
        </is>
      </c>
      <c r="F10" s="4" t="inlineStr">
        <is>
          <t>open</t>
        </is>
      </c>
      <c r="G10" s="4" t="inlineStr">
        <is>
          <t>GADM 4.1 administrative units, levels 0-5 (GHS-DUC); grid_1km (GHS-WUP-DUC)</t>
        </is>
      </c>
      <c r="H10" s="4" t="inlineStr">
        <is>
          <t>Needs raster support</t>
        </is>
      </c>
      <c r="I10" s="4" t="n">
        <v>2</v>
      </c>
      <c r="J10" s="4" t="inlineStr"/>
      <c r="K10" s="4" t="inlineStr">
        <is>
          <t>Curated</t>
        </is>
      </c>
      <c r="L10" s="4" t="n">
        <v>2030</v>
      </c>
      <c r="M10" s="4" t="inlineStr">
        <is>
          <t>open</t>
        </is>
      </c>
      <c r="N10" s="4" t="inlineStr">
        <is>
          <t>2026-10-28</t>
        </is>
      </c>
      <c r="O10" s="14" t="inlineStr">
        <is>
          <t>pass</t>
        </is>
      </c>
      <c r="P10" s="14" t="inlineStr">
        <is>
          <t>pass</t>
        </is>
      </c>
      <c r="Q10" s="14" t="inlineStr">
        <is>
          <t>pass</t>
        </is>
      </c>
      <c r="R10" s="14" t="inlineStr">
        <is>
          <t>pass</t>
        </is>
      </c>
      <c r="S10" s="14" t="inlineStr">
        <is>
          <t>pass</t>
        </is>
      </c>
      <c r="T10" s="14" t="inlineStr">
        <is>
          <t>pass</t>
        </is>
      </c>
      <c r="U10" s="16" t="inlineStr">
        <is>
          <t>warn</t>
        </is>
      </c>
      <c r="V10" s="18" t="inlineStr">
        <is>
          <t>fail</t>
        </is>
      </c>
      <c r="W10" s="14" t="inlineStr">
        <is>
          <t>pass</t>
        </is>
      </c>
      <c r="X10" s="14" t="inlineStr">
        <is>
          <t>pass</t>
        </is>
      </c>
      <c r="Y10" s="14" t="inlineStr">
        <is>
          <t>pass</t>
        </is>
      </c>
      <c r="Z10" s="14" t="inlineStr">
        <is>
          <t>pass</t>
        </is>
      </c>
      <c r="AA10" s="14" t="inlineStr">
        <is>
          <t>pass</t>
        </is>
      </c>
      <c r="AB10" s="16" t="inlineStr">
        <is>
          <t>warn</t>
        </is>
      </c>
      <c r="AC10" s="14" t="inlineStr">
        <is>
          <t>pass</t>
        </is>
      </c>
      <c r="AD10" s="14" t="inlineStr">
        <is>
          <t>pass</t>
        </is>
      </c>
      <c r="AE10" s="14" t="inlineStr">
        <is>
          <t>pass</t>
        </is>
      </c>
      <c r="AF10" s="14" t="inlineStr">
        <is>
          <t>pass</t>
        </is>
      </c>
      <c r="AG10" s="16" t="inlineStr">
        <is>
          <t>warn</t>
        </is>
      </c>
      <c r="AH10" s="15" t="inlineStr">
        <is>
          <t>not_checked</t>
        </is>
      </c>
      <c r="AI10" s="15" t="inlineStr">
        <is>
          <t>n.a.</t>
        </is>
      </c>
      <c r="AJ10" s="15" t="inlineStr">
        <is>
          <t>n.a.</t>
        </is>
      </c>
      <c r="AK10" s="4" t="inlineStr">
        <is>
          <t>machine_metadata;format_match(warn);cadence(warn);join_key(warn)</t>
        </is>
      </c>
      <c r="AL10" s="17" t="inlineStr">
        <is>
          <t>https://human-settlement.emergency.copernicus.eu/datasets.php</t>
        </is>
      </c>
      <c r="AM10" s="4" t="inlineStr">
        <is>
          <t>global_jrc_ghsl_ghs_duc</t>
        </is>
      </c>
    </row>
    <row r="11">
      <c r="A11" s="4" t="inlineStr">
        <is>
          <t>GHSL GHS-SMOD Degree of Urbanisation settlement model grid (R2023A) and GHS-WUP-DEGURBA (R2025A)</t>
        </is>
      </c>
      <c r="B11" s="13" t="inlineStr">
        <is>
          <t>Gold</t>
        </is>
      </c>
      <c r="C11" s="4" t="n">
        <v>95</v>
      </c>
      <c r="D11" s="4" t="inlineStr">
        <is>
          <t>built_environment</t>
        </is>
      </c>
      <c r="E11" s="4" t="inlineStr">
        <is>
          <t>degraded</t>
        </is>
      </c>
      <c r="F11" s="4" t="inlineStr">
        <is>
          <t>open</t>
        </is>
      </c>
      <c r="G11" s="4" t="inlineStr">
        <is>
          <t>grid_1km</t>
        </is>
      </c>
      <c r="H11" s="4" t="inlineStr">
        <is>
          <t>Needs raster support</t>
        </is>
      </c>
      <c r="I11" s="4" t="n">
        <v>2</v>
      </c>
      <c r="J11" s="4" t="inlineStr"/>
      <c r="K11" s="4" t="inlineStr">
        <is>
          <t>Curated</t>
        </is>
      </c>
      <c r="L11" s="4" t="n">
        <v>2030</v>
      </c>
      <c r="M11" s="4" t="inlineStr">
        <is>
          <t>open</t>
        </is>
      </c>
      <c r="N11" s="4" t="inlineStr">
        <is>
          <t>2026-10-28</t>
        </is>
      </c>
      <c r="O11" s="14" t="inlineStr">
        <is>
          <t>pass</t>
        </is>
      </c>
      <c r="P11" s="14" t="inlineStr">
        <is>
          <t>pass</t>
        </is>
      </c>
      <c r="Q11" s="14" t="inlineStr">
        <is>
          <t>pass</t>
        </is>
      </c>
      <c r="R11" s="14" t="inlineStr">
        <is>
          <t>pass</t>
        </is>
      </c>
      <c r="S11" s="14" t="inlineStr">
        <is>
          <t>pass</t>
        </is>
      </c>
      <c r="T11" s="14" t="inlineStr">
        <is>
          <t>pass</t>
        </is>
      </c>
      <c r="U11" s="16" t="inlineStr">
        <is>
          <t>warn</t>
        </is>
      </c>
      <c r="V11" s="18" t="inlineStr">
        <is>
          <t>fail</t>
        </is>
      </c>
      <c r="W11" s="14" t="inlineStr">
        <is>
          <t>pass</t>
        </is>
      </c>
      <c r="X11" s="14" t="inlineStr">
        <is>
          <t>pass</t>
        </is>
      </c>
      <c r="Y11" s="14" t="inlineStr">
        <is>
          <t>pass</t>
        </is>
      </c>
      <c r="Z11" s="14" t="inlineStr">
        <is>
          <t>pass</t>
        </is>
      </c>
      <c r="AA11" s="14" t="inlineStr">
        <is>
          <t>pass</t>
        </is>
      </c>
      <c r="AB11" s="16" t="inlineStr">
        <is>
          <t>warn</t>
        </is>
      </c>
      <c r="AC11" s="14" t="inlineStr">
        <is>
          <t>pass</t>
        </is>
      </c>
      <c r="AD11" s="14" t="inlineStr">
        <is>
          <t>pass</t>
        </is>
      </c>
      <c r="AE11" s="14" t="inlineStr">
        <is>
          <t>pass</t>
        </is>
      </c>
      <c r="AF11" s="14" t="inlineStr">
        <is>
          <t>pass</t>
        </is>
      </c>
      <c r="AG11" s="14" t="inlineStr">
        <is>
          <t>pass</t>
        </is>
      </c>
      <c r="AH11" s="15" t="inlineStr">
        <is>
          <t>not_checked</t>
        </is>
      </c>
      <c r="AI11" s="15" t="inlineStr">
        <is>
          <t>n.a.</t>
        </is>
      </c>
      <c r="AJ11" s="15" t="inlineStr">
        <is>
          <t>n.a.</t>
        </is>
      </c>
      <c r="AK11" s="4" t="inlineStr">
        <is>
          <t>machine_metadata;format_match(warn);cadence(warn)</t>
        </is>
      </c>
      <c r="AL11" s="17" t="inlineStr">
        <is>
          <t>https://human-settlement.emergency.copernicus.eu/datasets.php</t>
        </is>
      </c>
      <c r="AM11" s="4" t="inlineStr">
        <is>
          <t>global_jrc_ghsl_ghs_smod</t>
        </is>
      </c>
    </row>
    <row r="12">
      <c r="A12" s="4" t="inlineStr">
        <is>
          <t>Microsoft GlobalMLBuildingFootprints: worldwide building footprints derived from satellite imagery (with height estimates)</t>
        </is>
      </c>
      <c r="B12" s="13" t="inlineStr">
        <is>
          <t>Gold</t>
        </is>
      </c>
      <c r="C12" s="4" t="n">
        <v>98</v>
      </c>
      <c r="D12" s="4" t="inlineStr">
        <is>
          <t>built_environment</t>
        </is>
      </c>
      <c r="E12" s="4" t="inlineStr">
        <is>
          <t>degraded</t>
        </is>
      </c>
      <c r="F12" s="4" t="inlineStr">
        <is>
          <t>open</t>
        </is>
      </c>
      <c r="G12" s="4" t="inlineStr">
        <is>
          <t>polygon</t>
        </is>
      </c>
      <c r="H12" s="4" t="inlineStr">
        <is>
          <t>Joins today</t>
        </is>
      </c>
      <c r="I12" s="4" t="n">
        <v>2</v>
      </c>
      <c r="J12" s="4" t="inlineStr"/>
      <c r="K12" s="4" t="inlineStr">
        <is>
          <t>Curated</t>
        </is>
      </c>
      <c r="L12" s="4" t="n">
        <v>2026</v>
      </c>
      <c r="M12" s="4" t="inlineStr">
        <is>
          <t>open</t>
        </is>
      </c>
      <c r="N12" s="4" t="inlineStr">
        <is>
          <t>2026-10-22</t>
        </is>
      </c>
      <c r="O12" s="14" t="inlineStr">
        <is>
          <t>pass</t>
        </is>
      </c>
      <c r="P12" s="14" t="inlineStr">
        <is>
          <t>pass</t>
        </is>
      </c>
      <c r="Q12" s="14" t="inlineStr">
        <is>
          <t>pass</t>
        </is>
      </c>
      <c r="R12" s="14" t="inlineStr">
        <is>
          <t>pass</t>
        </is>
      </c>
      <c r="S12" s="14" t="inlineStr">
        <is>
          <t>pass</t>
        </is>
      </c>
      <c r="T12" s="18" t="inlineStr">
        <is>
          <t>fail</t>
        </is>
      </c>
      <c r="U12" s="15" t="inlineStr">
        <is>
          <t>n.a.</t>
        </is>
      </c>
      <c r="V12" s="16" t="inlineStr">
        <is>
          <t>warn</t>
        </is>
      </c>
      <c r="W12" s="16" t="inlineStr">
        <is>
          <t>warn</t>
        </is>
      </c>
      <c r="X12" s="14" t="inlineStr">
        <is>
          <t>pass</t>
        </is>
      </c>
      <c r="Y12" s="14" t="inlineStr">
        <is>
          <t>pass</t>
        </is>
      </c>
      <c r="Z12" s="14" t="inlineStr">
        <is>
          <t>pass</t>
        </is>
      </c>
      <c r="AA12" s="14" t="inlineStr">
        <is>
          <t>pass</t>
        </is>
      </c>
      <c r="AB12" s="16" t="inlineStr">
        <is>
          <t>warn</t>
        </is>
      </c>
      <c r="AC12" s="16" t="inlineStr">
        <is>
          <t>warn</t>
        </is>
      </c>
      <c r="AD12" s="14" t="inlineStr">
        <is>
          <t>pass</t>
        </is>
      </c>
      <c r="AE12" s="14" t="inlineStr">
        <is>
          <t>pass</t>
        </is>
      </c>
      <c r="AF12" s="14" t="inlineStr">
        <is>
          <t>pass</t>
        </is>
      </c>
      <c r="AG12" s="14" t="inlineStr">
        <is>
          <t>pass</t>
        </is>
      </c>
      <c r="AH12" s="14" t="inlineStr">
        <is>
          <t>pass</t>
        </is>
      </c>
      <c r="AI12" s="15" t="inlineStr">
        <is>
          <t>n.a.</t>
        </is>
      </c>
      <c r="AJ12" s="15" t="inlineStr">
        <is>
          <t>n.a.</t>
        </is>
      </c>
      <c r="AK12" s="4" t="inlineStr">
        <is>
          <t>access_url;machine_metadata(warn);persistent_id(warn);cadence(warn);version(warn)</t>
        </is>
      </c>
      <c r="AL12" s="17" t="inlineStr">
        <is>
          <t>https://github.com/microsoft/GlobalMLBuildingFootprints</t>
        </is>
      </c>
      <c r="AM12" s="4" t="inlineStr">
        <is>
          <t>global_microsoft_building_footprints</t>
        </is>
      </c>
    </row>
    <row r="13">
      <c r="A13" s="4" t="inlineStr">
        <is>
          <t>Open Buildings</t>
        </is>
      </c>
      <c r="B13" s="13" t="inlineStr">
        <is>
          <t>Gold</t>
        </is>
      </c>
      <c r="C13" s="4" t="n">
        <v>98</v>
      </c>
      <c r="D13" s="4" t="inlineStr">
        <is>
          <t>built_environment</t>
        </is>
      </c>
      <c r="E13" s="4" t="inlineStr">
        <is>
          <t>healthy</t>
        </is>
      </c>
      <c r="F13" s="4" t="inlineStr">
        <is>
          <t>open</t>
        </is>
      </c>
      <c r="G13" s="4" t="inlineStr">
        <is>
          <t>polygon (v3 footprints); grid_4m effective resolution, rasters provided at 50 cm (Temporal)</t>
        </is>
      </c>
      <c r="H13" s="4" t="inlineStr">
        <is>
          <t>Needs raster support</t>
        </is>
      </c>
      <c r="I13" s="4" t="n">
        <v>2</v>
      </c>
      <c r="J13" s="4" t="inlineStr"/>
      <c r="K13" s="4" t="inlineStr">
        <is>
          <t>Curated</t>
        </is>
      </c>
      <c r="L13" s="4" t="n">
        <v>2023</v>
      </c>
      <c r="M13" s="4" t="inlineStr">
        <is>
          <t>open</t>
        </is>
      </c>
      <c r="N13" s="4" t="inlineStr">
        <is>
          <t>2026-10-28</t>
        </is>
      </c>
      <c r="O13" s="14" t="inlineStr">
        <is>
          <t>pass</t>
        </is>
      </c>
      <c r="P13" s="14" t="inlineStr">
        <is>
          <t>pass</t>
        </is>
      </c>
      <c r="Q13" s="14" t="inlineStr">
        <is>
          <t>pass</t>
        </is>
      </c>
      <c r="R13" s="14" t="inlineStr">
        <is>
          <t>pass</t>
        </is>
      </c>
      <c r="S13" s="14" t="inlineStr">
        <is>
          <t>pass</t>
        </is>
      </c>
      <c r="T13" s="14" t="inlineStr">
        <is>
          <t>pass</t>
        </is>
      </c>
      <c r="U13" s="16" t="inlineStr">
        <is>
          <t>warn</t>
        </is>
      </c>
      <c r="V13" s="16" t="inlineStr">
        <is>
          <t>warn</t>
        </is>
      </c>
      <c r="W13" s="16" t="inlineStr">
        <is>
          <t>warn</t>
        </is>
      </c>
      <c r="X13" s="14" t="inlineStr">
        <is>
          <t>pass</t>
        </is>
      </c>
      <c r="Y13" s="14" t="inlineStr">
        <is>
          <t>pass</t>
        </is>
      </c>
      <c r="Z13" s="14" t="inlineStr">
        <is>
          <t>pass</t>
        </is>
      </c>
      <c r="AA13" s="14" t="inlineStr">
        <is>
          <t>pass</t>
        </is>
      </c>
      <c r="AB13" s="16" t="inlineStr">
        <is>
          <t>warn</t>
        </is>
      </c>
      <c r="AC13" s="14" t="inlineStr">
        <is>
          <t>pass</t>
        </is>
      </c>
      <c r="AD13" s="14" t="inlineStr">
        <is>
          <t>pass</t>
        </is>
      </c>
      <c r="AE13" s="14" t="inlineStr">
        <is>
          <t>pass</t>
        </is>
      </c>
      <c r="AF13" s="14" t="inlineStr">
        <is>
          <t>pass</t>
        </is>
      </c>
      <c r="AG13" s="14" t="inlineStr">
        <is>
          <t>pass</t>
        </is>
      </c>
      <c r="AH13" s="14" t="inlineStr">
        <is>
          <t>pass</t>
        </is>
      </c>
      <c r="AI13" s="15" t="inlineStr">
        <is>
          <t>n.a.</t>
        </is>
      </c>
      <c r="AJ13" s="15" t="inlineStr">
        <is>
          <t>n.a.</t>
        </is>
      </c>
      <c r="AK13" s="4" t="inlineStr">
        <is>
          <t>format_match(warn);machine_metadata(warn);persistent_id(warn);cadence(warn)</t>
        </is>
      </c>
      <c r="AL13" s="17" t="inlineStr">
        <is>
          <t>https://sites.research.google/gr/open-buildings/</t>
        </is>
      </c>
      <c r="AM13" s="4" t="inlineStr">
        <is>
          <t>global_google_open_buildings</t>
        </is>
      </c>
    </row>
    <row r="14">
      <c r="A14" s="4" t="inlineStr">
        <is>
          <t>World Settlement Footprint (WSF) 2019; related WSF 2015, WSF Evolution (1985-2015), WSF 3D</t>
        </is>
      </c>
      <c r="B14" s="13" t="inlineStr">
        <is>
          <t>Gold</t>
        </is>
      </c>
      <c r="C14" s="4" t="n">
        <v>92</v>
      </c>
      <c r="D14" s="4" t="inlineStr">
        <is>
          <t>built_environment</t>
        </is>
      </c>
      <c r="E14" s="4" t="inlineStr">
        <is>
          <t>degraded</t>
        </is>
      </c>
      <c r="F14" s="4" t="inlineStr">
        <is>
          <t>open</t>
        </is>
      </c>
      <c r="G14" s="4" t="inlineStr">
        <is>
          <t>grid_10m</t>
        </is>
      </c>
      <c r="H14" s="4" t="inlineStr">
        <is>
          <t>Needs raster support</t>
        </is>
      </c>
      <c r="I14" s="4" t="n">
        <v>2</v>
      </c>
      <c r="J14" s="4" t="inlineStr"/>
      <c r="K14" s="4" t="inlineStr">
        <is>
          <t>Curated</t>
        </is>
      </c>
      <c r="L14" s="4" t="n">
        <v>2019</v>
      </c>
      <c r="M14" s="4" t="inlineStr">
        <is>
          <t>open</t>
        </is>
      </c>
      <c r="N14" s="4" t="inlineStr">
        <is>
          <t>2026-10-28</t>
        </is>
      </c>
      <c r="O14" s="14" t="inlineStr">
        <is>
          <t>pass</t>
        </is>
      </c>
      <c r="P14" s="14" t="inlineStr">
        <is>
          <t>pass</t>
        </is>
      </c>
      <c r="Q14" s="14" t="inlineStr">
        <is>
          <t>pass</t>
        </is>
      </c>
      <c r="R14" s="14" t="inlineStr">
        <is>
          <t>pass</t>
        </is>
      </c>
      <c r="S14" s="14" t="inlineStr">
        <is>
          <t>pass</t>
        </is>
      </c>
      <c r="T14" s="18" t="inlineStr">
        <is>
          <t>fail</t>
        </is>
      </c>
      <c r="U14" s="15" t="inlineStr">
        <is>
          <t>n.a.</t>
        </is>
      </c>
      <c r="V14" s="18" t="inlineStr">
        <is>
          <t>fail</t>
        </is>
      </c>
      <c r="W14" s="14" t="inlineStr">
        <is>
          <t>pass</t>
        </is>
      </c>
      <c r="X14" s="14" t="inlineStr">
        <is>
          <t>pass</t>
        </is>
      </c>
      <c r="Y14" s="14" t="inlineStr">
        <is>
          <t>pass</t>
        </is>
      </c>
      <c r="Z14" s="14" t="inlineStr">
        <is>
          <t>pass</t>
        </is>
      </c>
      <c r="AA14" s="16" t="inlineStr">
        <is>
          <t>warn</t>
        </is>
      </c>
      <c r="AB14" s="15" t="inlineStr">
        <is>
          <t>not_checked</t>
        </is>
      </c>
      <c r="AC14" s="16" t="inlineStr">
        <is>
          <t>warn</t>
        </is>
      </c>
      <c r="AD14" s="14" t="inlineStr">
        <is>
          <t>pass</t>
        </is>
      </c>
      <c r="AE14" s="14" t="inlineStr">
        <is>
          <t>pass</t>
        </is>
      </c>
      <c r="AF14" s="14" t="inlineStr">
        <is>
          <t>pass</t>
        </is>
      </c>
      <c r="AG14" s="14" t="inlineStr">
        <is>
          <t>pass</t>
        </is>
      </c>
      <c r="AH14" s="14" t="inlineStr">
        <is>
          <t>pass</t>
        </is>
      </c>
      <c r="AI14" s="15" t="inlineStr">
        <is>
          <t>n.a.</t>
        </is>
      </c>
      <c r="AJ14" s="15" t="inlineStr">
        <is>
          <t>n.a.</t>
        </is>
      </c>
      <c r="AK14" s="4" t="inlineStr">
        <is>
          <t>access_url;machine_metadata;recency(warn);version(warn)</t>
        </is>
      </c>
      <c r="AL14" s="17" t="inlineStr">
        <is>
          <t>https://geoservice.dlr.de/web/datasets/wsf_2019</t>
        </is>
      </c>
      <c r="AM14" s="4" t="inlineStr">
        <is>
          <t>global_dlr_wsf_2019</t>
        </is>
      </c>
    </row>
    <row r="15">
      <c r="A15" s="4" t="inlineStr">
        <is>
          <t>gridMET (METDATA)</t>
        </is>
      </c>
      <c r="B15" s="13" t="inlineStr">
        <is>
          <t>Gold</t>
        </is>
      </c>
      <c r="C15" s="4" t="n">
        <v>98</v>
      </c>
      <c r="D15" s="4" t="inlineStr">
        <is>
          <t>climate_hazard</t>
        </is>
      </c>
      <c r="E15" s="4" t="inlineStr">
        <is>
          <t>healthy</t>
        </is>
      </c>
      <c r="F15" s="4" t="inlineStr">
        <is>
          <t>open</t>
        </is>
      </c>
      <c r="G15" s="4" t="inlineStr">
        <is>
          <t>grid_4km</t>
        </is>
      </c>
      <c r="H15" s="4" t="inlineStr">
        <is>
          <t>Needs raster support</t>
        </is>
      </c>
      <c r="I15" s="4" t="n">
        <v>3</v>
      </c>
      <c r="J15" s="4" t="inlineStr"/>
      <c r="K15" s="4" t="inlineStr">
        <is>
          <t>Curated</t>
        </is>
      </c>
      <c r="L15" s="4" t="n">
        <v>2026</v>
      </c>
      <c r="M15" s="4" t="inlineStr">
        <is>
          <t>open</t>
        </is>
      </c>
      <c r="N15" s="4" t="inlineStr">
        <is>
          <t>2026-10-22</t>
        </is>
      </c>
      <c r="O15" s="14" t="inlineStr">
        <is>
          <t>pass</t>
        </is>
      </c>
      <c r="P15" s="14" t="inlineStr">
        <is>
          <t>pass</t>
        </is>
      </c>
      <c r="Q15" s="14" t="inlineStr">
        <is>
          <t>pass</t>
        </is>
      </c>
      <c r="R15" s="14" t="inlineStr">
        <is>
          <t>pass</t>
        </is>
      </c>
      <c r="S15" s="14" t="inlineStr">
        <is>
          <t>pass</t>
        </is>
      </c>
      <c r="T15" s="14" t="inlineStr">
        <is>
          <t>pass</t>
        </is>
      </c>
      <c r="U15" s="16" t="inlineStr">
        <is>
          <t>warn</t>
        </is>
      </c>
      <c r="V15" s="16" t="inlineStr">
        <is>
          <t>warn</t>
        </is>
      </c>
      <c r="W15" s="16" t="inlineStr">
        <is>
          <t>warn</t>
        </is>
      </c>
      <c r="X15" s="14" t="inlineStr">
        <is>
          <t>pass</t>
        </is>
      </c>
      <c r="Y15" s="14" t="inlineStr">
        <is>
          <t>pass</t>
        </is>
      </c>
      <c r="Z15" s="14" t="inlineStr">
        <is>
          <t>pass</t>
        </is>
      </c>
      <c r="AA15" s="14" t="inlineStr">
        <is>
          <t>pass</t>
        </is>
      </c>
      <c r="AB15" s="14" t="inlineStr">
        <is>
          <t>pass</t>
        </is>
      </c>
      <c r="AC15" s="16" t="inlineStr">
        <is>
          <t>warn</t>
        </is>
      </c>
      <c r="AD15" s="14" t="inlineStr">
        <is>
          <t>pass</t>
        </is>
      </c>
      <c r="AE15" s="14" t="inlineStr">
        <is>
          <t>pass</t>
        </is>
      </c>
      <c r="AF15" s="14" t="inlineStr">
        <is>
          <t>pass</t>
        </is>
      </c>
      <c r="AG15" s="14" t="inlineStr">
        <is>
          <t>pass</t>
        </is>
      </c>
      <c r="AH15" s="14" t="inlineStr">
        <is>
          <t>pass</t>
        </is>
      </c>
      <c r="AI15" s="15" t="inlineStr">
        <is>
          <t>n.a.</t>
        </is>
      </c>
      <c r="AJ15" s="15" t="inlineStr">
        <is>
          <t>n.a.</t>
        </is>
      </c>
      <c r="AK15" s="4" t="inlineStr">
        <is>
          <t>format_match(warn);machine_metadata(warn);persistent_id(warn);version(warn)</t>
        </is>
      </c>
      <c r="AL15" s="17" t="inlineStr">
        <is>
          <t>https://www.climatologylab.org/gridmet.html</t>
        </is>
      </c>
      <c r="AM15" s="4" t="inlineStr">
        <is>
          <t>us_climatologylab_gridmet</t>
        </is>
      </c>
    </row>
    <row r="16">
      <c r="A16" s="4" t="inlineStr">
        <is>
          <t>Wildfire Risk to Communities</t>
        </is>
      </c>
      <c r="B16" s="13" t="inlineStr">
        <is>
          <t>Gold</t>
        </is>
      </c>
      <c r="C16" s="4" t="n">
        <v>93</v>
      </c>
      <c r="D16" s="4" t="inlineStr">
        <is>
          <t>climate_hazard</t>
        </is>
      </c>
      <c r="E16" s="4" t="inlineStr">
        <is>
          <t>healthy</t>
        </is>
      </c>
      <c r="F16" s="4" t="inlineStr">
        <is>
          <t>open</t>
        </is>
      </c>
      <c r="G16" s="4" t="inlineStr">
        <is>
          <t>grid_30m</t>
        </is>
      </c>
      <c r="H16" s="4" t="inlineStr">
        <is>
          <t>Needs raster support</t>
        </is>
      </c>
      <c r="I16" s="4" t="n">
        <v>2</v>
      </c>
      <c r="J16" s="4" t="inlineStr"/>
      <c r="K16" s="4" t="inlineStr">
        <is>
          <t>Curated</t>
        </is>
      </c>
      <c r="L16" s="4" t="n">
        <v>2024</v>
      </c>
      <c r="M16" s="4" t="inlineStr">
        <is>
          <t>open</t>
        </is>
      </c>
      <c r="N16" s="4" t="inlineStr">
        <is>
          <t>2026-10-28</t>
        </is>
      </c>
      <c r="O16" s="14" t="inlineStr">
        <is>
          <t>pass</t>
        </is>
      </c>
      <c r="P16" s="14" t="inlineStr">
        <is>
          <t>pass</t>
        </is>
      </c>
      <c r="Q16" s="14" t="inlineStr">
        <is>
          <t>pass</t>
        </is>
      </c>
      <c r="R16" s="14" t="inlineStr">
        <is>
          <t>pass</t>
        </is>
      </c>
      <c r="S16" s="14" t="inlineStr">
        <is>
          <t>pass</t>
        </is>
      </c>
      <c r="T16" s="14" t="inlineStr">
        <is>
          <t>pass</t>
        </is>
      </c>
      <c r="U16" s="14" t="inlineStr">
        <is>
          <t>pass</t>
        </is>
      </c>
      <c r="V16" s="16" t="inlineStr">
        <is>
          <t>warn</t>
        </is>
      </c>
      <c r="W16" s="14" t="inlineStr">
        <is>
          <t>pass</t>
        </is>
      </c>
      <c r="X16" s="14" t="inlineStr">
        <is>
          <t>pass</t>
        </is>
      </c>
      <c r="Y16" s="14" t="inlineStr">
        <is>
          <t>pass</t>
        </is>
      </c>
      <c r="Z16" s="14" t="inlineStr">
        <is>
          <t>pass</t>
        </is>
      </c>
      <c r="AA16" s="14" t="inlineStr">
        <is>
          <t>pass</t>
        </is>
      </c>
      <c r="AB16" s="16" t="inlineStr">
        <is>
          <t>warn</t>
        </is>
      </c>
      <c r="AC16" s="14" t="inlineStr">
        <is>
          <t>pass</t>
        </is>
      </c>
      <c r="AD16" s="14" t="inlineStr">
        <is>
          <t>pass</t>
        </is>
      </c>
      <c r="AE16" s="14" t="inlineStr">
        <is>
          <t>pass</t>
        </is>
      </c>
      <c r="AF16" s="14" t="inlineStr">
        <is>
          <t>pass</t>
        </is>
      </c>
      <c r="AG16" s="16" t="inlineStr">
        <is>
          <t>warn</t>
        </is>
      </c>
      <c r="AH16" s="16" t="inlineStr">
        <is>
          <t>warn</t>
        </is>
      </c>
      <c r="AI16" s="15" t="inlineStr">
        <is>
          <t>n.a.</t>
        </is>
      </c>
      <c r="AJ16" s="15" t="inlineStr">
        <is>
          <t>n.a.</t>
        </is>
      </c>
      <c r="AK16" s="4" t="inlineStr">
        <is>
          <t>machine_metadata(warn);cadence(warn);join_key(warn);format_gaia(warn)</t>
        </is>
      </c>
      <c r="AL16" s="17" t="inlineStr">
        <is>
          <t>https://wildfirerisk.org/download/</t>
        </is>
      </c>
      <c r="AM16" s="4" t="inlineStr">
        <is>
          <t>us_usfs_wildfire_risk_to_communities</t>
        </is>
      </c>
    </row>
    <row r="17">
      <c r="A17" s="4" t="inlineStr">
        <is>
          <t>Zensus 2022 Gitterdaten (grid data 100 m / 1 km / 10 km)</t>
        </is>
      </c>
      <c r="B17" s="13" t="inlineStr">
        <is>
          <t>Gold</t>
        </is>
      </c>
      <c r="C17" s="4" t="n">
        <v>93</v>
      </c>
      <c r="D17" s="4" t="inlineStr">
        <is>
          <t>demographics</t>
        </is>
      </c>
      <c r="E17" s="4" t="inlineStr">
        <is>
          <t>healthy</t>
        </is>
      </c>
      <c r="F17" s="4" t="inlineStr">
        <is>
          <t>attribution</t>
        </is>
      </c>
      <c r="G17" s="4" t="inlineStr">
        <is>
          <t>grid_100m</t>
        </is>
      </c>
      <c r="H17" s="4" t="inlineStr">
        <is>
          <t>Needs raster support</t>
        </is>
      </c>
      <c r="I17" s="4" t="n">
        <v>3</v>
      </c>
      <c r="J17" s="4" t="inlineStr"/>
      <c r="K17" s="4" t="inlineStr">
        <is>
          <t>Curated</t>
        </is>
      </c>
      <c r="L17" s="4" t="n">
        <v>2022</v>
      </c>
      <c r="M17" s="4" t="inlineStr">
        <is>
          <t>open</t>
        </is>
      </c>
      <c r="N17" s="4" t="inlineStr">
        <is>
          <t>2026-10-22</t>
        </is>
      </c>
      <c r="O17" s="14" t="inlineStr">
        <is>
          <t>pass</t>
        </is>
      </c>
      <c r="P17" s="14" t="inlineStr">
        <is>
          <t>pass</t>
        </is>
      </c>
      <c r="Q17" s="14" t="inlineStr">
        <is>
          <t>pass</t>
        </is>
      </c>
      <c r="R17" s="14" t="inlineStr">
        <is>
          <t>pass</t>
        </is>
      </c>
      <c r="S17" s="14" t="inlineStr">
        <is>
          <t>pass</t>
        </is>
      </c>
      <c r="T17" s="14" t="inlineStr">
        <is>
          <t>pass</t>
        </is>
      </c>
      <c r="U17" s="16" t="inlineStr">
        <is>
          <t>warn</t>
        </is>
      </c>
      <c r="V17" s="16" t="inlineStr">
        <is>
          <t>warn</t>
        </is>
      </c>
      <c r="W17" s="16" t="inlineStr">
        <is>
          <t>warn</t>
        </is>
      </c>
      <c r="X17" s="14" t="inlineStr">
        <is>
          <t>pass</t>
        </is>
      </c>
      <c r="Y17" s="14" t="inlineStr">
        <is>
          <t>pass</t>
        </is>
      </c>
      <c r="Z17" s="14" t="inlineStr">
        <is>
          <t>pass</t>
        </is>
      </c>
      <c r="AA17" s="14" t="inlineStr">
        <is>
          <t>pass</t>
        </is>
      </c>
      <c r="AB17" s="14" t="inlineStr">
        <is>
          <t>pass</t>
        </is>
      </c>
      <c r="AC17" s="15" t="inlineStr">
        <is>
          <t>not_checked</t>
        </is>
      </c>
      <c r="AD17" s="14" t="inlineStr">
        <is>
          <t>pass</t>
        </is>
      </c>
      <c r="AE17" s="14" t="inlineStr">
        <is>
          <t>pass</t>
        </is>
      </c>
      <c r="AF17" s="14" t="inlineStr">
        <is>
          <t>pass</t>
        </is>
      </c>
      <c r="AG17" s="16" t="inlineStr">
        <is>
          <t>warn</t>
        </is>
      </c>
      <c r="AH17" s="14" t="inlineStr">
        <is>
          <t>pass</t>
        </is>
      </c>
      <c r="AI17" s="15" t="inlineStr">
        <is>
          <t>n.a.</t>
        </is>
      </c>
      <c r="AJ17" s="15" t="inlineStr">
        <is>
          <t>n.a.</t>
        </is>
      </c>
      <c r="AK17" s="4" t="inlineStr">
        <is>
          <t>format_match(warn);machine_metadata(warn);persistent_id(warn);join_key(warn)</t>
        </is>
      </c>
      <c r="AL17" s="17" t="inlineStr">
        <is>
          <t>https://www.destatis.de/zensus2022</t>
        </is>
      </c>
      <c r="AM17" s="4" t="inlineStr">
        <is>
          <t>de_destatis_zensus2022_grid</t>
        </is>
      </c>
    </row>
    <row r="18">
      <c r="A18" s="4" t="inlineStr">
        <is>
          <t>American Community Survey 5-Year Data</t>
        </is>
      </c>
      <c r="B18" s="13" t="inlineStr">
        <is>
          <t>Gold</t>
        </is>
      </c>
      <c r="C18" s="4" t="n">
        <v>93</v>
      </c>
      <c r="D18" s="4" t="inlineStr">
        <is>
          <t>demographics</t>
        </is>
      </c>
      <c r="E18" s="4" t="inlineStr">
        <is>
          <t>healthy</t>
        </is>
      </c>
      <c r="F18" s="4" t="inlineStr">
        <is>
          <t>attribution</t>
        </is>
      </c>
      <c r="G18" s="4" t="inlineStr">
        <is>
          <t>block_group</t>
        </is>
      </c>
      <c r="H18" s="4" t="inlineStr">
        <is>
          <t>Joins today</t>
        </is>
      </c>
      <c r="I18" s="4" t="n">
        <v>2</v>
      </c>
      <c r="J18" s="4" t="inlineStr">
        <is>
          <t>fl_2021_acs_5yr_tract_fsr;mdc_2019_acs_5yr_tract_dvmt;mdc_2020_2024_acs_5yr_trends_tract_dvmt;mdc_2020_acs_5yr_tract_dvmt;mdc_2021_acs_5yr_tract_dvmt;mdc_2022_acs_5yr_tract_dvmt;mdc_2023_acs_5yr_tract_dvmt;mdc_2024_acs_5yr_tract_dvmt</t>
        </is>
      </c>
      <c r="K18" s="4" t="inlineStr">
        <is>
          <t>Curated</t>
        </is>
      </c>
      <c r="L18" s="4" t="n">
        <v>2024</v>
      </c>
      <c r="M18" s="4" t="inlineStr">
        <is>
          <t>unknown</t>
        </is>
      </c>
      <c r="N18" s="4" t="inlineStr">
        <is>
          <t>2026-10-22</t>
        </is>
      </c>
      <c r="O18" s="14" t="inlineStr">
        <is>
          <t>pass</t>
        </is>
      </c>
      <c r="P18" s="14" t="inlineStr">
        <is>
          <t>pass</t>
        </is>
      </c>
      <c r="Q18" s="14" t="inlineStr">
        <is>
          <t>pass</t>
        </is>
      </c>
      <c r="R18" s="14" t="inlineStr">
        <is>
          <t>pass</t>
        </is>
      </c>
      <c r="S18" s="14" t="inlineStr">
        <is>
          <t>pass</t>
        </is>
      </c>
      <c r="T18" s="14" t="inlineStr">
        <is>
          <t>pass</t>
        </is>
      </c>
      <c r="U18" s="14" t="inlineStr">
        <is>
          <t>pass</t>
        </is>
      </c>
      <c r="V18" s="16" t="inlineStr">
        <is>
          <t>warn</t>
        </is>
      </c>
      <c r="W18" s="16" t="inlineStr">
        <is>
          <t>warn</t>
        </is>
      </c>
      <c r="X18" s="14" t="inlineStr">
        <is>
          <t>pass</t>
        </is>
      </c>
      <c r="Y18" s="14" t="inlineStr">
        <is>
          <t>pass</t>
        </is>
      </c>
      <c r="Z18" s="14" t="inlineStr">
        <is>
          <t>pass</t>
        </is>
      </c>
      <c r="AA18" s="14" t="inlineStr">
        <is>
          <t>pass</t>
        </is>
      </c>
      <c r="AB18" s="14" t="inlineStr">
        <is>
          <t>pass</t>
        </is>
      </c>
      <c r="AC18" s="14" t="inlineStr">
        <is>
          <t>pass</t>
        </is>
      </c>
      <c r="AD18" s="14" t="inlineStr">
        <is>
          <t>pass</t>
        </is>
      </c>
      <c r="AE18" s="14" t="inlineStr">
        <is>
          <t>pass</t>
        </is>
      </c>
      <c r="AF18" s="14" t="inlineStr">
        <is>
          <t>pass</t>
        </is>
      </c>
      <c r="AG18" s="16" t="inlineStr">
        <is>
          <t>warn</t>
        </is>
      </c>
      <c r="AH18" s="16" t="inlineStr">
        <is>
          <t>warn</t>
        </is>
      </c>
      <c r="AI18" s="14" t="inlineStr">
        <is>
          <t>pass</t>
        </is>
      </c>
      <c r="AJ18" s="15" t="inlineStr">
        <is>
          <t>not_checked</t>
        </is>
      </c>
      <c r="AK18" s="4" t="inlineStr">
        <is>
          <t>machine_metadata(warn);persistent_id(warn);join_key(warn);format_gaia(warn)</t>
        </is>
      </c>
      <c r="AL18" s="17" t="inlineStr">
        <is>
          <t>https://www.census.gov/data/developers/data-sets/acs-5year.html</t>
        </is>
      </c>
      <c r="AM18" s="4" t="inlineStr">
        <is>
          <t>us_census_acs_5year</t>
        </is>
      </c>
    </row>
    <row r="19">
      <c r="A19" s="4" t="inlineStr">
        <is>
          <t>Censo de Poblacion y Vivienda (Censo 2017; Censo 2024)</t>
        </is>
      </c>
      <c r="B19" s="13" t="inlineStr">
        <is>
          <t>Gold</t>
        </is>
      </c>
      <c r="C19" s="4" t="n">
        <v>98</v>
      </c>
      <c r="D19" s="4" t="inlineStr">
        <is>
          <t>demographics</t>
        </is>
      </c>
      <c r="E19" s="4" t="inlineStr">
        <is>
          <t>healthy</t>
        </is>
      </c>
      <c r="F19" s="4" t="inlineStr">
        <is>
          <t>open</t>
        </is>
      </c>
      <c r="G19" s="4" t="inlineStr">
        <is>
          <t>block (manzana)</t>
        </is>
      </c>
      <c r="H19" s="4" t="inlineStr">
        <is>
          <t>Joins today</t>
        </is>
      </c>
      <c r="I19" s="4" t="n">
        <v>2</v>
      </c>
      <c r="J19" s="4" t="inlineStr"/>
      <c r="K19" s="4" t="inlineStr">
        <is>
          <t>Curated</t>
        </is>
      </c>
      <c r="L19" s="4" t="n">
        <v>2024</v>
      </c>
      <c r="M19" s="4" t="inlineStr">
        <is>
          <t>unknown</t>
        </is>
      </c>
      <c r="N19" s="4" t="inlineStr">
        <is>
          <t>2026-10-22</t>
        </is>
      </c>
      <c r="O19" s="14" t="inlineStr">
        <is>
          <t>pass</t>
        </is>
      </c>
      <c r="P19" s="14" t="inlineStr">
        <is>
          <t>pass</t>
        </is>
      </c>
      <c r="Q19" s="14" t="inlineStr">
        <is>
          <t>pass</t>
        </is>
      </c>
      <c r="R19" s="14" t="inlineStr">
        <is>
          <t>pass</t>
        </is>
      </c>
      <c r="S19" s="14" t="inlineStr">
        <is>
          <t>pass</t>
        </is>
      </c>
      <c r="T19" s="14" t="inlineStr">
        <is>
          <t>pass</t>
        </is>
      </c>
      <c r="U19" s="16" t="inlineStr">
        <is>
          <t>warn</t>
        </is>
      </c>
      <c r="V19" s="16" t="inlineStr">
        <is>
          <t>warn</t>
        </is>
      </c>
      <c r="W19" s="16" t="inlineStr">
        <is>
          <t>warn</t>
        </is>
      </c>
      <c r="X19" s="14" t="inlineStr">
        <is>
          <t>pass</t>
        </is>
      </c>
      <c r="Y19" s="14" t="inlineStr">
        <is>
          <t>pass</t>
        </is>
      </c>
      <c r="Z19" s="14" t="inlineStr">
        <is>
          <t>pass</t>
        </is>
      </c>
      <c r="AA19" s="14" t="inlineStr">
        <is>
          <t>pass</t>
        </is>
      </c>
      <c r="AB19" s="16" t="inlineStr">
        <is>
          <t>warn</t>
        </is>
      </c>
      <c r="AC19" s="14" t="inlineStr">
        <is>
          <t>pass</t>
        </is>
      </c>
      <c r="AD19" s="14" t="inlineStr">
        <is>
          <t>pass</t>
        </is>
      </c>
      <c r="AE19" s="16" t="inlineStr">
        <is>
          <t>warn</t>
        </is>
      </c>
      <c r="AF19" s="14" t="inlineStr">
        <is>
          <t>pass</t>
        </is>
      </c>
      <c r="AG19" s="15" t="inlineStr">
        <is>
          <t>not_checked</t>
        </is>
      </c>
      <c r="AH19" s="16" t="inlineStr">
        <is>
          <t>warn</t>
        </is>
      </c>
      <c r="AI19" s="15" t="inlineStr">
        <is>
          <t>n.a.</t>
        </is>
      </c>
      <c r="AJ19" s="15" t="inlineStr">
        <is>
          <t>n.a.</t>
        </is>
      </c>
      <c r="AK19" s="4" t="inlineStr">
        <is>
          <t>format_match(warn);machine_metadata(warn);persistent_id(warn);cadence(warn);coverage(warn);format_gaia(warn)</t>
        </is>
      </c>
      <c r="AL19" s="17" t="inlineStr">
        <is>
          <t>https://www.ine.gob.cl/estadisticas/sociales/censos-de-poblacion-y-vivienda/censo-de-poblacion-y-vivienda</t>
        </is>
      </c>
      <c r="AM19" s="4" t="inlineStr">
        <is>
          <t>cl_ine_censo</t>
        </is>
      </c>
    </row>
    <row r="20">
      <c r="A20" s="4" t="inlineStr">
        <is>
          <t>Kaart van 100 meter bij 100 meter met statistieken</t>
        </is>
      </c>
      <c r="B20" s="13" t="inlineStr">
        <is>
          <t>Gold</t>
        </is>
      </c>
      <c r="C20" s="4" t="n">
        <v>98</v>
      </c>
      <c r="D20" s="4" t="inlineStr">
        <is>
          <t>demographics</t>
        </is>
      </c>
      <c r="E20" s="4" t="inlineStr">
        <is>
          <t>healthy</t>
        </is>
      </c>
      <c r="F20" s="4" t="inlineStr">
        <is>
          <t>attribution</t>
        </is>
      </c>
      <c r="G20" s="4" t="inlineStr">
        <is>
          <t>grid_100m</t>
        </is>
      </c>
      <c r="H20" s="4" t="inlineStr">
        <is>
          <t>Needs raster support</t>
        </is>
      </c>
      <c r="I20" s="4" t="n">
        <v>2</v>
      </c>
      <c r="J20" s="4" t="inlineStr"/>
      <c r="K20" s="4" t="inlineStr">
        <is>
          <t>Curated</t>
        </is>
      </c>
      <c r="L20" s="4" t="n">
        <v>2025</v>
      </c>
      <c r="M20" s="4" t="inlineStr">
        <is>
          <t>open</t>
        </is>
      </c>
      <c r="N20" s="4" t="inlineStr">
        <is>
          <t>2026-10-28</t>
        </is>
      </c>
      <c r="O20" s="14" t="inlineStr">
        <is>
          <t>pass</t>
        </is>
      </c>
      <c r="P20" s="14" t="inlineStr">
        <is>
          <t>pass</t>
        </is>
      </c>
      <c r="Q20" s="14" t="inlineStr">
        <is>
          <t>pass</t>
        </is>
      </c>
      <c r="R20" s="14" t="inlineStr">
        <is>
          <t>pass</t>
        </is>
      </c>
      <c r="S20" s="14" t="inlineStr">
        <is>
          <t>pass</t>
        </is>
      </c>
      <c r="T20" s="15" t="inlineStr">
        <is>
          <t>n.a.</t>
        </is>
      </c>
      <c r="U20" s="15" t="inlineStr">
        <is>
          <t>n.a.</t>
        </is>
      </c>
      <c r="V20" s="16" t="inlineStr">
        <is>
          <t>warn</t>
        </is>
      </c>
      <c r="W20" s="16" t="inlineStr">
        <is>
          <t>warn</t>
        </is>
      </c>
      <c r="X20" s="14" t="inlineStr">
        <is>
          <t>pass</t>
        </is>
      </c>
      <c r="Y20" s="14" t="inlineStr">
        <is>
          <t>pass</t>
        </is>
      </c>
      <c r="Z20" s="14" t="inlineStr">
        <is>
          <t>pass</t>
        </is>
      </c>
      <c r="AA20" s="14" t="inlineStr">
        <is>
          <t>pass</t>
        </is>
      </c>
      <c r="AB20" s="14" t="inlineStr">
        <is>
          <t>pass</t>
        </is>
      </c>
      <c r="AC20" s="14" t="inlineStr">
        <is>
          <t>pass</t>
        </is>
      </c>
      <c r="AD20" s="14" t="inlineStr">
        <is>
          <t>pass</t>
        </is>
      </c>
      <c r="AE20" s="14" t="inlineStr">
        <is>
          <t>pass</t>
        </is>
      </c>
      <c r="AF20" s="14" t="inlineStr">
        <is>
          <t>pass</t>
        </is>
      </c>
      <c r="AG20" s="14" t="inlineStr">
        <is>
          <t>pass</t>
        </is>
      </c>
      <c r="AH20" s="14" t="inlineStr">
        <is>
          <t>pass</t>
        </is>
      </c>
      <c r="AI20" s="15" t="inlineStr">
        <is>
          <t>n.a.</t>
        </is>
      </c>
      <c r="AJ20" s="15" t="inlineStr">
        <is>
          <t>n.a.</t>
        </is>
      </c>
      <c r="AK20" s="4" t="inlineStr">
        <is>
          <t>machine_metadata(warn);persistent_id(warn)</t>
        </is>
      </c>
      <c r="AL20" s="17" t="inlineStr">
        <is>
          <t>https://www.cbs.nl/nl-nl/dossier/nederland-regionaal/geografische-data/kaart-van-100-meter-bij-100-meter-met-statistieken</t>
        </is>
      </c>
      <c r="AM20" s="4" t="inlineStr">
        <is>
          <t>nl_cbs_100m_grid</t>
        </is>
      </c>
    </row>
    <row r="21">
      <c r="A21" s="4" t="inlineStr">
        <is>
          <t>Recensement de la population - Base infracommunale (IRIS)</t>
        </is>
      </c>
      <c r="B21" s="13" t="inlineStr">
        <is>
          <t>Gold</t>
        </is>
      </c>
      <c r="C21" s="4" t="n">
        <v>95</v>
      </c>
      <c r="D21" s="4" t="inlineStr">
        <is>
          <t>demographics</t>
        </is>
      </c>
      <c r="E21" s="4" t="inlineStr">
        <is>
          <t>degraded</t>
        </is>
      </c>
      <c r="F21" s="4" t="inlineStr">
        <is>
          <t>open</t>
        </is>
      </c>
      <c r="G21" s="4" t="inlineStr">
        <is>
          <t>IRIS (small statistical area, ~2000 inhabitants; commune level where commune not split into IRIS)</t>
        </is>
      </c>
      <c r="H21" s="4" t="inlineStr">
        <is>
          <t>Joins today</t>
        </is>
      </c>
      <c r="I21" s="4" t="n">
        <v>2</v>
      </c>
      <c r="J21" s="4" t="inlineStr"/>
      <c r="K21" s="4" t="inlineStr">
        <is>
          <t>Curated</t>
        </is>
      </c>
      <c r="L21" s="4" t="n">
        <v>2023</v>
      </c>
      <c r="M21" s="4" t="inlineStr">
        <is>
          <t>open</t>
        </is>
      </c>
      <c r="N21" s="4" t="inlineStr">
        <is>
          <t>2026-10-22</t>
        </is>
      </c>
      <c r="O21" s="14" t="inlineStr">
        <is>
          <t>pass</t>
        </is>
      </c>
      <c r="P21" s="14" t="inlineStr">
        <is>
          <t>pass</t>
        </is>
      </c>
      <c r="Q21" s="14" t="inlineStr">
        <is>
          <t>pass</t>
        </is>
      </c>
      <c r="R21" s="14" t="inlineStr">
        <is>
          <t>pass</t>
        </is>
      </c>
      <c r="S21" s="14" t="inlineStr">
        <is>
          <t>pass</t>
        </is>
      </c>
      <c r="T21" s="16" t="inlineStr">
        <is>
          <t>warn</t>
        </is>
      </c>
      <c r="U21" s="15" t="inlineStr">
        <is>
          <t>n.a.</t>
        </is>
      </c>
      <c r="V21" s="18" t="inlineStr">
        <is>
          <t>fail</t>
        </is>
      </c>
      <c r="W21" s="16" t="inlineStr">
        <is>
          <t>warn</t>
        </is>
      </c>
      <c r="X21" s="14" t="inlineStr">
        <is>
          <t>pass</t>
        </is>
      </c>
      <c r="Y21" s="14" t="inlineStr">
        <is>
          <t>pass</t>
        </is>
      </c>
      <c r="Z21" s="14" t="inlineStr">
        <is>
          <t>pass</t>
        </is>
      </c>
      <c r="AA21" s="14" t="inlineStr">
        <is>
          <t>pass</t>
        </is>
      </c>
      <c r="AB21" s="15" t="inlineStr">
        <is>
          <t>not_checked</t>
        </is>
      </c>
      <c r="AC21" s="14" t="inlineStr">
        <is>
          <t>pass</t>
        </is>
      </c>
      <c r="AD21" s="14" t="inlineStr">
        <is>
          <t>pass</t>
        </is>
      </c>
      <c r="AE21" s="14" t="inlineStr">
        <is>
          <t>pass</t>
        </is>
      </c>
      <c r="AF21" s="14" t="inlineStr">
        <is>
          <t>pass</t>
        </is>
      </c>
      <c r="AG21" s="14" t="inlineStr">
        <is>
          <t>pass</t>
        </is>
      </c>
      <c r="AH21" s="14" t="inlineStr">
        <is>
          <t>pass</t>
        </is>
      </c>
      <c r="AI21" s="15" t="inlineStr">
        <is>
          <t>n.a.</t>
        </is>
      </c>
      <c r="AJ21" s="15" t="inlineStr">
        <is>
          <t>n.a.</t>
        </is>
      </c>
      <c r="AK21" s="4" t="inlineStr">
        <is>
          <t>machine_metadata;access_url(warn);persistent_id(warn)</t>
        </is>
      </c>
      <c r="AL21" s="17" t="inlineStr">
        <is>
          <t>https://www.insee.fr/fr/statistiques/9061333</t>
        </is>
      </c>
      <c r="AM21" s="4" t="inlineStr">
        <is>
          <t>fr_insee_iris_rp</t>
        </is>
      </c>
    </row>
    <row r="22">
      <c r="A22" s="4" t="inlineStr">
        <is>
          <t>3D Hydrography Program (3DHP) hydrography data (successor to the NHD)</t>
        </is>
      </c>
      <c r="B22" s="13" t="inlineStr">
        <is>
          <t>Gold</t>
        </is>
      </c>
      <c r="C22" s="4" t="n">
        <v>98</v>
      </c>
      <c r="D22" s="4" t="inlineStr">
        <is>
          <t>environment</t>
        </is>
      </c>
      <c r="E22" s="4" t="inlineStr">
        <is>
          <t>healthy</t>
        </is>
      </c>
      <c r="F22" s="4" t="inlineStr">
        <is>
          <t>open</t>
        </is>
      </c>
      <c r="G22" s="4" t="inlineStr">
        <is>
          <t>line</t>
        </is>
      </c>
      <c r="H22" s="4" t="inlineStr">
        <is>
          <t>Needs a count/distance step</t>
        </is>
      </c>
      <c r="I22" s="4" t="n">
        <v>3</v>
      </c>
      <c r="J22" s="4" t="inlineStr"/>
      <c r="K22" s="4" t="inlineStr">
        <is>
          <t>Mirror</t>
        </is>
      </c>
      <c r="L22" s="4" t="n">
        <v>2026</v>
      </c>
      <c r="M22" s="4" t="inlineStr">
        <is>
          <t>open</t>
        </is>
      </c>
      <c r="N22" s="4" t="inlineStr">
        <is>
          <t>2026-10-28</t>
        </is>
      </c>
      <c r="O22" s="14" t="inlineStr">
        <is>
          <t>pass</t>
        </is>
      </c>
      <c r="P22" s="14" t="inlineStr">
        <is>
          <t>pass</t>
        </is>
      </c>
      <c r="Q22" s="14" t="inlineStr">
        <is>
          <t>pass</t>
        </is>
      </c>
      <c r="R22" s="14" t="inlineStr">
        <is>
          <t>pass</t>
        </is>
      </c>
      <c r="S22" s="14" t="inlineStr">
        <is>
          <t>pass</t>
        </is>
      </c>
      <c r="T22" s="14" t="inlineStr">
        <is>
          <t>pass</t>
        </is>
      </c>
      <c r="U22" s="16" t="inlineStr">
        <is>
          <t>warn</t>
        </is>
      </c>
      <c r="V22" s="16" t="inlineStr">
        <is>
          <t>warn</t>
        </is>
      </c>
      <c r="W22" s="16" t="inlineStr">
        <is>
          <t>warn</t>
        </is>
      </c>
      <c r="X22" s="14" t="inlineStr">
        <is>
          <t>pass</t>
        </is>
      </c>
      <c r="Y22" s="14" t="inlineStr">
        <is>
          <t>pass</t>
        </is>
      </c>
      <c r="Z22" s="14" t="inlineStr">
        <is>
          <t>pass</t>
        </is>
      </c>
      <c r="AA22" s="14" t="inlineStr">
        <is>
          <t>pass</t>
        </is>
      </c>
      <c r="AB22" s="14" t="inlineStr">
        <is>
          <t>pass</t>
        </is>
      </c>
      <c r="AC22" s="16" t="inlineStr">
        <is>
          <t>warn</t>
        </is>
      </c>
      <c r="AD22" s="14" t="inlineStr">
        <is>
          <t>pass</t>
        </is>
      </c>
      <c r="AE22" s="14" t="inlineStr">
        <is>
          <t>pass</t>
        </is>
      </c>
      <c r="AF22" s="14" t="inlineStr">
        <is>
          <t>pass</t>
        </is>
      </c>
      <c r="AG22" s="14" t="inlineStr">
        <is>
          <t>pass</t>
        </is>
      </c>
      <c r="AH22" s="16" t="inlineStr">
        <is>
          <t>warn</t>
        </is>
      </c>
      <c r="AI22" s="15" t="inlineStr">
        <is>
          <t>n.a.</t>
        </is>
      </c>
      <c r="AJ22" s="15" t="inlineStr">
        <is>
          <t>n.a.</t>
        </is>
      </c>
      <c r="AK22" s="4" t="inlineStr">
        <is>
          <t>format_match(warn);machine_metadata(warn);persistent_id(warn);version(warn);format_gaia(warn)</t>
        </is>
      </c>
      <c r="AL22" s="17" t="inlineStr">
        <is>
          <t>https://www.usgs.gov/3d-hydrography-program</t>
        </is>
      </c>
      <c r="AM22" s="4" t="inlineStr">
        <is>
          <t>us_usgs_3dhp</t>
        </is>
      </c>
    </row>
    <row r="23">
      <c r="A23" s="4" t="inlineStr">
        <is>
          <t>Air Quality e-Reporting (Air Quality download service)</t>
        </is>
      </c>
      <c r="B23" s="13" t="inlineStr">
        <is>
          <t>Gold</t>
        </is>
      </c>
      <c r="C23" s="4" t="n">
        <v>91</v>
      </c>
      <c r="D23" s="4" t="inlineStr">
        <is>
          <t>environment</t>
        </is>
      </c>
      <c r="E23" s="4" t="inlineStr">
        <is>
          <t>degraded</t>
        </is>
      </c>
      <c r="F23" s="4" t="inlineStr">
        <is>
          <t>attribution</t>
        </is>
      </c>
      <c r="G23" s="4" t="inlineStr">
        <is>
          <t>point</t>
        </is>
      </c>
      <c r="H23" s="4" t="inlineStr">
        <is>
          <t>Needs a count/distance step</t>
        </is>
      </c>
      <c r="I23" s="4" t="n">
        <v>3</v>
      </c>
      <c r="J23" s="4" t="inlineStr"/>
      <c r="K23" s="4" t="inlineStr">
        <is>
          <t>Curated</t>
        </is>
      </c>
      <c r="L23" s="4" t="n">
        <v>2026</v>
      </c>
      <c r="M23" s="4" t="inlineStr">
        <is>
          <t>open</t>
        </is>
      </c>
      <c r="N23" s="4" t="inlineStr">
        <is>
          <t>2026-10-22</t>
        </is>
      </c>
      <c r="O23" s="14" t="inlineStr">
        <is>
          <t>pass</t>
        </is>
      </c>
      <c r="P23" s="14" t="inlineStr">
        <is>
          <t>pass</t>
        </is>
      </c>
      <c r="Q23" s="14" t="inlineStr">
        <is>
          <t>pass</t>
        </is>
      </c>
      <c r="R23" s="14" t="inlineStr">
        <is>
          <t>pass</t>
        </is>
      </c>
      <c r="S23" s="14" t="inlineStr">
        <is>
          <t>pass</t>
        </is>
      </c>
      <c r="T23" s="14" t="inlineStr">
        <is>
          <t>pass</t>
        </is>
      </c>
      <c r="U23" s="14" t="inlineStr">
        <is>
          <t>pass</t>
        </is>
      </c>
      <c r="V23" s="18" t="inlineStr">
        <is>
          <t>fail</t>
        </is>
      </c>
      <c r="W23" s="16" t="inlineStr">
        <is>
          <t>warn</t>
        </is>
      </c>
      <c r="X23" s="14" t="inlineStr">
        <is>
          <t>pass</t>
        </is>
      </c>
      <c r="Y23" s="14" t="inlineStr">
        <is>
          <t>pass</t>
        </is>
      </c>
      <c r="Z23" s="14" t="inlineStr">
        <is>
          <t>pass</t>
        </is>
      </c>
      <c r="AA23" s="14" t="inlineStr">
        <is>
          <t>pass</t>
        </is>
      </c>
      <c r="AB23" s="15" t="inlineStr">
        <is>
          <t>not_checked</t>
        </is>
      </c>
      <c r="AC23" s="16" t="inlineStr">
        <is>
          <t>warn</t>
        </is>
      </c>
      <c r="AD23" s="14" t="inlineStr">
        <is>
          <t>pass</t>
        </is>
      </c>
      <c r="AE23" s="16" t="inlineStr">
        <is>
          <t>warn</t>
        </is>
      </c>
      <c r="AF23" s="14" t="inlineStr">
        <is>
          <t>pass</t>
        </is>
      </c>
      <c r="AG23" s="16" t="inlineStr">
        <is>
          <t>warn</t>
        </is>
      </c>
      <c r="AH23" s="16" t="inlineStr">
        <is>
          <t>warn</t>
        </is>
      </c>
      <c r="AI23" s="15" t="inlineStr">
        <is>
          <t>n.a.</t>
        </is>
      </c>
      <c r="AJ23" s="15" t="inlineStr">
        <is>
          <t>n.a.</t>
        </is>
      </c>
      <c r="AK23" s="4" t="inlineStr">
        <is>
          <t>machine_metadata;persistent_id(warn);version(warn);coverage(warn);join_key(warn);format_gaia(warn)</t>
        </is>
      </c>
      <c r="AL23" s="17" t="inlineStr">
        <is>
          <t>https://www.eea.europa.eu/en/datahub/datahubitem-view/778ef9f5-6293-4846-badd-56a29c70880d</t>
        </is>
      </c>
      <c r="AM23" s="4" t="inlineStr">
        <is>
          <t>eu_eea_air_quality_ereporting</t>
        </is>
      </c>
    </row>
    <row r="24">
      <c r="A24" s="4" t="inlineStr">
        <is>
          <t>ChinaHighAirPollutants (CHAP)</t>
        </is>
      </c>
      <c r="B24" s="13" t="inlineStr">
        <is>
          <t>Gold</t>
        </is>
      </c>
      <c r="C24" s="4" t="n">
        <v>91</v>
      </c>
      <c r="D24" s="4" t="inlineStr">
        <is>
          <t>environment</t>
        </is>
      </c>
      <c r="E24" s="4" t="inlineStr">
        <is>
          <t>degraded</t>
        </is>
      </c>
      <c r="F24" s="4" t="inlineStr">
        <is>
          <t>open</t>
        </is>
      </c>
      <c r="G24" s="4" t="inlineStr">
        <is>
          <t>grid_1km</t>
        </is>
      </c>
      <c r="H24" s="4" t="inlineStr">
        <is>
          <t>Needs raster support</t>
        </is>
      </c>
      <c r="I24" s="4" t="n">
        <v>3</v>
      </c>
      <c r="J24" s="4" t="inlineStr"/>
      <c r="K24" s="4" t="inlineStr">
        <is>
          <t>Curated</t>
        </is>
      </c>
      <c r="L24" s="4" t="n">
        <v>2026</v>
      </c>
      <c r="M24" s="4" t="inlineStr">
        <is>
          <t>open</t>
        </is>
      </c>
      <c r="N24" s="4" t="inlineStr">
        <is>
          <t>2026-10-22</t>
        </is>
      </c>
      <c r="O24" s="14" t="inlineStr">
        <is>
          <t>pass</t>
        </is>
      </c>
      <c r="P24" s="14" t="inlineStr">
        <is>
          <t>pass</t>
        </is>
      </c>
      <c r="Q24" s="14" t="inlineStr">
        <is>
          <t>pass</t>
        </is>
      </c>
      <c r="R24" s="14" t="inlineStr">
        <is>
          <t>pass</t>
        </is>
      </c>
      <c r="S24" s="14" t="inlineStr">
        <is>
          <t>pass</t>
        </is>
      </c>
      <c r="T24" s="14" t="inlineStr">
        <is>
          <t>pass</t>
        </is>
      </c>
      <c r="U24" s="16" t="inlineStr">
        <is>
          <t>warn</t>
        </is>
      </c>
      <c r="V24" s="18" t="inlineStr">
        <is>
          <t>fail</t>
        </is>
      </c>
      <c r="W24" s="14" t="inlineStr">
        <is>
          <t>pass</t>
        </is>
      </c>
      <c r="X24" s="14" t="inlineStr">
        <is>
          <t>pass</t>
        </is>
      </c>
      <c r="Y24" s="14" t="inlineStr">
        <is>
          <t>pass</t>
        </is>
      </c>
      <c r="Z24" s="14" t="inlineStr">
        <is>
          <t>pass</t>
        </is>
      </c>
      <c r="AA24" s="14" t="inlineStr">
        <is>
          <t>pass</t>
        </is>
      </c>
      <c r="AB24" s="16" t="inlineStr">
        <is>
          <t>warn</t>
        </is>
      </c>
      <c r="AC24" s="14" t="inlineStr">
        <is>
          <t>pass</t>
        </is>
      </c>
      <c r="AD24" s="14" t="inlineStr">
        <is>
          <t>pass</t>
        </is>
      </c>
      <c r="AE24" s="14" t="inlineStr">
        <is>
          <t>pass</t>
        </is>
      </c>
      <c r="AF24" s="14" t="inlineStr">
        <is>
          <t>pass</t>
        </is>
      </c>
      <c r="AG24" s="16" t="inlineStr">
        <is>
          <t>warn</t>
        </is>
      </c>
      <c r="AH24" s="14" t="inlineStr">
        <is>
          <t>pass</t>
        </is>
      </c>
      <c r="AI24" s="15" t="inlineStr">
        <is>
          <t>n.a.</t>
        </is>
      </c>
      <c r="AJ24" s="15" t="inlineStr">
        <is>
          <t>n.a.</t>
        </is>
      </c>
      <c r="AK24" s="4" t="inlineStr">
        <is>
          <t>machine_metadata;format_match(warn);cadence(warn);join_key(warn)</t>
        </is>
      </c>
      <c r="AL24" s="17" t="inlineStr">
        <is>
          <t>https://weijing-rs.github.io/product.html</t>
        </is>
      </c>
      <c r="AM24" s="4" t="inlineStr">
        <is>
          <t>cn_wei_chap</t>
        </is>
      </c>
    </row>
    <row r="25">
      <c r="A25" s="4" t="inlineStr">
        <is>
          <t>Daily Census Tract-Level PM2.5 Concentrations (2001-2005; 2006-2010; 2011-2015; 2016)</t>
        </is>
      </c>
      <c r="B25" s="13" t="inlineStr">
        <is>
          <t>Gold</t>
        </is>
      </c>
      <c r="C25" s="4" t="n">
        <v>92</v>
      </c>
      <c r="D25" s="4" t="inlineStr">
        <is>
          <t>environment</t>
        </is>
      </c>
      <c r="E25" s="4" t="inlineStr">
        <is>
          <t>healthy</t>
        </is>
      </c>
      <c r="F25" s="4" t="inlineStr">
        <is>
          <t>open</t>
        </is>
      </c>
      <c r="G25" s="4" t="inlineStr">
        <is>
          <t>tract</t>
        </is>
      </c>
      <c r="H25" s="4" t="inlineStr">
        <is>
          <t>Joins today</t>
        </is>
      </c>
      <c r="I25" s="4" t="n">
        <v>3</v>
      </c>
      <c r="J25" s="4" t="inlineStr">
        <is>
          <t>us_2014_2019_monthly_pm25_by_tract_cdc</t>
        </is>
      </c>
      <c r="K25" s="4" t="inlineStr">
        <is>
          <t>Curated</t>
        </is>
      </c>
      <c r="L25" s="4" t="n">
        <v>2015</v>
      </c>
      <c r="M25" s="4" t="inlineStr">
        <is>
          <t>open</t>
        </is>
      </c>
      <c r="N25" s="4" t="inlineStr">
        <is>
          <t>2026-10-22</t>
        </is>
      </c>
      <c r="O25" s="14" t="inlineStr">
        <is>
          <t>pass</t>
        </is>
      </c>
      <c r="P25" s="14" t="inlineStr">
        <is>
          <t>pass</t>
        </is>
      </c>
      <c r="Q25" s="14" t="inlineStr">
        <is>
          <t>pass</t>
        </is>
      </c>
      <c r="R25" s="14" t="inlineStr">
        <is>
          <t>pass</t>
        </is>
      </c>
      <c r="S25" s="14" t="inlineStr">
        <is>
          <t>pass</t>
        </is>
      </c>
      <c r="T25" s="14" t="inlineStr">
        <is>
          <t>pass</t>
        </is>
      </c>
      <c r="U25" s="16" t="inlineStr">
        <is>
          <t>warn</t>
        </is>
      </c>
      <c r="V25" s="14" t="inlineStr">
        <is>
          <t>pass</t>
        </is>
      </c>
      <c r="W25" s="16" t="inlineStr">
        <is>
          <t>warn</t>
        </is>
      </c>
      <c r="X25" s="14" t="inlineStr">
        <is>
          <t>pass</t>
        </is>
      </c>
      <c r="Y25" s="14" t="inlineStr">
        <is>
          <t>pass</t>
        </is>
      </c>
      <c r="Z25" s="14" t="inlineStr">
        <is>
          <t>pass</t>
        </is>
      </c>
      <c r="AA25" s="16" t="inlineStr">
        <is>
          <t>warn</t>
        </is>
      </c>
      <c r="AB25" s="15" t="inlineStr">
        <is>
          <t>not_checked</t>
        </is>
      </c>
      <c r="AC25" s="16" t="inlineStr">
        <is>
          <t>warn</t>
        </is>
      </c>
      <c r="AD25" s="14" t="inlineStr">
        <is>
          <t>pass</t>
        </is>
      </c>
      <c r="AE25" s="15" t="inlineStr">
        <is>
          <t>not_checked</t>
        </is>
      </c>
      <c r="AF25" s="14" t="inlineStr">
        <is>
          <t>pass</t>
        </is>
      </c>
      <c r="AG25" s="16" t="inlineStr">
        <is>
          <t>warn</t>
        </is>
      </c>
      <c r="AH25" s="16" t="inlineStr">
        <is>
          <t>warn</t>
        </is>
      </c>
      <c r="AI25" s="14" t="inlineStr">
        <is>
          <t>pass</t>
        </is>
      </c>
      <c r="AJ25" s="15" t="inlineStr">
        <is>
          <t>not_checked</t>
        </is>
      </c>
      <c r="AK25" s="4" t="inlineStr">
        <is>
          <t>format_match(warn);persistent_id(warn);recency(warn);version(warn);join_key(warn);format_gaia(warn)</t>
        </is>
      </c>
      <c r="AL25" s="17" t="inlineStr">
        <is>
          <t>https://catalog.data.gov/dataset/daily-census-tract-level-pm2-5-concentrations-2011-2015</t>
        </is>
      </c>
      <c r="AM25" s="4" t="inlineStr">
        <is>
          <t>us_cdc_daily_tract_pm25</t>
        </is>
      </c>
    </row>
    <row r="26">
      <c r="A26" s="4" t="inlineStr">
        <is>
          <t>ESA CCI Soil Moisture (active, passive, combined) v09.2</t>
        </is>
      </c>
      <c r="B26" s="13" t="inlineStr">
        <is>
          <t>Gold</t>
        </is>
      </c>
      <c r="C26" s="4" t="n">
        <v>98</v>
      </c>
      <c r="D26" s="4" t="inlineStr">
        <is>
          <t>environment</t>
        </is>
      </c>
      <c r="E26" s="4" t="inlineStr">
        <is>
          <t>degraded</t>
        </is>
      </c>
      <c r="F26" s="4" t="inlineStr">
        <is>
          <t>attribution</t>
        </is>
      </c>
      <c r="G26" s="4" t="inlineStr">
        <is>
          <t>grid_0.25deg</t>
        </is>
      </c>
      <c r="H26" s="4" t="inlineStr">
        <is>
          <t>Needs raster support</t>
        </is>
      </c>
      <c r="I26" s="4" t="n">
        <v>3</v>
      </c>
      <c r="J26" s="4" t="inlineStr"/>
      <c r="K26" s="4" t="inlineStr">
        <is>
          <t>Curated</t>
        </is>
      </c>
      <c r="L26" s="4" t="n">
        <v>2024</v>
      </c>
      <c r="M26" s="4" t="inlineStr">
        <is>
          <t>open</t>
        </is>
      </c>
      <c r="N26" s="4" t="inlineStr">
        <is>
          <t>2026-10-22</t>
        </is>
      </c>
      <c r="O26" s="14" t="inlineStr">
        <is>
          <t>pass</t>
        </is>
      </c>
      <c r="P26" s="14" t="inlineStr">
        <is>
          <t>pass</t>
        </is>
      </c>
      <c r="Q26" s="14" t="inlineStr">
        <is>
          <t>pass</t>
        </is>
      </c>
      <c r="R26" s="14" t="inlineStr">
        <is>
          <t>pass</t>
        </is>
      </c>
      <c r="S26" s="14" t="inlineStr">
        <is>
          <t>pass</t>
        </is>
      </c>
      <c r="T26" s="18" t="inlineStr">
        <is>
          <t>fail</t>
        </is>
      </c>
      <c r="U26" s="15" t="inlineStr">
        <is>
          <t>n.a.</t>
        </is>
      </c>
      <c r="V26" s="16" t="inlineStr">
        <is>
          <t>warn</t>
        </is>
      </c>
      <c r="W26" s="14" t="inlineStr">
        <is>
          <t>pass</t>
        </is>
      </c>
      <c r="X26" s="14" t="inlineStr">
        <is>
          <t>pass</t>
        </is>
      </c>
      <c r="Y26" s="14" t="inlineStr">
        <is>
          <t>pass</t>
        </is>
      </c>
      <c r="Z26" s="14" t="inlineStr">
        <is>
          <t>pass</t>
        </is>
      </c>
      <c r="AA26" s="14" t="inlineStr">
        <is>
          <t>pass</t>
        </is>
      </c>
      <c r="AB26" s="14" t="inlineStr">
        <is>
          <t>pass</t>
        </is>
      </c>
      <c r="AC26" s="14" t="inlineStr">
        <is>
          <t>pass</t>
        </is>
      </c>
      <c r="AD26" s="14" t="inlineStr">
        <is>
          <t>pass</t>
        </is>
      </c>
      <c r="AE26" s="14" t="inlineStr">
        <is>
          <t>pass</t>
        </is>
      </c>
      <c r="AF26" s="14" t="inlineStr">
        <is>
          <t>pass</t>
        </is>
      </c>
      <c r="AG26" s="14" t="inlineStr">
        <is>
          <t>pass</t>
        </is>
      </c>
      <c r="AH26" s="14" t="inlineStr">
        <is>
          <t>pass</t>
        </is>
      </c>
      <c r="AI26" s="15" t="inlineStr">
        <is>
          <t>n.a.</t>
        </is>
      </c>
      <c r="AJ26" s="15" t="inlineStr">
        <is>
          <t>n.a.</t>
        </is>
      </c>
      <c r="AK26" s="4" t="inlineStr">
        <is>
          <t>access_url;machine_metadata(warn)</t>
        </is>
      </c>
      <c r="AL26" s="17" t="inlineStr">
        <is>
          <t>https://climate.esa.int/en/projects/soil-moisture/</t>
        </is>
      </c>
      <c r="AM26" s="4" t="inlineStr">
        <is>
          <t>global_esa_cci_soil_moisture</t>
        </is>
      </c>
    </row>
    <row r="27">
      <c r="A27" s="4" t="inlineStr">
        <is>
          <t>ESA Climate Change Initiative Land Cover (CCI-LC) annual global maps 300 m, 1992-2020 (v2.0.7, v2.1.1) and C3S continuation</t>
        </is>
      </c>
      <c r="B27" s="13" t="inlineStr">
        <is>
          <t>Gold</t>
        </is>
      </c>
      <c r="C27" s="4" t="n">
        <v>98</v>
      </c>
      <c r="D27" s="4" t="inlineStr">
        <is>
          <t>environment</t>
        </is>
      </c>
      <c r="E27" s="4" t="inlineStr">
        <is>
          <t>degraded</t>
        </is>
      </c>
      <c r="F27" s="4" t="inlineStr">
        <is>
          <t>attribution</t>
        </is>
      </c>
      <c r="G27" s="4" t="inlineStr">
        <is>
          <t>grid_300m</t>
        </is>
      </c>
      <c r="H27" s="4" t="inlineStr">
        <is>
          <t>Needs raster support</t>
        </is>
      </c>
      <c r="I27" s="4" t="n">
        <v>3</v>
      </c>
      <c r="J27" s="4" t="inlineStr"/>
      <c r="K27" s="4" t="inlineStr">
        <is>
          <t>Curated</t>
        </is>
      </c>
      <c r="L27" s="4" t="n">
        <v>2020</v>
      </c>
      <c r="M27" s="4" t="inlineStr">
        <is>
          <t>open</t>
        </is>
      </c>
      <c r="N27" s="4" t="inlineStr">
        <is>
          <t>2026-10-22</t>
        </is>
      </c>
      <c r="O27" s="14" t="inlineStr">
        <is>
          <t>pass</t>
        </is>
      </c>
      <c r="P27" s="14" t="inlineStr">
        <is>
          <t>pass</t>
        </is>
      </c>
      <c r="Q27" s="14" t="inlineStr">
        <is>
          <t>pass</t>
        </is>
      </c>
      <c r="R27" s="14" t="inlineStr">
        <is>
          <t>pass</t>
        </is>
      </c>
      <c r="S27" s="14" t="inlineStr">
        <is>
          <t>pass</t>
        </is>
      </c>
      <c r="T27" s="18" t="inlineStr">
        <is>
          <t>fail</t>
        </is>
      </c>
      <c r="U27" s="15" t="inlineStr">
        <is>
          <t>n.a.</t>
        </is>
      </c>
      <c r="V27" s="16" t="inlineStr">
        <is>
          <t>warn</t>
        </is>
      </c>
      <c r="W27" s="14" t="inlineStr">
        <is>
          <t>pass</t>
        </is>
      </c>
      <c r="X27" s="14" t="inlineStr">
        <is>
          <t>pass</t>
        </is>
      </c>
      <c r="Y27" s="14" t="inlineStr">
        <is>
          <t>pass</t>
        </is>
      </c>
      <c r="Z27" s="14" t="inlineStr">
        <is>
          <t>pass</t>
        </is>
      </c>
      <c r="AA27" s="14" t="inlineStr">
        <is>
          <t>pass</t>
        </is>
      </c>
      <c r="AB27" s="16" t="inlineStr">
        <is>
          <t>warn</t>
        </is>
      </c>
      <c r="AC27" s="14" t="inlineStr">
        <is>
          <t>pass</t>
        </is>
      </c>
      <c r="AD27" s="14" t="inlineStr">
        <is>
          <t>pass</t>
        </is>
      </c>
      <c r="AE27" s="14" t="inlineStr">
        <is>
          <t>pass</t>
        </is>
      </c>
      <c r="AF27" s="14" t="inlineStr">
        <is>
          <t>pass</t>
        </is>
      </c>
      <c r="AG27" s="14" t="inlineStr">
        <is>
          <t>pass</t>
        </is>
      </c>
      <c r="AH27" s="15" t="inlineStr">
        <is>
          <t>not_checked</t>
        </is>
      </c>
      <c r="AI27" s="15" t="inlineStr">
        <is>
          <t>n.a.</t>
        </is>
      </c>
      <c r="AJ27" s="15" t="inlineStr">
        <is>
          <t>n.a.</t>
        </is>
      </c>
      <c r="AK27" s="4" t="inlineStr">
        <is>
          <t>access_url;machine_metadata(warn);cadence(warn)</t>
        </is>
      </c>
      <c r="AL27" s="17" t="inlineStr">
        <is>
          <t>https://climate.esa.int/en/projects/land-cover/</t>
        </is>
      </c>
      <c r="AM27" s="4" t="inlineStr">
        <is>
          <t>global_esa_cci_land_cover</t>
        </is>
      </c>
    </row>
    <row r="28">
      <c r="A28" s="4" t="inlineStr">
        <is>
          <t>SatPM2.5 (Satellite-derived PM2.5) global estimates V6.GL.02.04 and V5.GL.05.02</t>
        </is>
      </c>
      <c r="B28" s="13" t="inlineStr">
        <is>
          <t>Gold</t>
        </is>
      </c>
      <c r="C28" s="4" t="n">
        <v>95</v>
      </c>
      <c r="D28" s="4" t="inlineStr">
        <is>
          <t>environment</t>
        </is>
      </c>
      <c r="E28" s="4" t="inlineStr">
        <is>
          <t>degraded</t>
        </is>
      </c>
      <c r="F28" s="4" t="inlineStr">
        <is>
          <t>open</t>
        </is>
      </c>
      <c r="G28" s="4" t="inlineStr">
        <is>
          <t>grid_0.01deg</t>
        </is>
      </c>
      <c r="H28" s="4" t="inlineStr">
        <is>
          <t>Needs raster support</t>
        </is>
      </c>
      <c r="I28" s="4" t="n">
        <v>3</v>
      </c>
      <c r="J28" s="4" t="inlineStr"/>
      <c r="K28" s="4" t="inlineStr">
        <is>
          <t>Curated</t>
        </is>
      </c>
      <c r="L28" s="4" t="n">
        <v>2023</v>
      </c>
      <c r="M28" s="4" t="inlineStr">
        <is>
          <t>open</t>
        </is>
      </c>
      <c r="N28" s="4" t="inlineStr">
        <is>
          <t>2026-10-22</t>
        </is>
      </c>
      <c r="O28" s="14" t="inlineStr">
        <is>
          <t>pass</t>
        </is>
      </c>
      <c r="P28" s="14" t="inlineStr">
        <is>
          <t>pass</t>
        </is>
      </c>
      <c r="Q28" s="14" t="inlineStr">
        <is>
          <t>pass</t>
        </is>
      </c>
      <c r="R28" s="14" t="inlineStr">
        <is>
          <t>pass</t>
        </is>
      </c>
      <c r="S28" s="14" t="inlineStr">
        <is>
          <t>pass</t>
        </is>
      </c>
      <c r="T28" s="14" t="inlineStr">
        <is>
          <t>pass</t>
        </is>
      </c>
      <c r="U28" s="16" t="inlineStr">
        <is>
          <t>warn</t>
        </is>
      </c>
      <c r="V28" s="18" t="inlineStr">
        <is>
          <t>fail</t>
        </is>
      </c>
      <c r="W28" s="14" t="inlineStr">
        <is>
          <t>pass</t>
        </is>
      </c>
      <c r="X28" s="14" t="inlineStr">
        <is>
          <t>pass</t>
        </is>
      </c>
      <c r="Y28" s="14" t="inlineStr">
        <is>
          <t>pass</t>
        </is>
      </c>
      <c r="Z28" s="14" t="inlineStr">
        <is>
          <t>pass</t>
        </is>
      </c>
      <c r="AA28" s="14" t="inlineStr">
        <is>
          <t>pass</t>
        </is>
      </c>
      <c r="AB28" s="16" t="inlineStr">
        <is>
          <t>warn</t>
        </is>
      </c>
      <c r="AC28" s="14" t="inlineStr">
        <is>
          <t>pass</t>
        </is>
      </c>
      <c r="AD28" s="14" t="inlineStr">
        <is>
          <t>pass</t>
        </is>
      </c>
      <c r="AE28" s="14" t="inlineStr">
        <is>
          <t>pass</t>
        </is>
      </c>
      <c r="AF28" s="14" t="inlineStr">
        <is>
          <t>pass</t>
        </is>
      </c>
      <c r="AG28" s="14" t="inlineStr">
        <is>
          <t>pass</t>
        </is>
      </c>
      <c r="AH28" s="14" t="inlineStr">
        <is>
          <t>pass</t>
        </is>
      </c>
      <c r="AI28" s="15" t="inlineStr">
        <is>
          <t>n.a.</t>
        </is>
      </c>
      <c r="AJ28" s="15" t="inlineStr">
        <is>
          <t>n.a.</t>
        </is>
      </c>
      <c r="AK28" s="4" t="inlineStr">
        <is>
          <t>machine_metadata;format_match(warn);cadence(warn)</t>
        </is>
      </c>
      <c r="AL28" s="17" t="inlineStr">
        <is>
          <t>https://sites.wustl.edu/acag/datasets/surface-pm2-5/</t>
        </is>
      </c>
      <c r="AM28" s="4" t="inlineStr">
        <is>
          <t>global_acag_pm25</t>
        </is>
      </c>
    </row>
    <row r="29">
      <c r="A29" s="4" t="inlineStr">
        <is>
          <t>Health facilities in Thailand 2020</t>
        </is>
      </c>
      <c r="B29" s="13" t="inlineStr">
        <is>
          <t>Gold</t>
        </is>
      </c>
      <c r="C29" s="4" t="n">
        <v>100</v>
      </c>
      <c r="D29" s="4" t="inlineStr">
        <is>
          <t>health_outcome</t>
        </is>
      </c>
      <c r="E29" s="4" t="inlineStr">
        <is>
          <t>healthy</t>
        </is>
      </c>
      <c r="F29" s="4" t="inlineStr">
        <is>
          <t>attribution</t>
        </is>
      </c>
      <c r="G29" s="4" t="inlineStr">
        <is>
          <t>point</t>
        </is>
      </c>
      <c r="H29" s="4" t="inlineStr">
        <is>
          <t>Needs a count/distance step</t>
        </is>
      </c>
      <c r="I29" s="4" t="n">
        <v>3</v>
      </c>
      <c r="J29" s="4" t="inlineStr"/>
      <c r="K29" s="4" t="inlineStr">
        <is>
          <t>Catalog lead</t>
        </is>
      </c>
      <c r="L29" s="4" t="n">
        <v>2020</v>
      </c>
      <c r="M29" s="4" t="inlineStr">
        <is>
          <t>open</t>
        </is>
      </c>
      <c r="N29" s="4" t="inlineStr">
        <is>
          <t>2026-10-22</t>
        </is>
      </c>
      <c r="O29" s="14" t="inlineStr">
        <is>
          <t>pass</t>
        </is>
      </c>
      <c r="P29" s="14" t="inlineStr">
        <is>
          <t>pass</t>
        </is>
      </c>
      <c r="Q29" s="14" t="inlineStr">
        <is>
          <t>pass</t>
        </is>
      </c>
      <c r="R29" s="14" t="inlineStr">
        <is>
          <t>pass</t>
        </is>
      </c>
      <c r="S29" s="14" t="inlineStr">
        <is>
          <t>pass</t>
        </is>
      </c>
      <c r="T29" s="14" t="inlineStr">
        <is>
          <t>pass</t>
        </is>
      </c>
      <c r="U29" s="14" t="inlineStr">
        <is>
          <t>pass</t>
        </is>
      </c>
      <c r="V29" s="14" t="inlineStr">
        <is>
          <t>pass</t>
        </is>
      </c>
      <c r="W29" s="16" t="inlineStr">
        <is>
          <t>warn</t>
        </is>
      </c>
      <c r="X29" s="18" t="inlineStr">
        <is>
          <t>fail</t>
        </is>
      </c>
      <c r="Y29" s="14" t="inlineStr">
        <is>
          <t>pass</t>
        </is>
      </c>
      <c r="Z29" s="14" t="inlineStr">
        <is>
          <t>pass</t>
        </is>
      </c>
      <c r="AA29" s="14" t="inlineStr">
        <is>
          <t>pass</t>
        </is>
      </c>
      <c r="AB29" s="15" t="inlineStr">
        <is>
          <t>not_checked</t>
        </is>
      </c>
      <c r="AC29" s="16" t="inlineStr">
        <is>
          <t>warn</t>
        </is>
      </c>
      <c r="AD29" s="14" t="inlineStr">
        <is>
          <t>pass</t>
        </is>
      </c>
      <c r="AE29" s="18" t="inlineStr">
        <is>
          <t>fail</t>
        </is>
      </c>
      <c r="AF29" s="14" t="inlineStr">
        <is>
          <t>pass</t>
        </is>
      </c>
      <c r="AG29" s="14" t="inlineStr">
        <is>
          <t>pass</t>
        </is>
      </c>
      <c r="AH29" s="14" t="inlineStr">
        <is>
          <t>pass</t>
        </is>
      </c>
      <c r="AI29" s="15" t="inlineStr">
        <is>
          <t>n.a.</t>
        </is>
      </c>
      <c r="AJ29" s="15" t="inlineStr">
        <is>
          <t>n.a.</t>
        </is>
      </c>
      <c r="AK29" s="4" t="inlineStr">
        <is>
          <t>archived;coverage;persistent_id(warn);version(warn)</t>
        </is>
      </c>
      <c r="AL29" s="17" t="inlineStr">
        <is>
          <t>https://data.opendevelopmentmekong.net/dataset/health-facilities-in-thailand-2020</t>
        </is>
      </c>
      <c r="AM29" s="4" t="inlineStr">
        <is>
          <t>mekong_odm_health_facilities_in_thailand_2020</t>
        </is>
      </c>
    </row>
    <row r="30">
      <c r="A30" s="4" t="inlineStr">
        <is>
          <t>U.S. Small-area Life Expectancy Estimates Project (USALEEP)</t>
        </is>
      </c>
      <c r="B30" s="13" t="inlineStr">
        <is>
          <t>Gold</t>
        </is>
      </c>
      <c r="C30" s="4" t="n">
        <v>94</v>
      </c>
      <c r="D30" s="4" t="inlineStr">
        <is>
          <t>health_outcome</t>
        </is>
      </c>
      <c r="E30" s="4" t="inlineStr">
        <is>
          <t>healthy</t>
        </is>
      </c>
      <c r="F30" s="4" t="inlineStr">
        <is>
          <t>open</t>
        </is>
      </c>
      <c r="G30" s="4" t="inlineStr">
        <is>
          <t>tract</t>
        </is>
      </c>
      <c r="H30" s="4" t="inlineStr">
        <is>
          <t>Joins today</t>
        </is>
      </c>
      <c r="I30" s="4" t="n">
        <v>3</v>
      </c>
      <c r="J30" s="4" t="inlineStr"/>
      <c r="K30" s="4" t="inlineStr">
        <is>
          <t>Curated</t>
        </is>
      </c>
      <c r="L30" s="4" t="n">
        <v>2015</v>
      </c>
      <c r="M30" s="4" t="inlineStr">
        <is>
          <t>unknown</t>
        </is>
      </c>
      <c r="N30" s="4" t="inlineStr">
        <is>
          <t>2026-10-22</t>
        </is>
      </c>
      <c r="O30" s="14" t="inlineStr">
        <is>
          <t>pass</t>
        </is>
      </c>
      <c r="P30" s="14" t="inlineStr">
        <is>
          <t>pass</t>
        </is>
      </c>
      <c r="Q30" s="14" t="inlineStr">
        <is>
          <t>pass</t>
        </is>
      </c>
      <c r="R30" s="14" t="inlineStr">
        <is>
          <t>pass</t>
        </is>
      </c>
      <c r="S30" s="14" t="inlineStr">
        <is>
          <t>pass</t>
        </is>
      </c>
      <c r="T30" s="14" t="inlineStr">
        <is>
          <t>pass</t>
        </is>
      </c>
      <c r="U30" s="16" t="inlineStr">
        <is>
          <t>warn</t>
        </is>
      </c>
      <c r="V30" s="16" t="inlineStr">
        <is>
          <t>warn</t>
        </is>
      </c>
      <c r="W30" s="16" t="inlineStr">
        <is>
          <t>warn</t>
        </is>
      </c>
      <c r="X30" s="14" t="inlineStr">
        <is>
          <t>pass</t>
        </is>
      </c>
      <c r="Y30" s="14" t="inlineStr">
        <is>
          <t>pass</t>
        </is>
      </c>
      <c r="Z30" s="14" t="inlineStr">
        <is>
          <t>pass</t>
        </is>
      </c>
      <c r="AA30" s="16" t="inlineStr">
        <is>
          <t>warn</t>
        </is>
      </c>
      <c r="AB30" s="16" t="inlineStr">
        <is>
          <t>warn</t>
        </is>
      </c>
      <c r="AC30" s="16" t="inlineStr">
        <is>
          <t>warn</t>
        </is>
      </c>
      <c r="AD30" s="14" t="inlineStr">
        <is>
          <t>pass</t>
        </is>
      </c>
      <c r="AE30" s="16" t="inlineStr">
        <is>
          <t>warn</t>
        </is>
      </c>
      <c r="AF30" s="14" t="inlineStr">
        <is>
          <t>pass</t>
        </is>
      </c>
      <c r="AG30" s="14" t="inlineStr">
        <is>
          <t>pass</t>
        </is>
      </c>
      <c r="AH30" s="14" t="inlineStr">
        <is>
          <t>pass</t>
        </is>
      </c>
      <c r="AI30" s="15" t="inlineStr">
        <is>
          <t>n.a.</t>
        </is>
      </c>
      <c r="AJ30" s="15" t="inlineStr">
        <is>
          <t>n.a.</t>
        </is>
      </c>
      <c r="AK30" s="4" t="inlineStr">
        <is>
          <t>format_match(warn);machine_metadata(warn);persistent_id(warn);recency(warn);cadence(warn);version(warn);coverage(warn)</t>
        </is>
      </c>
      <c r="AL30" s="17" t="inlineStr">
        <is>
          <t>https://www.cdc.gov/nchs/nvss/usaleep/usaleep.html</t>
        </is>
      </c>
      <c r="AM30" s="4" t="inlineStr">
        <is>
          <t>us_cdc_usaleep</t>
        </is>
      </c>
    </row>
    <row r="31">
      <c r="A31" s="4" t="inlineStr">
        <is>
          <t>Rural Urban Classification</t>
        </is>
      </c>
      <c r="B31" s="13" t="inlineStr">
        <is>
          <t>Gold</t>
        </is>
      </c>
      <c r="C31" s="4" t="n">
        <v>93</v>
      </c>
      <c r="D31" s="4" t="inlineStr">
        <is>
          <t>other</t>
        </is>
      </c>
      <c r="E31" s="4" t="inlineStr">
        <is>
          <t>healthy</t>
        </is>
      </c>
      <c r="F31" s="4" t="inlineStr">
        <is>
          <t>open</t>
        </is>
      </c>
      <c r="G31" s="4" t="inlineStr">
        <is>
          <t>output_area (OA; 188,880 OAs of c. 100-625 people)</t>
        </is>
      </c>
      <c r="H31" s="4" t="inlineStr">
        <is>
          <t>Joins today</t>
        </is>
      </c>
      <c r="I31" s="4" t="n">
        <v>2</v>
      </c>
      <c r="J31" s="4" t="inlineStr"/>
      <c r="K31" s="4" t="inlineStr">
        <is>
          <t>Curated</t>
        </is>
      </c>
      <c r="L31" s="4" t="n">
        <v>2021</v>
      </c>
      <c r="M31" s="4" t="inlineStr">
        <is>
          <t>open</t>
        </is>
      </c>
      <c r="N31" s="4" t="inlineStr">
        <is>
          <t>2026-10-22</t>
        </is>
      </c>
      <c r="O31" s="14" t="inlineStr">
        <is>
          <t>pass</t>
        </is>
      </c>
      <c r="P31" s="14" t="inlineStr">
        <is>
          <t>pass</t>
        </is>
      </c>
      <c r="Q31" s="14" t="inlineStr">
        <is>
          <t>pass</t>
        </is>
      </c>
      <c r="R31" s="14" t="inlineStr">
        <is>
          <t>pass</t>
        </is>
      </c>
      <c r="S31" s="14" t="inlineStr">
        <is>
          <t>pass</t>
        </is>
      </c>
      <c r="T31" s="14" t="inlineStr">
        <is>
          <t>pass</t>
        </is>
      </c>
      <c r="U31" s="16" t="inlineStr">
        <is>
          <t>warn</t>
        </is>
      </c>
      <c r="V31" s="16" t="inlineStr">
        <is>
          <t>warn</t>
        </is>
      </c>
      <c r="W31" s="16" t="inlineStr">
        <is>
          <t>warn</t>
        </is>
      </c>
      <c r="X31" s="14" t="inlineStr">
        <is>
          <t>pass</t>
        </is>
      </c>
      <c r="Y31" s="14" t="inlineStr">
        <is>
          <t>pass</t>
        </is>
      </c>
      <c r="Z31" s="14" t="inlineStr">
        <is>
          <t>pass</t>
        </is>
      </c>
      <c r="AA31" s="14" t="inlineStr">
        <is>
          <t>pass</t>
        </is>
      </c>
      <c r="AB31" s="16" t="inlineStr">
        <is>
          <t>warn</t>
        </is>
      </c>
      <c r="AC31" s="14" t="inlineStr">
        <is>
          <t>pass</t>
        </is>
      </c>
      <c r="AD31" s="14" t="inlineStr">
        <is>
          <t>pass</t>
        </is>
      </c>
      <c r="AE31" s="18" t="inlineStr">
        <is>
          <t>fail</t>
        </is>
      </c>
      <c r="AF31" s="14" t="inlineStr">
        <is>
          <t>pass</t>
        </is>
      </c>
      <c r="AG31" s="16" t="inlineStr">
        <is>
          <t>warn</t>
        </is>
      </c>
      <c r="AH31" s="16" t="inlineStr">
        <is>
          <t>warn</t>
        </is>
      </c>
      <c r="AI31" s="15" t="inlineStr">
        <is>
          <t>n.a.</t>
        </is>
      </c>
      <c r="AJ31" s="15" t="inlineStr">
        <is>
          <t>n.a.</t>
        </is>
      </c>
      <c r="AK31" s="4" t="inlineStr">
        <is>
          <t>coverage;format_match(warn);machine_metadata(warn);persistent_id(warn);cadence(warn);join_key(warn);format_gaia(warn)</t>
        </is>
      </c>
      <c r="AL31" s="17" t="inlineStr">
        <is>
          <t>https://www.gov.uk/government/collections/rural-urban-classification</t>
        </is>
      </c>
      <c r="AM31" s="4" t="inlineStr">
        <is>
          <t>gb_defra_ons_rural_urban_classification</t>
        </is>
      </c>
    </row>
    <row r="32">
      <c r="A32" s="4" t="inlineStr">
        <is>
          <t>Area Health Resources Files (AHRF)</t>
        </is>
      </c>
      <c r="B32" s="13" t="inlineStr">
        <is>
          <t>Gold</t>
        </is>
      </c>
      <c r="C32" s="4" t="n">
        <v>91</v>
      </c>
      <c r="D32" s="4" t="inlineStr">
        <is>
          <t>sdoh</t>
        </is>
      </c>
      <c r="E32" s="4" t="inlineStr">
        <is>
          <t>degraded</t>
        </is>
      </c>
      <c r="F32" s="4" t="inlineStr">
        <is>
          <t>open</t>
        </is>
      </c>
      <c r="G32" s="4" t="inlineStr">
        <is>
          <t>county</t>
        </is>
      </c>
      <c r="H32" s="4" t="inlineStr">
        <is>
          <t>Joins today</t>
        </is>
      </c>
      <c r="I32" s="4" t="n">
        <v>3</v>
      </c>
      <c r="J32" s="4" t="inlineStr"/>
      <c r="K32" s="4" t="inlineStr">
        <is>
          <t>Curated</t>
        </is>
      </c>
      <c r="L32" s="4" t="n">
        <v>2025</v>
      </c>
      <c r="M32" s="4" t="inlineStr">
        <is>
          <t>open</t>
        </is>
      </c>
      <c r="N32" s="4" t="inlineStr">
        <is>
          <t>2026-10-22</t>
        </is>
      </c>
      <c r="O32" s="14" t="inlineStr">
        <is>
          <t>pass</t>
        </is>
      </c>
      <c r="P32" s="14" t="inlineStr">
        <is>
          <t>pass</t>
        </is>
      </c>
      <c r="Q32" s="14" t="inlineStr">
        <is>
          <t>pass</t>
        </is>
      </c>
      <c r="R32" s="14" t="inlineStr">
        <is>
          <t>pass</t>
        </is>
      </c>
      <c r="S32" s="14" t="inlineStr">
        <is>
          <t>pass</t>
        </is>
      </c>
      <c r="T32" s="14" t="inlineStr">
        <is>
          <t>pass</t>
        </is>
      </c>
      <c r="U32" s="16" t="inlineStr">
        <is>
          <t>warn</t>
        </is>
      </c>
      <c r="V32" s="18" t="inlineStr">
        <is>
          <t>fail</t>
        </is>
      </c>
      <c r="W32" s="16" t="inlineStr">
        <is>
          <t>warn</t>
        </is>
      </c>
      <c r="X32" s="14" t="inlineStr">
        <is>
          <t>pass</t>
        </is>
      </c>
      <c r="Y32" s="14" t="inlineStr">
        <is>
          <t>pass</t>
        </is>
      </c>
      <c r="Z32" s="14" t="inlineStr">
        <is>
          <t>pass</t>
        </is>
      </c>
      <c r="AA32" s="14" t="inlineStr">
        <is>
          <t>pass</t>
        </is>
      </c>
      <c r="AB32" s="14" t="inlineStr">
        <is>
          <t>pass</t>
        </is>
      </c>
      <c r="AC32" s="14" t="inlineStr">
        <is>
          <t>pass</t>
        </is>
      </c>
      <c r="AD32" s="14" t="inlineStr">
        <is>
          <t>pass</t>
        </is>
      </c>
      <c r="AE32" s="14" t="inlineStr">
        <is>
          <t>pass</t>
        </is>
      </c>
      <c r="AF32" s="14" t="inlineStr">
        <is>
          <t>pass</t>
        </is>
      </c>
      <c r="AG32" s="16" t="inlineStr">
        <is>
          <t>warn</t>
        </is>
      </c>
      <c r="AH32" s="14" t="inlineStr">
        <is>
          <t>pass</t>
        </is>
      </c>
      <c r="AI32" s="15" t="inlineStr">
        <is>
          <t>n.a.</t>
        </is>
      </c>
      <c r="AJ32" s="15" t="inlineStr">
        <is>
          <t>n.a.</t>
        </is>
      </c>
      <c r="AK32" s="4" t="inlineStr">
        <is>
          <t>machine_metadata;format_match(warn);persistent_id(warn);join_key(warn)</t>
        </is>
      </c>
      <c r="AL32" s="17" t="inlineStr">
        <is>
          <t>https://data.hrsa.gov/topics/health-workforce/ahrf</t>
        </is>
      </c>
      <c r="AM32" s="4" t="inlineStr">
        <is>
          <t>us_hrsa_ahrf</t>
        </is>
      </c>
    </row>
    <row r="33">
      <c r="A33" s="4" t="inlineStr">
        <is>
          <t>Comprehensive Housing Affordability Strategy (CHAS) data</t>
        </is>
      </c>
      <c r="B33" s="13" t="inlineStr">
        <is>
          <t>Gold</t>
        </is>
      </c>
      <c r="C33" s="4" t="n">
        <v>92</v>
      </c>
      <c r="D33" s="4" t="inlineStr">
        <is>
          <t>sdoh</t>
        </is>
      </c>
      <c r="E33" s="4" t="inlineStr">
        <is>
          <t>healthy</t>
        </is>
      </c>
      <c r="F33" s="4" t="inlineStr">
        <is>
          <t>unknown</t>
        </is>
      </c>
      <c r="G33" s="4" t="inlineStr">
        <is>
          <t>block group (091), tract (080)</t>
        </is>
      </c>
      <c r="H33" s="4" t="inlineStr">
        <is>
          <t>Joins today</t>
        </is>
      </c>
      <c r="I33" s="4" t="n">
        <v>3</v>
      </c>
      <c r="J33" s="4" t="inlineStr"/>
      <c r="K33" s="4" t="inlineStr">
        <is>
          <t>Curated</t>
        </is>
      </c>
      <c r="L33" s="4" t="n">
        <v>2022</v>
      </c>
      <c r="M33" s="4" t="inlineStr">
        <is>
          <t>open</t>
        </is>
      </c>
      <c r="N33" s="4" t="inlineStr">
        <is>
          <t>2026-10-28</t>
        </is>
      </c>
      <c r="O33" s="14" t="inlineStr">
        <is>
          <t>pass</t>
        </is>
      </c>
      <c r="P33" s="14" t="inlineStr">
        <is>
          <t>pass</t>
        </is>
      </c>
      <c r="Q33" s="14" t="inlineStr">
        <is>
          <t>pass</t>
        </is>
      </c>
      <c r="R33" s="14" t="inlineStr">
        <is>
          <t>pass</t>
        </is>
      </c>
      <c r="S33" s="14" t="inlineStr">
        <is>
          <t>pass</t>
        </is>
      </c>
      <c r="T33" s="14" t="inlineStr">
        <is>
          <t>pass</t>
        </is>
      </c>
      <c r="U33" s="14" t="inlineStr">
        <is>
          <t>pass</t>
        </is>
      </c>
      <c r="V33" s="15" t="inlineStr">
        <is>
          <t>not_checked</t>
        </is>
      </c>
      <c r="W33" s="15" t="inlineStr">
        <is>
          <t>not_checked</t>
        </is>
      </c>
      <c r="X33" s="14" t="inlineStr">
        <is>
          <t>pass</t>
        </is>
      </c>
      <c r="Y33" s="16" t="inlineStr">
        <is>
          <t>warn</t>
        </is>
      </c>
      <c r="Z33" s="14" t="inlineStr">
        <is>
          <t>pass</t>
        </is>
      </c>
      <c r="AA33" s="14" t="inlineStr">
        <is>
          <t>pass</t>
        </is>
      </c>
      <c r="AB33" s="15" t="inlineStr">
        <is>
          <t>not_checked</t>
        </is>
      </c>
      <c r="AC33" s="15" t="inlineStr">
        <is>
          <t>not_checked</t>
        </is>
      </c>
      <c r="AD33" s="14" t="inlineStr">
        <is>
          <t>pass</t>
        </is>
      </c>
      <c r="AE33" s="15" t="inlineStr">
        <is>
          <t>not_checked</t>
        </is>
      </c>
      <c r="AF33" s="14" t="inlineStr">
        <is>
          <t>pass</t>
        </is>
      </c>
      <c r="AG33" s="15" t="inlineStr">
        <is>
          <t>not_checked</t>
        </is>
      </c>
      <c r="AH33" s="14" t="inlineStr">
        <is>
          <t>pass</t>
        </is>
      </c>
      <c r="AI33" s="15" t="inlineStr">
        <is>
          <t>n.a.</t>
        </is>
      </c>
      <c r="AJ33" s="15" t="inlineStr">
        <is>
          <t>n.a.</t>
        </is>
      </c>
      <c r="AK33" s="4" t="inlineStr">
        <is>
          <t>license(warn)</t>
        </is>
      </c>
      <c r="AL33" s="17" t="inlineStr">
        <is>
          <t>https://www.huduser.gov/portal/datasets/cp.html</t>
        </is>
      </c>
      <c r="AM33" s="4" t="inlineStr">
        <is>
          <t>us_hud_chas</t>
        </is>
      </c>
    </row>
    <row r="34">
      <c r="A34" s="4" t="inlineStr">
        <is>
          <t>NATA / AirToxScreen replication dataset 1996-2019 (tract and county risk tables)</t>
        </is>
      </c>
      <c r="B34" s="13" t="inlineStr">
        <is>
          <t>Gold</t>
        </is>
      </c>
      <c r="C34" s="4" t="n">
        <v>95</v>
      </c>
      <c r="D34" s="4" t="inlineStr">
        <is>
          <t>toxics</t>
        </is>
      </c>
      <c r="E34" s="4" t="inlineStr">
        <is>
          <t>healthy</t>
        </is>
      </c>
      <c r="F34" s="4" t="inlineStr">
        <is>
          <t>open</t>
        </is>
      </c>
      <c r="G34" s="4" t="inlineStr">
        <is>
          <t>tract</t>
        </is>
      </c>
      <c r="H34" s="4" t="inlineStr">
        <is>
          <t>Joins today</t>
        </is>
      </c>
      <c r="I34" s="4" t="n">
        <v>3</v>
      </c>
      <c r="J34" s="4" t="inlineStr"/>
      <c r="K34" s="4" t="inlineStr">
        <is>
          <t>Curated</t>
        </is>
      </c>
      <c r="L34" s="4" t="n">
        <v>2020</v>
      </c>
      <c r="M34" s="4" t="inlineStr">
        <is>
          <t>open</t>
        </is>
      </c>
      <c r="N34" s="4" t="inlineStr">
        <is>
          <t>2026-10-22</t>
        </is>
      </c>
      <c r="O34" s="14" t="inlineStr">
        <is>
          <t>pass</t>
        </is>
      </c>
      <c r="P34" s="14" t="inlineStr">
        <is>
          <t>pass</t>
        </is>
      </c>
      <c r="Q34" s="14" t="inlineStr">
        <is>
          <t>pass</t>
        </is>
      </c>
      <c r="R34" s="14" t="inlineStr">
        <is>
          <t>pass</t>
        </is>
      </c>
      <c r="S34" s="14" t="inlineStr">
        <is>
          <t>pass</t>
        </is>
      </c>
      <c r="T34" s="14" t="inlineStr">
        <is>
          <t>pass</t>
        </is>
      </c>
      <c r="U34" s="15" t="inlineStr">
        <is>
          <t>n.a.</t>
        </is>
      </c>
      <c r="V34" s="14" t="inlineStr">
        <is>
          <t>pass</t>
        </is>
      </c>
      <c r="W34" s="14" t="inlineStr">
        <is>
          <t>pass</t>
        </is>
      </c>
      <c r="X34" s="18" t="inlineStr">
        <is>
          <t>fail</t>
        </is>
      </c>
      <c r="Y34" s="14" t="inlineStr">
        <is>
          <t>pass</t>
        </is>
      </c>
      <c r="Z34" s="14" t="inlineStr">
        <is>
          <t>pass</t>
        </is>
      </c>
      <c r="AA34" s="14" t="inlineStr">
        <is>
          <t>pass</t>
        </is>
      </c>
      <c r="AB34" s="16" t="inlineStr">
        <is>
          <t>warn</t>
        </is>
      </c>
      <c r="AC34" s="14" t="inlineStr">
        <is>
          <t>pass</t>
        </is>
      </c>
      <c r="AD34" s="14" t="inlineStr">
        <is>
          <t>pass</t>
        </is>
      </c>
      <c r="AE34" s="16" t="inlineStr">
        <is>
          <t>warn</t>
        </is>
      </c>
      <c r="AF34" s="14" t="inlineStr">
        <is>
          <t>pass</t>
        </is>
      </c>
      <c r="AG34" s="16" t="inlineStr">
        <is>
          <t>warn</t>
        </is>
      </c>
      <c r="AH34" s="16" t="inlineStr">
        <is>
          <t>warn</t>
        </is>
      </c>
      <c r="AI34" s="15" t="inlineStr">
        <is>
          <t>n.a.</t>
        </is>
      </c>
      <c r="AJ34" s="15" t="inlineStr">
        <is>
          <t>n.a.</t>
        </is>
      </c>
      <c r="AK34" s="4" t="inlineStr">
        <is>
          <t>archived;cadence(warn);coverage(warn);join_key(warn);format_gaia(warn)</t>
        </is>
      </c>
      <c r="AL34" s="17" t="inlineStr">
        <is>
          <t>https://zenodo-rdm.web.cern.ch/records/17187663</t>
        </is>
      </c>
      <c r="AM34" s="4" t="inlineStr">
        <is>
          <t>us_zenodo_nata_replication_1996_2019</t>
        </is>
      </c>
    </row>
    <row r="35">
      <c r="A35" s="4" t="inlineStr">
        <is>
          <t>2021 Census Boundary Files</t>
        </is>
      </c>
      <c r="B35" s="19" t="inlineStr">
        <is>
          <t>Silver</t>
        </is>
      </c>
      <c r="C35" s="4" t="n">
        <v>93</v>
      </c>
      <c r="D35" s="4" t="inlineStr">
        <is>
          <t>boundaries</t>
        </is>
      </c>
      <c r="E35" s="4" t="inlineStr">
        <is>
          <t>healthy</t>
        </is>
      </c>
      <c r="F35" s="4" t="inlineStr">
        <is>
          <t>open</t>
        </is>
      </c>
      <c r="G35" s="4" t="inlineStr">
        <is>
          <t>block</t>
        </is>
      </c>
      <c r="H35" s="4" t="inlineStr">
        <is>
          <t>Joins today</t>
        </is>
      </c>
      <c r="I35" s="4" t="n">
        <v>1</v>
      </c>
      <c r="J35" s="4" t="inlineStr"/>
      <c r="K35" s="4" t="inlineStr">
        <is>
          <t>Curated</t>
        </is>
      </c>
      <c r="L35" s="4" t="n">
        <v>2021</v>
      </c>
      <c r="M35" s="4" t="inlineStr">
        <is>
          <t>open</t>
        </is>
      </c>
      <c r="N35" s="4" t="inlineStr">
        <is>
          <t>2026-10-28</t>
        </is>
      </c>
      <c r="O35" s="14" t="inlineStr">
        <is>
          <t>pass</t>
        </is>
      </c>
      <c r="P35" s="14" t="inlineStr">
        <is>
          <t>pass</t>
        </is>
      </c>
      <c r="Q35" s="14" t="inlineStr">
        <is>
          <t>pass</t>
        </is>
      </c>
      <c r="R35" s="14" t="inlineStr">
        <is>
          <t>pass</t>
        </is>
      </c>
      <c r="S35" s="14" t="inlineStr">
        <is>
          <t>pass</t>
        </is>
      </c>
      <c r="T35" s="16" t="inlineStr">
        <is>
          <t>warn</t>
        </is>
      </c>
      <c r="U35" s="15" t="inlineStr">
        <is>
          <t>n.a.</t>
        </is>
      </c>
      <c r="V35" s="14" t="inlineStr">
        <is>
          <t>pass</t>
        </is>
      </c>
      <c r="W35" s="16" t="inlineStr">
        <is>
          <t>warn</t>
        </is>
      </c>
      <c r="X35" s="18" t="inlineStr">
        <is>
          <t>fail</t>
        </is>
      </c>
      <c r="Y35" s="14" t="inlineStr">
        <is>
          <t>pass</t>
        </is>
      </c>
      <c r="Z35" s="14" t="inlineStr">
        <is>
          <t>pass</t>
        </is>
      </c>
      <c r="AA35" s="14" t="inlineStr">
        <is>
          <t>pass</t>
        </is>
      </c>
      <c r="AB35" s="14" t="inlineStr">
        <is>
          <t>pass</t>
        </is>
      </c>
      <c r="AC35" s="16" t="inlineStr">
        <is>
          <t>warn</t>
        </is>
      </c>
      <c r="AD35" s="16" t="inlineStr">
        <is>
          <t>warn</t>
        </is>
      </c>
      <c r="AE35" s="16" t="inlineStr">
        <is>
          <t>warn</t>
        </is>
      </c>
      <c r="AF35" s="14" t="inlineStr">
        <is>
          <t>pass</t>
        </is>
      </c>
      <c r="AG35" s="14" t="inlineStr">
        <is>
          <t>pass</t>
        </is>
      </c>
      <c r="AH35" s="14" t="inlineStr">
        <is>
          <t>pass</t>
        </is>
      </c>
      <c r="AI35" s="15" t="inlineStr">
        <is>
          <t>n.a.</t>
        </is>
      </c>
      <c r="AJ35" s="15" t="inlineStr">
        <is>
          <t>n.a.</t>
        </is>
      </c>
      <c r="AK35" s="4" t="inlineStr">
        <is>
          <t>archived;access_url(warn);persistent_id(warn);version(warn);unit(warn);coverage(warn)</t>
        </is>
      </c>
      <c r="AL35" s="17" t="inlineStr">
        <is>
          <t>https://open.canada.ca/data/dataset/ef70dc3b-1069-4037-9bce-61f47e628a1d</t>
        </is>
      </c>
      <c r="AM35" s="4" t="inlineStr">
        <is>
          <t>ca_statcan_census_boundary_files_2021</t>
        </is>
      </c>
    </row>
    <row r="36">
      <c r="A36" s="4" t="inlineStr">
        <is>
          <t>Australian Statistical Geography Standard (ASGS) Edition 3 digital boundary files</t>
        </is>
      </c>
      <c r="B36" s="19" t="inlineStr">
        <is>
          <t>Silver</t>
        </is>
      </c>
      <c r="C36" s="4" t="n">
        <v>91</v>
      </c>
      <c r="D36" s="4" t="inlineStr">
        <is>
          <t>boundaries</t>
        </is>
      </c>
      <c r="E36" s="4" t="inlineStr">
        <is>
          <t>healthy</t>
        </is>
      </c>
      <c r="F36" s="4" t="inlineStr">
        <is>
          <t>open</t>
        </is>
      </c>
      <c r="G36" s="4" t="inlineStr">
        <is>
          <t>block</t>
        </is>
      </c>
      <c r="H36" s="4" t="inlineStr">
        <is>
          <t>Joins today</t>
        </is>
      </c>
      <c r="I36" s="4" t="n">
        <v>1</v>
      </c>
      <c r="J36" s="4" t="inlineStr"/>
      <c r="K36" s="4" t="inlineStr">
        <is>
          <t>Curated</t>
        </is>
      </c>
      <c r="L36" s="4" t="n">
        <v>2025</v>
      </c>
      <c r="M36" s="4" t="inlineStr">
        <is>
          <t>open</t>
        </is>
      </c>
      <c r="N36" s="4" t="inlineStr">
        <is>
          <t>2026-10-28</t>
        </is>
      </c>
      <c r="O36" s="14" t="inlineStr">
        <is>
          <t>pass</t>
        </is>
      </c>
      <c r="P36" s="14" t="inlineStr">
        <is>
          <t>pass</t>
        </is>
      </c>
      <c r="Q36" s="14" t="inlineStr">
        <is>
          <t>pass</t>
        </is>
      </c>
      <c r="R36" s="14" t="inlineStr">
        <is>
          <t>pass</t>
        </is>
      </c>
      <c r="S36" s="14" t="inlineStr">
        <is>
          <t>pass</t>
        </is>
      </c>
      <c r="T36" s="15" t="inlineStr">
        <is>
          <t>n.a.</t>
        </is>
      </c>
      <c r="U36" s="15" t="inlineStr">
        <is>
          <t>n.a.</t>
        </is>
      </c>
      <c r="V36" s="16" t="inlineStr">
        <is>
          <t>warn</t>
        </is>
      </c>
      <c r="W36" s="16" t="inlineStr">
        <is>
          <t>warn</t>
        </is>
      </c>
      <c r="X36" s="14" t="inlineStr">
        <is>
          <t>pass</t>
        </is>
      </c>
      <c r="Y36" s="14" t="inlineStr">
        <is>
          <t>pass</t>
        </is>
      </c>
      <c r="Z36" s="14" t="inlineStr">
        <is>
          <t>pass</t>
        </is>
      </c>
      <c r="AA36" s="14" t="inlineStr">
        <is>
          <t>pass</t>
        </is>
      </c>
      <c r="AB36" s="14" t="inlineStr">
        <is>
          <t>pass</t>
        </is>
      </c>
      <c r="AC36" s="14" t="inlineStr">
        <is>
          <t>pass</t>
        </is>
      </c>
      <c r="AD36" s="16" t="inlineStr">
        <is>
          <t>warn</t>
        </is>
      </c>
      <c r="AE36" s="14" t="inlineStr">
        <is>
          <t>pass</t>
        </is>
      </c>
      <c r="AF36" s="14" t="inlineStr">
        <is>
          <t>pass</t>
        </is>
      </c>
      <c r="AG36" s="14" t="inlineStr">
        <is>
          <t>pass</t>
        </is>
      </c>
      <c r="AH36" s="14" t="inlineStr">
        <is>
          <t>pass</t>
        </is>
      </c>
      <c r="AI36" s="15" t="inlineStr">
        <is>
          <t>n.a.</t>
        </is>
      </c>
      <c r="AJ36" s="15" t="inlineStr">
        <is>
          <t>n.a.</t>
        </is>
      </c>
      <c r="AK36" s="4" t="inlineStr">
        <is>
          <t>machine_metadata(warn);persistent_id(warn);unit(warn)</t>
        </is>
      </c>
      <c r="AL36" s="17" t="inlineStr">
        <is>
          <t>https://www.abs.gov.au/statistics/standards/australian-statistical-geography-standard-asgs-edition-3/jul2021-jun2026/access-and-downloads/digital-boundary-files</t>
        </is>
      </c>
      <c r="AM36" s="4" t="inlineStr">
        <is>
          <t>au_abs_asgs_boundaries</t>
        </is>
      </c>
    </row>
    <row r="37">
      <c r="A37" s="4" t="inlineStr">
        <is>
          <t>Boundary-Line</t>
        </is>
      </c>
      <c r="B37" s="19" t="inlineStr">
        <is>
          <t>Silver</t>
        </is>
      </c>
      <c r="C37" s="4" t="n">
        <v>92</v>
      </c>
      <c r="D37" s="4" t="inlineStr">
        <is>
          <t>boundaries</t>
        </is>
      </c>
      <c r="E37" s="4" t="inlineStr">
        <is>
          <t>healthy</t>
        </is>
      </c>
      <c r="F37" s="4" t="inlineStr">
        <is>
          <t>unknown</t>
        </is>
      </c>
      <c r="G37" s="4" t="inlineStr">
        <is>
          <t>postcode_small_area</t>
        </is>
      </c>
      <c r="H37" s="4" t="inlineStr">
        <is>
          <t>Joins today</t>
        </is>
      </c>
      <c r="I37" s="4" t="n">
        <v>1</v>
      </c>
      <c r="J37" s="4" t="inlineStr"/>
      <c r="K37" s="4" t="inlineStr">
        <is>
          <t>Curated</t>
        </is>
      </c>
      <c r="L37" s="4" t="n">
        <v>2026</v>
      </c>
      <c r="M37" s="4" t="inlineStr">
        <is>
          <t>open</t>
        </is>
      </c>
      <c r="N37" s="4" t="inlineStr">
        <is>
          <t>2026-10-28</t>
        </is>
      </c>
      <c r="O37" s="14" t="inlineStr">
        <is>
          <t>pass</t>
        </is>
      </c>
      <c r="P37" s="14" t="inlineStr">
        <is>
          <t>pass</t>
        </is>
      </c>
      <c r="Q37" s="14" t="inlineStr">
        <is>
          <t>pass</t>
        </is>
      </c>
      <c r="R37" s="14" t="inlineStr">
        <is>
          <t>pass</t>
        </is>
      </c>
      <c r="S37" s="14" t="inlineStr">
        <is>
          <t>pass</t>
        </is>
      </c>
      <c r="T37" s="14" t="inlineStr">
        <is>
          <t>pass</t>
        </is>
      </c>
      <c r="U37" s="16" t="inlineStr">
        <is>
          <t>warn</t>
        </is>
      </c>
      <c r="V37" s="16" t="inlineStr">
        <is>
          <t>warn</t>
        </is>
      </c>
      <c r="W37" s="16" t="inlineStr">
        <is>
          <t>warn</t>
        </is>
      </c>
      <c r="X37" s="14" t="inlineStr">
        <is>
          <t>pass</t>
        </is>
      </c>
      <c r="Y37" s="15" t="inlineStr">
        <is>
          <t>not_checked</t>
        </is>
      </c>
      <c r="Z37" s="16" t="inlineStr">
        <is>
          <t>warn</t>
        </is>
      </c>
      <c r="AA37" s="14" t="inlineStr">
        <is>
          <t>pass</t>
        </is>
      </c>
      <c r="AB37" s="14" t="inlineStr">
        <is>
          <t>pass</t>
        </is>
      </c>
      <c r="AC37" s="15" t="inlineStr">
        <is>
          <t>not_checked</t>
        </is>
      </c>
      <c r="AD37" s="15" t="inlineStr">
        <is>
          <t>not_checked</t>
        </is>
      </c>
      <c r="AE37" s="14" t="inlineStr">
        <is>
          <t>pass</t>
        </is>
      </c>
      <c r="AF37" s="14" t="inlineStr">
        <is>
          <t>pass</t>
        </is>
      </c>
      <c r="AG37" s="14" t="inlineStr">
        <is>
          <t>pass</t>
        </is>
      </c>
      <c r="AH37" s="14" t="inlineStr">
        <is>
          <t>pass</t>
        </is>
      </c>
      <c r="AI37" s="15" t="inlineStr">
        <is>
          <t>n.a.</t>
        </is>
      </c>
      <c r="AJ37" s="15" t="inlineStr">
        <is>
          <t>n.a.</t>
        </is>
      </c>
      <c r="AK37" s="4" t="inlineStr">
        <is>
          <t>format_match(warn);machine_metadata(warn);persistent_id(warn);temporal(warn)</t>
        </is>
      </c>
      <c r="AL37" s="17" t="inlineStr">
        <is>
          <t>https://www.ordnancesurvey.co.uk/products/boundary-line</t>
        </is>
      </c>
      <c r="AM37" s="4" t="inlineStr">
        <is>
          <t>gb_os_boundary_line</t>
        </is>
      </c>
    </row>
    <row r="38">
      <c r="A38" s="4" t="inlineStr">
        <is>
          <t>GADM (Database of Global Administrative Areas)</t>
        </is>
      </c>
      <c r="B38" s="19" t="inlineStr">
        <is>
          <t>Silver</t>
        </is>
      </c>
      <c r="C38" s="4" t="n">
        <v>75</v>
      </c>
      <c r="D38" s="4" t="inlineStr">
        <is>
          <t>boundaries</t>
        </is>
      </c>
      <c r="E38" s="4" t="inlineStr">
        <is>
          <t>degraded</t>
        </is>
      </c>
      <c r="F38" s="4" t="inlineStr">
        <is>
          <t>non-commercial</t>
        </is>
      </c>
      <c r="G38" s="4" t="inlineStr">
        <is>
          <t>postcode_small_area</t>
        </is>
      </c>
      <c r="H38" s="4" t="inlineStr">
        <is>
          <t>Joins today</t>
        </is>
      </c>
      <c r="I38" s="4" t="n">
        <v>1</v>
      </c>
      <c r="J38" s="4" t="inlineStr"/>
      <c r="K38" s="4" t="inlineStr">
        <is>
          <t>Curated</t>
        </is>
      </c>
      <c r="L38" s="4" t="n">
        <v>2026</v>
      </c>
      <c r="M38" s="4" t="inlineStr">
        <is>
          <t>open</t>
        </is>
      </c>
      <c r="N38" s="4" t="inlineStr">
        <is>
          <t>2026-10-28</t>
        </is>
      </c>
      <c r="O38" s="14" t="inlineStr">
        <is>
          <t>pass</t>
        </is>
      </c>
      <c r="P38" s="14" t="inlineStr">
        <is>
          <t>pass</t>
        </is>
      </c>
      <c r="Q38" s="14" t="inlineStr">
        <is>
          <t>pass</t>
        </is>
      </c>
      <c r="R38" s="16" t="inlineStr">
        <is>
          <t>warn</t>
        </is>
      </c>
      <c r="S38" s="15" t="inlineStr">
        <is>
          <t>not_checked</t>
        </is>
      </c>
      <c r="T38" s="14" t="inlineStr">
        <is>
          <t>pass</t>
        </is>
      </c>
      <c r="U38" s="16" t="inlineStr">
        <is>
          <t>warn</t>
        </is>
      </c>
      <c r="V38" s="18" t="inlineStr">
        <is>
          <t>fail</t>
        </is>
      </c>
      <c r="W38" s="16" t="inlineStr">
        <is>
          <t>warn</t>
        </is>
      </c>
      <c r="X38" s="14" t="inlineStr">
        <is>
          <t>pass</t>
        </is>
      </c>
      <c r="Y38" s="16" t="inlineStr">
        <is>
          <t>warn</t>
        </is>
      </c>
      <c r="Z38" s="15" t="inlineStr">
        <is>
          <t>not_checked</t>
        </is>
      </c>
      <c r="AA38" s="15" t="inlineStr">
        <is>
          <t>not_checked</t>
        </is>
      </c>
      <c r="AB38" s="16" t="inlineStr">
        <is>
          <t>warn</t>
        </is>
      </c>
      <c r="AC38" s="14" t="inlineStr">
        <is>
          <t>pass</t>
        </is>
      </c>
      <c r="AD38" s="15" t="inlineStr">
        <is>
          <t>not_checked</t>
        </is>
      </c>
      <c r="AE38" s="14" t="inlineStr">
        <is>
          <t>pass</t>
        </is>
      </c>
      <c r="AF38" s="14" t="inlineStr">
        <is>
          <t>pass</t>
        </is>
      </c>
      <c r="AG38" s="14" t="inlineStr">
        <is>
          <t>pass</t>
        </is>
      </c>
      <c r="AH38" s="14" t="inlineStr">
        <is>
          <t>pass</t>
        </is>
      </c>
      <c r="AI38" s="15" t="inlineStr">
        <is>
          <t>n.a.</t>
        </is>
      </c>
      <c r="AJ38" s="15" t="inlineStr">
        <is>
          <t>n.a.</t>
        </is>
      </c>
      <c r="AK38" s="4" t="inlineStr">
        <is>
          <t>machine_metadata;soft404(warn);format_match(warn);persistent_id(warn);license(warn);cadence(warn)</t>
        </is>
      </c>
      <c r="AL38" s="17" t="inlineStr">
        <is>
          <t>https://gadm.org/data.html</t>
        </is>
      </c>
      <c r="AM38" s="4" t="inlineStr">
        <is>
          <t>global_gadm_boundaries</t>
        </is>
      </c>
    </row>
    <row r="39">
      <c r="A39" s="4" t="inlineStr">
        <is>
          <t>geoBoundaries (Global Database of Political Administrative Boundaries)</t>
        </is>
      </c>
      <c r="B39" s="19" t="inlineStr">
        <is>
          <t>Silver</t>
        </is>
      </c>
      <c r="C39" s="4" t="n">
        <v>85</v>
      </c>
      <c r="D39" s="4" t="inlineStr">
        <is>
          <t>boundaries</t>
        </is>
      </c>
      <c r="E39" s="4" t="inlineStr">
        <is>
          <t>degraded</t>
        </is>
      </c>
      <c r="F39" s="4" t="inlineStr">
        <is>
          <t>open</t>
        </is>
      </c>
      <c r="G39" s="4" t="inlineStr">
        <is>
          <t>admin5 (ADM0-ADM5)</t>
        </is>
      </c>
      <c r="H39" s="4" t="inlineStr">
        <is>
          <t>Joins today</t>
        </is>
      </c>
      <c r="I39" s="4" t="n">
        <v>1</v>
      </c>
      <c r="J39" s="4" t="inlineStr"/>
      <c r="K39" s="4" t="inlineStr">
        <is>
          <t>Curated</t>
        </is>
      </c>
      <c r="L39" s="4" t="n">
        <v>2022</v>
      </c>
      <c r="M39" s="4" t="inlineStr">
        <is>
          <t>unknown</t>
        </is>
      </c>
      <c r="N39" s="4" t="inlineStr">
        <is>
          <t>2026-10-28</t>
        </is>
      </c>
      <c r="O39" s="14" t="inlineStr">
        <is>
          <t>pass</t>
        </is>
      </c>
      <c r="P39" s="14" t="inlineStr">
        <is>
          <t>pass</t>
        </is>
      </c>
      <c r="Q39" s="14" t="inlineStr">
        <is>
          <t>pass</t>
        </is>
      </c>
      <c r="R39" s="14" t="inlineStr">
        <is>
          <t>pass</t>
        </is>
      </c>
      <c r="S39" s="14" t="inlineStr">
        <is>
          <t>pass</t>
        </is>
      </c>
      <c r="T39" s="14" t="inlineStr">
        <is>
          <t>pass</t>
        </is>
      </c>
      <c r="U39" s="14" t="inlineStr">
        <is>
          <t>pass</t>
        </is>
      </c>
      <c r="V39" s="18" t="inlineStr">
        <is>
          <t>fail</t>
        </is>
      </c>
      <c r="W39" s="14" t="inlineStr">
        <is>
          <t>pass</t>
        </is>
      </c>
      <c r="X39" s="14" t="inlineStr">
        <is>
          <t>pass</t>
        </is>
      </c>
      <c r="Y39" s="14" t="inlineStr">
        <is>
          <t>pass</t>
        </is>
      </c>
      <c r="Z39" s="16" t="inlineStr">
        <is>
          <t>warn</t>
        </is>
      </c>
      <c r="AA39" s="14" t="inlineStr">
        <is>
          <t>pass</t>
        </is>
      </c>
      <c r="AB39" s="16" t="inlineStr">
        <is>
          <t>warn</t>
        </is>
      </c>
      <c r="AC39" s="16" t="inlineStr">
        <is>
          <t>warn</t>
        </is>
      </c>
      <c r="AD39" s="16" t="inlineStr">
        <is>
          <t>warn</t>
        </is>
      </c>
      <c r="AE39" s="14" t="inlineStr">
        <is>
          <t>pass</t>
        </is>
      </c>
      <c r="AF39" s="14" t="inlineStr">
        <is>
          <t>pass</t>
        </is>
      </c>
      <c r="AG39" s="14" t="inlineStr">
        <is>
          <t>pass</t>
        </is>
      </c>
      <c r="AH39" s="14" t="inlineStr">
        <is>
          <t>pass</t>
        </is>
      </c>
      <c r="AI39" s="15" t="inlineStr">
        <is>
          <t>n.a.</t>
        </is>
      </c>
      <c r="AJ39" s="15" t="inlineStr">
        <is>
          <t>n.a.</t>
        </is>
      </c>
      <c r="AK39" s="4" t="inlineStr">
        <is>
          <t>machine_metadata;temporal(warn);cadence(warn);version(warn);unit(warn)</t>
        </is>
      </c>
      <c r="AL39" s="17" t="inlineStr">
        <is>
          <t>https://www.geoboundaries.org/</t>
        </is>
      </c>
      <c r="AM39" s="4" t="inlineStr">
        <is>
          <t>global_geoboundaries</t>
        </is>
      </c>
    </row>
    <row r="40">
      <c r="A40" s="4" t="inlineStr">
        <is>
          <t>GeoNames geographical database</t>
        </is>
      </c>
      <c r="B40" s="19" t="inlineStr">
        <is>
          <t>Silver</t>
        </is>
      </c>
      <c r="C40" s="4" t="n">
        <v>92</v>
      </c>
      <c r="D40" s="4" t="inlineStr">
        <is>
          <t>boundaries</t>
        </is>
      </c>
      <c r="E40" s="4" t="inlineStr">
        <is>
          <t>degraded</t>
        </is>
      </c>
      <c r="F40" s="4" t="inlineStr">
        <is>
          <t>open</t>
        </is>
      </c>
      <c r="G40" s="4" t="inlineStr">
        <is>
          <t>point</t>
        </is>
      </c>
      <c r="H40" s="4" t="inlineStr">
        <is>
          <t>Needs a count/distance step</t>
        </is>
      </c>
      <c r="I40" s="4" t="n">
        <v>1</v>
      </c>
      <c r="J40" s="4" t="inlineStr"/>
      <c r="K40" s="4" t="inlineStr">
        <is>
          <t>Curated</t>
        </is>
      </c>
      <c r="L40" s="4" t="n">
        <v>2026</v>
      </c>
      <c r="M40" s="4" t="inlineStr">
        <is>
          <t>open</t>
        </is>
      </c>
      <c r="N40" s="4" t="inlineStr">
        <is>
          <t>2026-10-28</t>
        </is>
      </c>
      <c r="O40" s="14" t="inlineStr">
        <is>
          <t>pass</t>
        </is>
      </c>
      <c r="P40" s="14" t="inlineStr">
        <is>
          <t>pass</t>
        </is>
      </c>
      <c r="Q40" s="14" t="inlineStr">
        <is>
          <t>pass</t>
        </is>
      </c>
      <c r="R40" s="14" t="inlineStr">
        <is>
          <t>pass</t>
        </is>
      </c>
      <c r="S40" s="14" t="inlineStr">
        <is>
          <t>pass</t>
        </is>
      </c>
      <c r="T40" s="14" t="inlineStr">
        <is>
          <t>pass</t>
        </is>
      </c>
      <c r="U40" s="14" t="inlineStr">
        <is>
          <t>pass</t>
        </is>
      </c>
      <c r="V40" s="18" t="inlineStr">
        <is>
          <t>fail</t>
        </is>
      </c>
      <c r="W40" s="16" t="inlineStr">
        <is>
          <t>warn</t>
        </is>
      </c>
      <c r="X40" s="14" t="inlineStr">
        <is>
          <t>pass</t>
        </is>
      </c>
      <c r="Y40" s="14" t="inlineStr">
        <is>
          <t>pass</t>
        </is>
      </c>
      <c r="Z40" s="16" t="inlineStr">
        <is>
          <t>warn</t>
        </is>
      </c>
      <c r="AA40" s="14" t="inlineStr">
        <is>
          <t>pass</t>
        </is>
      </c>
      <c r="AB40" s="14" t="inlineStr">
        <is>
          <t>pass</t>
        </is>
      </c>
      <c r="AC40" s="15" t="inlineStr">
        <is>
          <t>not_checked</t>
        </is>
      </c>
      <c r="AD40" s="14" t="inlineStr">
        <is>
          <t>pass</t>
        </is>
      </c>
      <c r="AE40" s="14" t="inlineStr">
        <is>
          <t>pass</t>
        </is>
      </c>
      <c r="AF40" s="14" t="inlineStr">
        <is>
          <t>pass</t>
        </is>
      </c>
      <c r="AG40" s="14" t="inlineStr">
        <is>
          <t>pass</t>
        </is>
      </c>
      <c r="AH40" s="14" t="inlineStr">
        <is>
          <t>pass</t>
        </is>
      </c>
      <c r="AI40" s="15" t="inlineStr">
        <is>
          <t>n.a.</t>
        </is>
      </c>
      <c r="AJ40" s="15" t="inlineStr">
        <is>
          <t>n.a.</t>
        </is>
      </c>
      <c r="AK40" s="4" t="inlineStr">
        <is>
          <t>machine_metadata;persistent_id(warn);temporal(warn)</t>
        </is>
      </c>
      <c r="AL40" s="17" t="inlineStr">
        <is>
          <t>https://www.geonames.org/export/</t>
        </is>
      </c>
      <c r="AM40" s="4" t="inlineStr">
        <is>
          <t>global_geonames</t>
        </is>
      </c>
    </row>
    <row r="41">
      <c r="A41" s="4" t="inlineStr">
        <is>
          <t>GeoNames postal codes</t>
        </is>
      </c>
      <c r="B41" s="19" t="inlineStr">
        <is>
          <t>Silver</t>
        </is>
      </c>
      <c r="C41" s="4" t="n">
        <v>95</v>
      </c>
      <c r="D41" s="4" t="inlineStr">
        <is>
          <t>boundaries</t>
        </is>
      </c>
      <c r="E41" s="4" t="inlineStr">
        <is>
          <t>degraded</t>
        </is>
      </c>
      <c r="F41" s="4" t="inlineStr">
        <is>
          <t>open</t>
        </is>
      </c>
      <c r="G41" s="4" t="inlineStr">
        <is>
          <t>point</t>
        </is>
      </c>
      <c r="H41" s="4" t="inlineStr">
        <is>
          <t>Needs a count/distance step</t>
        </is>
      </c>
      <c r="I41" s="4" t="n">
        <v>1</v>
      </c>
      <c r="J41" s="4" t="inlineStr"/>
      <c r="K41" s="4" t="inlineStr">
        <is>
          <t>Curated</t>
        </is>
      </c>
      <c r="L41" s="4" t="inlineStr">
        <is>
          <t>current</t>
        </is>
      </c>
      <c r="M41" s="4" t="inlineStr">
        <is>
          <t>open</t>
        </is>
      </c>
      <c r="N41" s="4" t="inlineStr">
        <is>
          <t>2026-10-28</t>
        </is>
      </c>
      <c r="O41" s="14" t="inlineStr">
        <is>
          <t>pass</t>
        </is>
      </c>
      <c r="P41" s="14" t="inlineStr">
        <is>
          <t>pass</t>
        </is>
      </c>
      <c r="Q41" s="14" t="inlineStr">
        <is>
          <t>pass</t>
        </is>
      </c>
      <c r="R41" s="14" t="inlineStr">
        <is>
          <t>pass</t>
        </is>
      </c>
      <c r="S41" s="14" t="inlineStr">
        <is>
          <t>pass</t>
        </is>
      </c>
      <c r="T41" s="14" t="inlineStr">
        <is>
          <t>pass</t>
        </is>
      </c>
      <c r="U41" s="16" t="inlineStr">
        <is>
          <t>warn</t>
        </is>
      </c>
      <c r="V41" s="18" t="inlineStr">
        <is>
          <t>fail</t>
        </is>
      </c>
      <c r="W41" s="16" t="inlineStr">
        <is>
          <t>warn</t>
        </is>
      </c>
      <c r="X41" s="14" t="inlineStr">
        <is>
          <t>pass</t>
        </is>
      </c>
      <c r="Y41" s="14" t="inlineStr">
        <is>
          <t>pass</t>
        </is>
      </c>
      <c r="Z41" s="15" t="inlineStr">
        <is>
          <t>not_checked</t>
        </is>
      </c>
      <c r="AA41" s="15" t="inlineStr">
        <is>
          <t>not_checked</t>
        </is>
      </c>
      <c r="AB41" s="16" t="inlineStr">
        <is>
          <t>warn</t>
        </is>
      </c>
      <c r="AC41" s="15" t="inlineStr">
        <is>
          <t>not_checked</t>
        </is>
      </c>
      <c r="AD41" s="14" t="inlineStr">
        <is>
          <t>pass</t>
        </is>
      </c>
      <c r="AE41" s="14" t="inlineStr">
        <is>
          <t>pass</t>
        </is>
      </c>
      <c r="AF41" s="14" t="inlineStr">
        <is>
          <t>pass</t>
        </is>
      </c>
      <c r="AG41" s="14" t="inlineStr">
        <is>
          <t>pass</t>
        </is>
      </c>
      <c r="AH41" s="14" t="inlineStr">
        <is>
          <t>pass</t>
        </is>
      </c>
      <c r="AI41" s="15" t="inlineStr">
        <is>
          <t>n.a.</t>
        </is>
      </c>
      <c r="AJ41" s="15" t="inlineStr">
        <is>
          <t>n.a.</t>
        </is>
      </c>
      <c r="AK41" s="4" t="inlineStr">
        <is>
          <t>machine_metadata;format_match(warn);persistent_id(warn);cadence(warn)</t>
        </is>
      </c>
      <c r="AL41" s="17" t="inlineStr">
        <is>
          <t>https://www.geonames.org/export/</t>
        </is>
      </c>
      <c r="AM41" s="4" t="inlineStr">
        <is>
          <t>global_geonames_postal_codes</t>
        </is>
      </c>
    </row>
    <row r="42">
      <c r="A42" s="4" t="inlineStr">
        <is>
          <t>Local administrative units (LAU) - GISCO geodata</t>
        </is>
      </c>
      <c r="B42" s="19" t="inlineStr">
        <is>
          <t>Silver</t>
        </is>
      </c>
      <c r="C42" s="4" t="n">
        <v>84</v>
      </c>
      <c r="D42" s="4" t="inlineStr">
        <is>
          <t>boundaries</t>
        </is>
      </c>
      <c r="E42" s="4" t="inlineStr">
        <is>
          <t>healthy</t>
        </is>
      </c>
      <c r="F42" s="4" t="inlineStr">
        <is>
          <t>non-commercial</t>
        </is>
      </c>
      <c r="G42" s="4" t="inlineStr">
        <is>
          <t>admin3</t>
        </is>
      </c>
      <c r="H42" s="4" t="inlineStr">
        <is>
          <t>Joins today</t>
        </is>
      </c>
      <c r="I42" s="4" t="n">
        <v>1</v>
      </c>
      <c r="J42" s="4" t="inlineStr"/>
      <c r="K42" s="4" t="inlineStr">
        <is>
          <t>Curated</t>
        </is>
      </c>
      <c r="L42" s="4" t="n">
        <v>2024</v>
      </c>
      <c r="M42" s="4" t="inlineStr">
        <is>
          <t>open</t>
        </is>
      </c>
      <c r="N42" s="4" t="inlineStr">
        <is>
          <t>2026-10-28</t>
        </is>
      </c>
      <c r="O42" s="14" t="inlineStr">
        <is>
          <t>pass</t>
        </is>
      </c>
      <c r="P42" s="14" t="inlineStr">
        <is>
          <t>pass</t>
        </is>
      </c>
      <c r="Q42" s="14" t="inlineStr">
        <is>
          <t>pass</t>
        </is>
      </c>
      <c r="R42" s="14" t="inlineStr">
        <is>
          <t>pass</t>
        </is>
      </c>
      <c r="S42" s="14" t="inlineStr">
        <is>
          <t>pass</t>
        </is>
      </c>
      <c r="T42" s="14" t="inlineStr">
        <is>
          <t>pass</t>
        </is>
      </c>
      <c r="U42" s="16" t="inlineStr">
        <is>
          <t>warn</t>
        </is>
      </c>
      <c r="V42" s="16" t="inlineStr">
        <is>
          <t>warn</t>
        </is>
      </c>
      <c r="W42" s="16" t="inlineStr">
        <is>
          <t>warn</t>
        </is>
      </c>
      <c r="X42" s="14" t="inlineStr">
        <is>
          <t>pass</t>
        </is>
      </c>
      <c r="Y42" s="16" t="inlineStr">
        <is>
          <t>warn</t>
        </is>
      </c>
      <c r="Z42" s="14" t="inlineStr">
        <is>
          <t>pass</t>
        </is>
      </c>
      <c r="AA42" s="14" t="inlineStr">
        <is>
          <t>pass</t>
        </is>
      </c>
      <c r="AB42" s="14" t="inlineStr">
        <is>
          <t>pass</t>
        </is>
      </c>
      <c r="AC42" s="16" t="inlineStr">
        <is>
          <t>warn</t>
        </is>
      </c>
      <c r="AD42" s="16" t="inlineStr">
        <is>
          <t>warn</t>
        </is>
      </c>
      <c r="AE42" s="15" t="inlineStr">
        <is>
          <t>not_checked</t>
        </is>
      </c>
      <c r="AF42" s="14" t="inlineStr">
        <is>
          <t>pass</t>
        </is>
      </c>
      <c r="AG42" s="14" t="inlineStr">
        <is>
          <t>pass</t>
        </is>
      </c>
      <c r="AH42" s="14" t="inlineStr">
        <is>
          <t>pass</t>
        </is>
      </c>
      <c r="AI42" s="15" t="inlineStr">
        <is>
          <t>n.a.</t>
        </is>
      </c>
      <c r="AJ42" s="15" t="inlineStr">
        <is>
          <t>n.a.</t>
        </is>
      </c>
      <c r="AK42" s="4" t="inlineStr">
        <is>
          <t>format_match(warn);machine_metadata(warn);persistent_id(warn);license(warn);version(warn);unit(warn)</t>
        </is>
      </c>
      <c r="AL42" s="17" t="inlineStr">
        <is>
          <t>https://ec.europa.eu/eurostat/web/gisco/geodata/statistical-units/local-administrative-units</t>
        </is>
      </c>
      <c r="AM42" s="4" t="inlineStr">
        <is>
          <t>eu_eurostat_gisco_lau</t>
        </is>
      </c>
    </row>
    <row r="43">
      <c r="A43" s="4" t="inlineStr">
        <is>
          <t>OpenAddresses</t>
        </is>
      </c>
      <c r="B43" s="19" t="inlineStr">
        <is>
          <t>Silver</t>
        </is>
      </c>
      <c r="C43" s="4" t="n">
        <v>97</v>
      </c>
      <c r="D43" s="4" t="inlineStr">
        <is>
          <t>boundaries</t>
        </is>
      </c>
      <c r="E43" s="4" t="inlineStr">
        <is>
          <t>healthy</t>
        </is>
      </c>
      <c r="F43" s="4" t="inlineStr">
        <is>
          <t>attribution</t>
        </is>
      </c>
      <c r="G43" s="4" t="inlineStr">
        <is>
          <t>address</t>
        </is>
      </c>
      <c r="H43" s="4" t="inlineStr">
        <is>
          <t>Needs a count/distance step</t>
        </is>
      </c>
      <c r="I43" s="4" t="n">
        <v>1</v>
      </c>
      <c r="J43" s="4" t="inlineStr"/>
      <c r="K43" s="4" t="inlineStr">
        <is>
          <t>Curated</t>
        </is>
      </c>
      <c r="L43" s="4" t="inlineStr"/>
      <c r="M43" s="4" t="inlineStr">
        <is>
          <t>open</t>
        </is>
      </c>
      <c r="N43" s="4" t="inlineStr">
        <is>
          <t>2026-10-28</t>
        </is>
      </c>
      <c r="O43" s="14" t="inlineStr">
        <is>
          <t>pass</t>
        </is>
      </c>
      <c r="P43" s="14" t="inlineStr">
        <is>
          <t>pass</t>
        </is>
      </c>
      <c r="Q43" s="14" t="inlineStr">
        <is>
          <t>pass</t>
        </is>
      </c>
      <c r="R43" s="14" t="inlineStr">
        <is>
          <t>pass</t>
        </is>
      </c>
      <c r="S43" s="14" t="inlineStr">
        <is>
          <t>pass</t>
        </is>
      </c>
      <c r="T43" s="14" t="inlineStr">
        <is>
          <t>pass</t>
        </is>
      </c>
      <c r="U43" s="16" t="inlineStr">
        <is>
          <t>warn</t>
        </is>
      </c>
      <c r="V43" s="16" t="inlineStr">
        <is>
          <t>warn</t>
        </is>
      </c>
      <c r="W43" s="16" t="inlineStr">
        <is>
          <t>warn</t>
        </is>
      </c>
      <c r="X43" s="14" t="inlineStr">
        <is>
          <t>pass</t>
        </is>
      </c>
      <c r="Y43" s="14" t="inlineStr">
        <is>
          <t>pass</t>
        </is>
      </c>
      <c r="Z43" s="15" t="inlineStr">
        <is>
          <t>not_checked</t>
        </is>
      </c>
      <c r="AA43" s="15" t="inlineStr">
        <is>
          <t>not_checked</t>
        </is>
      </c>
      <c r="AB43" s="15" t="inlineStr">
        <is>
          <t>not_checked</t>
        </is>
      </c>
      <c r="AC43" s="15" t="inlineStr">
        <is>
          <t>not_checked</t>
        </is>
      </c>
      <c r="AD43" s="14" t="inlineStr">
        <is>
          <t>pass</t>
        </is>
      </c>
      <c r="AE43" s="14" t="inlineStr">
        <is>
          <t>pass</t>
        </is>
      </c>
      <c r="AF43" s="15" t="inlineStr">
        <is>
          <t>not_checked</t>
        </is>
      </c>
      <c r="AG43" s="14" t="inlineStr">
        <is>
          <t>pass</t>
        </is>
      </c>
      <c r="AH43" s="15" t="inlineStr">
        <is>
          <t>not_checked</t>
        </is>
      </c>
      <c r="AI43" s="15" t="inlineStr">
        <is>
          <t>n.a.</t>
        </is>
      </c>
      <c r="AJ43" s="15" t="inlineStr">
        <is>
          <t>n.a.</t>
        </is>
      </c>
      <c r="AK43" s="4" t="inlineStr">
        <is>
          <t>format_match(warn);machine_metadata(warn);persistent_id(warn)</t>
        </is>
      </c>
      <c r="AL43" s="17" t="inlineStr">
        <is>
          <t>https://openaddresses.io/</t>
        </is>
      </c>
      <c r="AM43" s="4" t="inlineStr">
        <is>
          <t>global_openaddresses</t>
        </is>
      </c>
    </row>
    <row r="44">
      <c r="A44" s="4" t="inlineStr">
        <is>
          <t>Radios censales (cartografia censal) - Censo 2022 / 2010</t>
        </is>
      </c>
      <c r="B44" s="19" t="inlineStr">
        <is>
          <t>Silver</t>
        </is>
      </c>
      <c r="C44" s="4" t="n">
        <v>89</v>
      </c>
      <c r="D44" s="4" t="inlineStr">
        <is>
          <t>boundaries</t>
        </is>
      </c>
      <c r="E44" s="4" t="inlineStr">
        <is>
          <t>degraded</t>
        </is>
      </c>
      <c r="F44" s="4" t="inlineStr">
        <is>
          <t>open</t>
        </is>
      </c>
      <c r="G44" s="4" t="inlineStr">
        <is>
          <t>polygon (radio censal, census enumeration area)</t>
        </is>
      </c>
      <c r="H44" s="4" t="inlineStr">
        <is>
          <t>Joins today</t>
        </is>
      </c>
      <c r="I44" s="4" t="n">
        <v>1</v>
      </c>
      <c r="J44" s="4" t="inlineStr"/>
      <c r="K44" s="4" t="inlineStr">
        <is>
          <t>Curated</t>
        </is>
      </c>
      <c r="L44" s="4" t="n">
        <v>2022</v>
      </c>
      <c r="M44" s="4" t="inlineStr">
        <is>
          <t>open</t>
        </is>
      </c>
      <c r="N44" s="4" t="inlineStr">
        <is>
          <t>2026-10-28</t>
        </is>
      </c>
      <c r="O44" s="14" t="inlineStr">
        <is>
          <t>pass</t>
        </is>
      </c>
      <c r="P44" s="14" t="inlineStr">
        <is>
          <t>pass</t>
        </is>
      </c>
      <c r="Q44" s="14" t="inlineStr">
        <is>
          <t>pass</t>
        </is>
      </c>
      <c r="R44" s="14" t="inlineStr">
        <is>
          <t>pass</t>
        </is>
      </c>
      <c r="S44" s="14" t="inlineStr">
        <is>
          <t>pass</t>
        </is>
      </c>
      <c r="T44" s="14" t="inlineStr">
        <is>
          <t>pass</t>
        </is>
      </c>
      <c r="U44" s="16" t="inlineStr">
        <is>
          <t>warn</t>
        </is>
      </c>
      <c r="V44" s="18" t="inlineStr">
        <is>
          <t>fail</t>
        </is>
      </c>
      <c r="W44" s="16" t="inlineStr">
        <is>
          <t>warn</t>
        </is>
      </c>
      <c r="X44" s="14" t="inlineStr">
        <is>
          <t>pass</t>
        </is>
      </c>
      <c r="Y44" s="14" t="inlineStr">
        <is>
          <t>pass</t>
        </is>
      </c>
      <c r="Z44" s="14" t="inlineStr">
        <is>
          <t>pass</t>
        </is>
      </c>
      <c r="AA44" s="14" t="inlineStr">
        <is>
          <t>pass</t>
        </is>
      </c>
      <c r="AB44" s="14" t="inlineStr">
        <is>
          <t>pass</t>
        </is>
      </c>
      <c r="AC44" s="14" t="inlineStr">
        <is>
          <t>pass</t>
        </is>
      </c>
      <c r="AD44" s="16" t="inlineStr">
        <is>
          <t>warn</t>
        </is>
      </c>
      <c r="AE44" s="16" t="inlineStr">
        <is>
          <t>warn</t>
        </is>
      </c>
      <c r="AF44" s="14" t="inlineStr">
        <is>
          <t>pass</t>
        </is>
      </c>
      <c r="AG44" s="14" t="inlineStr">
        <is>
          <t>pass</t>
        </is>
      </c>
      <c r="AH44" s="14" t="inlineStr">
        <is>
          <t>pass</t>
        </is>
      </c>
      <c r="AI44" s="15" t="inlineStr">
        <is>
          <t>n.a.</t>
        </is>
      </c>
      <c r="AJ44" s="15" t="inlineStr">
        <is>
          <t>n.a.</t>
        </is>
      </c>
      <c r="AK44" s="4" t="inlineStr">
        <is>
          <t>machine_metadata;format_match(warn);persistent_id(warn);unit(warn);coverage(warn)</t>
        </is>
      </c>
      <c r="AL44" s="17" t="inlineStr">
        <is>
          <t>https://www.indec.gob.ar/indec/web/Institucional-Indec-Codgeo</t>
        </is>
      </c>
      <c r="AM44" s="4" t="inlineStr">
        <is>
          <t>ar_indec_radios_censales</t>
        </is>
      </c>
    </row>
    <row r="45">
      <c r="A45" s="4" t="inlineStr">
        <is>
          <t>Second Administrative Level Boundaries (SALB)</t>
        </is>
      </c>
      <c r="B45" s="19" t="inlineStr">
        <is>
          <t>Silver</t>
        </is>
      </c>
      <c r="C45" s="4" t="n">
        <v>71</v>
      </c>
      <c r="D45" s="4" t="inlineStr">
        <is>
          <t>boundaries</t>
        </is>
      </c>
      <c r="E45" s="4" t="inlineStr">
        <is>
          <t>degraded</t>
        </is>
      </c>
      <c r="F45" s="4" t="inlineStr">
        <is>
          <t>unknown</t>
        </is>
      </c>
      <c r="G45" s="4" t="inlineStr">
        <is>
          <t>admin2</t>
        </is>
      </c>
      <c r="H45" s="4" t="inlineStr">
        <is>
          <t>Unknown</t>
        </is>
      </c>
      <c r="I45" s="4" t="n">
        <v>1</v>
      </c>
      <c r="J45" s="4" t="inlineStr"/>
      <c r="K45" s="4" t="inlineStr">
        <is>
          <t>Curated</t>
        </is>
      </c>
      <c r="L45" s="4" t="inlineStr"/>
      <c r="M45" s="4" t="inlineStr">
        <is>
          <t>unknown</t>
        </is>
      </c>
      <c r="N45" s="4" t="inlineStr">
        <is>
          <t>2026-10-28</t>
        </is>
      </c>
      <c r="O45" s="14" t="inlineStr">
        <is>
          <t>pass</t>
        </is>
      </c>
      <c r="P45" s="14" t="inlineStr">
        <is>
          <t>pass</t>
        </is>
      </c>
      <c r="Q45" s="14" t="inlineStr">
        <is>
          <t>pass</t>
        </is>
      </c>
      <c r="R45" s="14" t="inlineStr">
        <is>
          <t>pass</t>
        </is>
      </c>
      <c r="S45" s="14" t="inlineStr">
        <is>
          <t>pass</t>
        </is>
      </c>
      <c r="T45" s="15" t="inlineStr">
        <is>
          <t>n.a.</t>
        </is>
      </c>
      <c r="U45" s="15" t="inlineStr">
        <is>
          <t>n.a.</t>
        </is>
      </c>
      <c r="V45" s="18" t="inlineStr">
        <is>
          <t>fail</t>
        </is>
      </c>
      <c r="W45" s="16" t="inlineStr">
        <is>
          <t>warn</t>
        </is>
      </c>
      <c r="X45" s="14" t="inlineStr">
        <is>
          <t>pass</t>
        </is>
      </c>
      <c r="Y45" s="16" t="inlineStr">
        <is>
          <t>warn</t>
        </is>
      </c>
      <c r="Z45" s="15" t="inlineStr">
        <is>
          <t>not_checked</t>
        </is>
      </c>
      <c r="AA45" s="15" t="inlineStr">
        <is>
          <t>not_checked</t>
        </is>
      </c>
      <c r="AB45" s="15" t="inlineStr">
        <is>
          <t>not_checked</t>
        </is>
      </c>
      <c r="AC45" s="15" t="inlineStr">
        <is>
          <t>not_checked</t>
        </is>
      </c>
      <c r="AD45" s="16" t="inlineStr">
        <is>
          <t>warn</t>
        </is>
      </c>
      <c r="AE45" s="16" t="inlineStr">
        <is>
          <t>warn</t>
        </is>
      </c>
      <c r="AF45" s="16" t="inlineStr">
        <is>
          <t>warn</t>
        </is>
      </c>
      <c r="AG45" s="15" t="inlineStr">
        <is>
          <t>not_checked</t>
        </is>
      </c>
      <c r="AH45" s="16" t="inlineStr">
        <is>
          <t>warn</t>
        </is>
      </c>
      <c r="AI45" s="15" t="inlineStr">
        <is>
          <t>n.a.</t>
        </is>
      </c>
      <c r="AJ45" s="15" t="inlineStr">
        <is>
          <t>n.a.</t>
        </is>
      </c>
      <c r="AK45" s="4" t="inlineStr">
        <is>
          <t>machine_metadata;persistent_id(warn);license(warn);unit(warn);coverage(warn);access(warn);format_gaia(warn)</t>
        </is>
      </c>
      <c r="AL45" s="17" t="inlineStr">
        <is>
          <t>https://salb.un.org/en</t>
        </is>
      </c>
      <c r="AM45" s="4" t="inlineStr">
        <is>
          <t>global_un_salb</t>
        </is>
      </c>
    </row>
    <row r="46">
      <c r="A46" s="4" t="inlineStr">
        <is>
          <t>Stats NZ Geographic Data Service (boundaries)</t>
        </is>
      </c>
      <c r="B46" s="19" t="inlineStr">
        <is>
          <t>Silver</t>
        </is>
      </c>
      <c r="C46" s="4" t="n">
        <v>81</v>
      </c>
      <c r="D46" s="4" t="inlineStr">
        <is>
          <t>boundaries</t>
        </is>
      </c>
      <c r="E46" s="4" t="inlineStr">
        <is>
          <t>degraded</t>
        </is>
      </c>
      <c r="F46" s="4" t="inlineStr">
        <is>
          <t>open</t>
        </is>
      </c>
      <c r="G46" s="4" t="inlineStr">
        <is>
          <t>polygon (SA2; plus grid_250m population grid); meshblock/SA1 layers not seen</t>
        </is>
      </c>
      <c r="H46" s="4" t="inlineStr">
        <is>
          <t>Joins today</t>
        </is>
      </c>
      <c r="I46" s="4" t="n">
        <v>1</v>
      </c>
      <c r="J46" s="4" t="inlineStr"/>
      <c r="K46" s="4" t="inlineStr">
        <is>
          <t>Curated</t>
        </is>
      </c>
      <c r="L46" s="4" t="n">
        <v>2026</v>
      </c>
      <c r="M46" s="4" t="inlineStr">
        <is>
          <t>unknown</t>
        </is>
      </c>
      <c r="N46" s="4" t="inlineStr">
        <is>
          <t>2026-10-28</t>
        </is>
      </c>
      <c r="O46" s="14" t="inlineStr">
        <is>
          <t>pass</t>
        </is>
      </c>
      <c r="P46" s="14" t="inlineStr">
        <is>
          <t>pass</t>
        </is>
      </c>
      <c r="Q46" s="14" t="inlineStr">
        <is>
          <t>pass</t>
        </is>
      </c>
      <c r="R46" s="14" t="inlineStr">
        <is>
          <t>pass</t>
        </is>
      </c>
      <c r="S46" s="14" t="inlineStr">
        <is>
          <t>pass</t>
        </is>
      </c>
      <c r="T46" s="14" t="inlineStr">
        <is>
          <t>pass</t>
        </is>
      </c>
      <c r="U46" s="14" t="inlineStr">
        <is>
          <t>pass</t>
        </is>
      </c>
      <c r="V46" s="18" t="inlineStr">
        <is>
          <t>fail</t>
        </is>
      </c>
      <c r="W46" s="16" t="inlineStr">
        <is>
          <t>warn</t>
        </is>
      </c>
      <c r="X46" s="14" t="inlineStr">
        <is>
          <t>pass</t>
        </is>
      </c>
      <c r="Y46" s="14" t="inlineStr">
        <is>
          <t>pass</t>
        </is>
      </c>
      <c r="Z46" s="16" t="inlineStr">
        <is>
          <t>warn</t>
        </is>
      </c>
      <c r="AA46" s="14" t="inlineStr">
        <is>
          <t>pass</t>
        </is>
      </c>
      <c r="AB46" s="14" t="inlineStr">
        <is>
          <t>pass</t>
        </is>
      </c>
      <c r="AC46" s="14" t="inlineStr">
        <is>
          <t>pass</t>
        </is>
      </c>
      <c r="AD46" s="16" t="inlineStr">
        <is>
          <t>warn</t>
        </is>
      </c>
      <c r="AE46" s="14" t="inlineStr">
        <is>
          <t>pass</t>
        </is>
      </c>
      <c r="AF46" s="16" t="inlineStr">
        <is>
          <t>warn</t>
        </is>
      </c>
      <c r="AG46" s="14" t="inlineStr">
        <is>
          <t>pass</t>
        </is>
      </c>
      <c r="AH46" s="16" t="inlineStr">
        <is>
          <t>warn</t>
        </is>
      </c>
      <c r="AI46" s="15" t="inlineStr">
        <is>
          <t>n.a.</t>
        </is>
      </c>
      <c r="AJ46" s="15" t="inlineStr">
        <is>
          <t>n.a.</t>
        </is>
      </c>
      <c r="AK46" s="4" t="inlineStr">
        <is>
          <t>machine_metadata;persistent_id(warn);temporal(warn);unit(warn);access(warn);format_gaia(warn)</t>
        </is>
      </c>
      <c r="AL46" s="17" t="inlineStr">
        <is>
          <t>https://datafinder.stats.govt.nz/</t>
        </is>
      </c>
      <c r="AM46" s="4" t="inlineStr">
        <is>
          <t>nz_statsnz_geographic_data_service</t>
        </is>
      </c>
    </row>
    <row r="47">
      <c r="A47" s="4" t="inlineStr">
        <is>
          <t>Tanzania 2022 Population and Housing Census boundaries (regions, districts; Magu District)</t>
        </is>
      </c>
      <c r="B47" s="19" t="inlineStr">
        <is>
          <t>Silver</t>
        </is>
      </c>
      <c r="C47" s="4" t="n">
        <v>74</v>
      </c>
      <c r="D47" s="4" t="inlineStr">
        <is>
          <t>boundaries</t>
        </is>
      </c>
      <c r="E47" s="4" t="inlineStr">
        <is>
          <t>degraded</t>
        </is>
      </c>
      <c r="F47" s="4" t="inlineStr">
        <is>
          <t>registration</t>
        </is>
      </c>
      <c r="G47" s="4" t="inlineStr">
        <is>
          <t>admin2 (region and district confirmed; ward, village/mtaa and EA levels described as planned in text carried over from the 2012 release)</t>
        </is>
      </c>
      <c r="H47" s="4" t="inlineStr">
        <is>
          <t>Unknown</t>
        </is>
      </c>
      <c r="I47" s="4" t="n">
        <v>1</v>
      </c>
      <c r="J47" s="4" t="inlineStr">
        <is>
          <t>tz_2022_nbs;tz_2022_nbs_magu_district</t>
        </is>
      </c>
      <c r="K47" s="4" t="inlineStr">
        <is>
          <t>Curated</t>
        </is>
      </c>
      <c r="L47" s="4" t="n">
        <v>2022</v>
      </c>
      <c r="M47" s="4" t="inlineStr">
        <is>
          <t>unknown</t>
        </is>
      </c>
      <c r="N47" s="4" t="inlineStr">
        <is>
          <t>2026-10-28</t>
        </is>
      </c>
      <c r="O47" s="14" t="inlineStr">
        <is>
          <t>pass</t>
        </is>
      </c>
      <c r="P47" s="14" t="inlineStr">
        <is>
          <t>pass</t>
        </is>
      </c>
      <c r="Q47" s="14" t="inlineStr">
        <is>
          <t>pass</t>
        </is>
      </c>
      <c r="R47" s="14" t="inlineStr">
        <is>
          <t>pass</t>
        </is>
      </c>
      <c r="S47" s="14" t="inlineStr">
        <is>
          <t>pass</t>
        </is>
      </c>
      <c r="T47" s="15" t="inlineStr">
        <is>
          <t>n.a.</t>
        </is>
      </c>
      <c r="U47" s="15" t="inlineStr">
        <is>
          <t>n.a.</t>
        </is>
      </c>
      <c r="V47" s="18" t="inlineStr">
        <is>
          <t>fail</t>
        </is>
      </c>
      <c r="W47" s="16" t="inlineStr">
        <is>
          <t>warn</t>
        </is>
      </c>
      <c r="X47" s="18" t="inlineStr">
        <is>
          <t>fail</t>
        </is>
      </c>
      <c r="Y47" s="16" t="inlineStr">
        <is>
          <t>warn</t>
        </is>
      </c>
      <c r="Z47" s="16" t="inlineStr">
        <is>
          <t>warn</t>
        </is>
      </c>
      <c r="AA47" s="14" t="inlineStr">
        <is>
          <t>pass</t>
        </is>
      </c>
      <c r="AB47" s="15" t="inlineStr">
        <is>
          <t>not_checked</t>
        </is>
      </c>
      <c r="AC47" s="16" t="inlineStr">
        <is>
          <t>warn</t>
        </is>
      </c>
      <c r="AD47" s="16" t="inlineStr">
        <is>
          <t>warn</t>
        </is>
      </c>
      <c r="AE47" s="14" t="inlineStr">
        <is>
          <t>pass</t>
        </is>
      </c>
      <c r="AF47" s="16" t="inlineStr">
        <is>
          <t>warn</t>
        </is>
      </c>
      <c r="AG47" s="14" t="inlineStr">
        <is>
          <t>pass</t>
        </is>
      </c>
      <c r="AH47" s="16" t="inlineStr">
        <is>
          <t>warn</t>
        </is>
      </c>
      <c r="AI47" s="14" t="inlineStr">
        <is>
          <t>pass</t>
        </is>
      </c>
      <c r="AJ47" s="15" t="inlineStr">
        <is>
          <t>not_checked</t>
        </is>
      </c>
      <c r="AK47" s="4" t="inlineStr">
        <is>
          <t>machine_metadata;archived;persistent_id(warn);license(warn);temporal(warn);version(warn);unit(warn);access(warn);format_gaia(warn)</t>
        </is>
      </c>
      <c r="AL47" s="17" t="inlineStr">
        <is>
          <t>https://microdata.nbs.go.tz/index.php/catalog/49/related-materials</t>
        </is>
      </c>
      <c r="AM47" s="4" t="inlineStr">
        <is>
          <t>tz_nbs_2022_census_boundaries</t>
        </is>
      </c>
    </row>
    <row r="48">
      <c r="A48" s="4" t="inlineStr">
        <is>
          <t>Who's On First</t>
        </is>
      </c>
      <c r="B48" s="19" t="inlineStr">
        <is>
          <t>Silver</t>
        </is>
      </c>
      <c r="C48" s="4" t="n">
        <v>87</v>
      </c>
      <c r="D48" s="4" t="inlineStr">
        <is>
          <t>boundaries</t>
        </is>
      </c>
      <c r="E48" s="4" t="inlineStr">
        <is>
          <t>degraded</t>
        </is>
      </c>
      <c r="F48" s="4" t="inlineStr">
        <is>
          <t>attribution</t>
        </is>
      </c>
      <c r="G48" s="4" t="inlineStr">
        <is>
          <t>point</t>
        </is>
      </c>
      <c r="H48" s="4" t="inlineStr">
        <is>
          <t>Joins today</t>
        </is>
      </c>
      <c r="I48" s="4" t="n">
        <v>1</v>
      </c>
      <c r="J48" s="4" t="inlineStr"/>
      <c r="K48" s="4" t="inlineStr">
        <is>
          <t>Curated</t>
        </is>
      </c>
      <c r="L48" s="4" t="inlineStr"/>
      <c r="M48" s="4" t="inlineStr">
        <is>
          <t>open</t>
        </is>
      </c>
      <c r="N48" s="4" t="inlineStr">
        <is>
          <t>2026-10-28</t>
        </is>
      </c>
      <c r="O48" s="14" t="inlineStr">
        <is>
          <t>pass</t>
        </is>
      </c>
      <c r="P48" s="14" t="inlineStr">
        <is>
          <t>pass</t>
        </is>
      </c>
      <c r="Q48" s="14" t="inlineStr">
        <is>
          <t>pass</t>
        </is>
      </c>
      <c r="R48" s="14" t="inlineStr">
        <is>
          <t>pass</t>
        </is>
      </c>
      <c r="S48" s="14" t="inlineStr">
        <is>
          <t>pass</t>
        </is>
      </c>
      <c r="T48" s="14" t="inlineStr">
        <is>
          <t>pass</t>
        </is>
      </c>
      <c r="U48" s="16" t="inlineStr">
        <is>
          <t>warn</t>
        </is>
      </c>
      <c r="V48" s="18" t="inlineStr">
        <is>
          <t>fail</t>
        </is>
      </c>
      <c r="W48" s="16" t="inlineStr">
        <is>
          <t>warn</t>
        </is>
      </c>
      <c r="X48" s="14" t="inlineStr">
        <is>
          <t>pass</t>
        </is>
      </c>
      <c r="Y48" s="14" t="inlineStr">
        <is>
          <t>pass</t>
        </is>
      </c>
      <c r="Z48" s="15" t="inlineStr">
        <is>
          <t>not_checked</t>
        </is>
      </c>
      <c r="AA48" s="15" t="inlineStr">
        <is>
          <t>not_checked</t>
        </is>
      </c>
      <c r="AB48" s="15" t="inlineStr">
        <is>
          <t>not_checked</t>
        </is>
      </c>
      <c r="AC48" s="15" t="inlineStr">
        <is>
          <t>not_checked</t>
        </is>
      </c>
      <c r="AD48" s="16" t="inlineStr">
        <is>
          <t>warn</t>
        </is>
      </c>
      <c r="AE48" s="14" t="inlineStr">
        <is>
          <t>pass</t>
        </is>
      </c>
      <c r="AF48" s="14" t="inlineStr">
        <is>
          <t>pass</t>
        </is>
      </c>
      <c r="AG48" s="14" t="inlineStr">
        <is>
          <t>pass</t>
        </is>
      </c>
      <c r="AH48" s="14" t="inlineStr">
        <is>
          <t>pass</t>
        </is>
      </c>
      <c r="AI48" s="15" t="inlineStr">
        <is>
          <t>n.a.</t>
        </is>
      </c>
      <c r="AJ48" s="15" t="inlineStr">
        <is>
          <t>n.a.</t>
        </is>
      </c>
      <c r="AK48" s="4" t="inlineStr">
        <is>
          <t>machine_metadata;format_match(warn);persistent_id(warn);unit(warn)</t>
        </is>
      </c>
      <c r="AL48" s="17" t="inlineStr">
        <is>
          <t>https://whosonfirst.org/</t>
        </is>
      </c>
      <c r="AM48" s="4" t="inlineStr">
        <is>
          <t>global_whos_on_first</t>
        </is>
      </c>
    </row>
    <row r="49">
      <c r="A49" s="4" t="inlineStr">
        <is>
          <t>Overture Maps Foundation data releases</t>
        </is>
      </c>
      <c r="B49" s="19" t="inlineStr">
        <is>
          <t>Silver</t>
        </is>
      </c>
      <c r="C49" s="4" t="n">
        <v>93</v>
      </c>
      <c r="D49" s="4" t="inlineStr">
        <is>
          <t>built_environment</t>
        </is>
      </c>
      <c r="E49" s="4" t="inlineStr">
        <is>
          <t>healthy</t>
        </is>
      </c>
      <c r="F49" s="4" t="inlineStr">
        <is>
          <t>open</t>
        </is>
      </c>
      <c r="G49" s="4" t="inlineStr">
        <is>
          <t>point</t>
        </is>
      </c>
      <c r="H49" s="4" t="inlineStr">
        <is>
          <t>Needs a count/distance step</t>
        </is>
      </c>
      <c r="I49" s="4" t="n">
        <v>3</v>
      </c>
      <c r="J49" s="4" t="inlineStr"/>
      <c r="K49" s="4" t="inlineStr">
        <is>
          <t>Curated</t>
        </is>
      </c>
      <c r="L49" s="4" t="n">
        <v>2026</v>
      </c>
      <c r="M49" s="4" t="inlineStr">
        <is>
          <t>open</t>
        </is>
      </c>
      <c r="N49" s="4" t="inlineStr">
        <is>
          <t>2026-10-22</t>
        </is>
      </c>
      <c r="O49" s="14" t="inlineStr">
        <is>
          <t>pass</t>
        </is>
      </c>
      <c r="P49" s="14" t="inlineStr">
        <is>
          <t>pass</t>
        </is>
      </c>
      <c r="Q49" s="14" t="inlineStr">
        <is>
          <t>pass</t>
        </is>
      </c>
      <c r="R49" s="14" t="inlineStr">
        <is>
          <t>pass</t>
        </is>
      </c>
      <c r="S49" s="14" t="inlineStr">
        <is>
          <t>pass</t>
        </is>
      </c>
      <c r="T49" s="14" t="inlineStr">
        <is>
          <t>pass</t>
        </is>
      </c>
      <c r="U49" s="16" t="inlineStr">
        <is>
          <t>warn</t>
        </is>
      </c>
      <c r="V49" s="16" t="inlineStr">
        <is>
          <t>warn</t>
        </is>
      </c>
      <c r="W49" s="16" t="inlineStr">
        <is>
          <t>warn</t>
        </is>
      </c>
      <c r="X49" s="14" t="inlineStr">
        <is>
          <t>pass</t>
        </is>
      </c>
      <c r="Y49" s="14" t="inlineStr">
        <is>
          <t>pass</t>
        </is>
      </c>
      <c r="Z49" s="16" t="inlineStr">
        <is>
          <t>warn</t>
        </is>
      </c>
      <c r="AA49" s="14" t="inlineStr">
        <is>
          <t>pass</t>
        </is>
      </c>
      <c r="AB49" s="15" t="inlineStr">
        <is>
          <t>not_checked</t>
        </is>
      </c>
      <c r="AC49" s="16" t="inlineStr">
        <is>
          <t>warn</t>
        </is>
      </c>
      <c r="AD49" s="15" t="inlineStr">
        <is>
          <t>not_checked</t>
        </is>
      </c>
      <c r="AE49" s="15" t="inlineStr">
        <is>
          <t>not_checked</t>
        </is>
      </c>
      <c r="AF49" s="14" t="inlineStr">
        <is>
          <t>pass</t>
        </is>
      </c>
      <c r="AG49" s="14" t="inlineStr">
        <is>
          <t>pass</t>
        </is>
      </c>
      <c r="AH49" s="14" t="inlineStr">
        <is>
          <t>pass</t>
        </is>
      </c>
      <c r="AI49" s="15" t="inlineStr">
        <is>
          <t>n.a.</t>
        </is>
      </c>
      <c r="AJ49" s="15" t="inlineStr">
        <is>
          <t>n.a.</t>
        </is>
      </c>
      <c r="AK49" s="4" t="inlineStr">
        <is>
          <t>format_match(warn);machine_metadata(warn);persistent_id(warn);temporal(warn);version(warn)</t>
        </is>
      </c>
      <c r="AL49" s="17" t="inlineStr">
        <is>
          <t>https://docs.overturemaps.org/getting-data/</t>
        </is>
      </c>
      <c r="AM49" s="4" t="inlineStr">
        <is>
          <t>global_overture_maps</t>
        </is>
      </c>
    </row>
    <row r="50">
      <c r="A50" s="4" t="inlineStr">
        <is>
          <t>Smart Location Database (SLD)</t>
        </is>
      </c>
      <c r="B50" s="19" t="inlineStr">
        <is>
          <t>Silver</t>
        </is>
      </c>
      <c r="C50" s="4" t="n">
        <v>96</v>
      </c>
      <c r="D50" s="4" t="inlineStr">
        <is>
          <t>built_environment</t>
        </is>
      </c>
      <c r="E50" s="4" t="inlineStr">
        <is>
          <t>healthy</t>
        </is>
      </c>
      <c r="F50" s="4" t="inlineStr">
        <is>
          <t>open</t>
        </is>
      </c>
      <c r="G50" s="4" t="inlineStr">
        <is>
          <t>block_group</t>
        </is>
      </c>
      <c r="H50" s="4" t="inlineStr">
        <is>
          <t>Joins today</t>
        </is>
      </c>
      <c r="I50" s="4" t="n">
        <v>3</v>
      </c>
      <c r="J50" s="4" t="inlineStr"/>
      <c r="K50" s="4" t="inlineStr">
        <is>
          <t>Curated</t>
        </is>
      </c>
      <c r="L50" s="4" t="n">
        <v>2021</v>
      </c>
      <c r="M50" s="4" t="inlineStr">
        <is>
          <t>open</t>
        </is>
      </c>
      <c r="N50" s="4" t="inlineStr">
        <is>
          <t>2026-10-22</t>
        </is>
      </c>
      <c r="O50" s="14" t="inlineStr">
        <is>
          <t>pass</t>
        </is>
      </c>
      <c r="P50" s="14" t="inlineStr">
        <is>
          <t>pass</t>
        </is>
      </c>
      <c r="Q50" s="14" t="inlineStr">
        <is>
          <t>pass</t>
        </is>
      </c>
      <c r="R50" s="14" t="inlineStr">
        <is>
          <t>pass</t>
        </is>
      </c>
      <c r="S50" s="14" t="inlineStr">
        <is>
          <t>pass</t>
        </is>
      </c>
      <c r="T50" s="14" t="inlineStr">
        <is>
          <t>pass</t>
        </is>
      </c>
      <c r="U50" s="14" t="inlineStr">
        <is>
          <t>pass</t>
        </is>
      </c>
      <c r="V50" s="14" t="inlineStr">
        <is>
          <t>pass</t>
        </is>
      </c>
      <c r="W50" s="16" t="inlineStr">
        <is>
          <t>warn</t>
        </is>
      </c>
      <c r="X50" s="14" t="inlineStr">
        <is>
          <t>pass</t>
        </is>
      </c>
      <c r="Y50" s="14" t="inlineStr">
        <is>
          <t>pass</t>
        </is>
      </c>
      <c r="Z50" s="16" t="inlineStr">
        <is>
          <t>warn</t>
        </is>
      </c>
      <c r="AA50" s="14" t="inlineStr">
        <is>
          <t>pass</t>
        </is>
      </c>
      <c r="AB50" s="15" t="inlineStr">
        <is>
          <t>not_checked</t>
        </is>
      </c>
      <c r="AC50" s="14" t="inlineStr">
        <is>
          <t>pass</t>
        </is>
      </c>
      <c r="AD50" s="14" t="inlineStr">
        <is>
          <t>pass</t>
        </is>
      </c>
      <c r="AE50" s="14" t="inlineStr">
        <is>
          <t>pass</t>
        </is>
      </c>
      <c r="AF50" s="14" t="inlineStr">
        <is>
          <t>pass</t>
        </is>
      </c>
      <c r="AG50" s="15" t="inlineStr">
        <is>
          <t>not_checked</t>
        </is>
      </c>
      <c r="AH50" s="16" t="inlineStr">
        <is>
          <t>warn</t>
        </is>
      </c>
      <c r="AI50" s="15" t="inlineStr">
        <is>
          <t>n.a.</t>
        </is>
      </c>
      <c r="AJ50" s="15" t="inlineStr">
        <is>
          <t>n.a.</t>
        </is>
      </c>
      <c r="AK50" s="4" t="inlineStr">
        <is>
          <t>persistent_id(warn);temporal(warn);format_gaia(warn)</t>
        </is>
      </c>
      <c r="AL50" s="17" t="inlineStr">
        <is>
          <t>https://catalog.data.gov/dataset/smart-location-database</t>
        </is>
      </c>
      <c r="AM50" s="4" t="inlineStr">
        <is>
          <t>us_epa_smart_location_database</t>
        </is>
      </c>
    </row>
    <row r="51">
      <c r="A51" s="4" t="inlineStr">
        <is>
          <t>Annual National Land Cover Database (Annual NLCD)</t>
        </is>
      </c>
      <c r="B51" s="19" t="inlineStr">
        <is>
          <t>Silver</t>
        </is>
      </c>
      <c r="C51" s="4" t="n">
        <v>89</v>
      </c>
      <c r="D51" s="4" t="inlineStr">
        <is>
          <t>built_environment</t>
        </is>
      </c>
      <c r="E51" s="4" t="inlineStr">
        <is>
          <t>degraded</t>
        </is>
      </c>
      <c r="F51" s="4" t="inlineStr">
        <is>
          <t>open</t>
        </is>
      </c>
      <c r="G51" s="4" t="inlineStr">
        <is>
          <t>grid_30m</t>
        </is>
      </c>
      <c r="H51" s="4" t="inlineStr">
        <is>
          <t>Needs raster support</t>
        </is>
      </c>
      <c r="I51" s="4" t="n">
        <v>2</v>
      </c>
      <c r="J51" s="4" t="inlineStr">
        <is>
          <t>mdc_2021_nlcd_impervious_surfaces;mdc_2021_nlcd_land_cover</t>
        </is>
      </c>
      <c r="K51" s="4" t="inlineStr">
        <is>
          <t>Curated</t>
        </is>
      </c>
      <c r="L51" s="4" t="n">
        <v>2025</v>
      </c>
      <c r="M51" s="4" t="inlineStr">
        <is>
          <t>open</t>
        </is>
      </c>
      <c r="N51" s="4" t="inlineStr">
        <is>
          <t>2026-10-28</t>
        </is>
      </c>
      <c r="O51" s="14" t="inlineStr">
        <is>
          <t>pass</t>
        </is>
      </c>
      <c r="P51" s="14" t="inlineStr">
        <is>
          <t>pass</t>
        </is>
      </c>
      <c r="Q51" s="14" t="inlineStr">
        <is>
          <t>pass</t>
        </is>
      </c>
      <c r="R51" s="14" t="inlineStr">
        <is>
          <t>pass</t>
        </is>
      </c>
      <c r="S51" s="14" t="inlineStr">
        <is>
          <t>pass</t>
        </is>
      </c>
      <c r="T51" s="14" t="inlineStr">
        <is>
          <t>pass</t>
        </is>
      </c>
      <c r="U51" s="14" t="inlineStr">
        <is>
          <t>pass</t>
        </is>
      </c>
      <c r="V51" s="18" t="inlineStr">
        <is>
          <t>fail</t>
        </is>
      </c>
      <c r="W51" s="16" t="inlineStr">
        <is>
          <t>warn</t>
        </is>
      </c>
      <c r="X51" s="14" t="inlineStr">
        <is>
          <t>pass</t>
        </is>
      </c>
      <c r="Y51" s="14" t="inlineStr">
        <is>
          <t>pass</t>
        </is>
      </c>
      <c r="Z51" s="14" t="inlineStr">
        <is>
          <t>pass</t>
        </is>
      </c>
      <c r="AA51" s="14" t="inlineStr">
        <is>
          <t>pass</t>
        </is>
      </c>
      <c r="AB51" s="16" t="inlineStr">
        <is>
          <t>warn</t>
        </is>
      </c>
      <c r="AC51" s="14" t="inlineStr">
        <is>
          <t>pass</t>
        </is>
      </c>
      <c r="AD51" s="15" t="inlineStr">
        <is>
          <t>not_checked</t>
        </is>
      </c>
      <c r="AE51" s="14" t="inlineStr">
        <is>
          <t>pass</t>
        </is>
      </c>
      <c r="AF51" s="14" t="inlineStr">
        <is>
          <t>pass</t>
        </is>
      </c>
      <c r="AG51" s="16" t="inlineStr">
        <is>
          <t>warn</t>
        </is>
      </c>
      <c r="AH51" s="16" t="inlineStr">
        <is>
          <t>warn</t>
        </is>
      </c>
      <c r="AI51" s="14" t="inlineStr">
        <is>
          <t>pass</t>
        </is>
      </c>
      <c r="AJ51" s="15" t="inlineStr">
        <is>
          <t>not_checked</t>
        </is>
      </c>
      <c r="AK51" s="4" t="inlineStr">
        <is>
          <t>machine_metadata;persistent_id(warn);cadence(warn);join_key(warn);format_gaia(warn)</t>
        </is>
      </c>
      <c r="AL51" s="17" t="inlineStr">
        <is>
          <t>https://www.mrlc.gov/data</t>
        </is>
      </c>
      <c r="AM51" s="4" t="inlineStr">
        <is>
          <t>us_usgs_nlcd_annual</t>
        </is>
      </c>
    </row>
    <row r="52">
      <c r="A52" s="4" t="inlineStr">
        <is>
          <t>Derived map of global electricity transmission and distribution lines (Global Electrification Database)</t>
        </is>
      </c>
      <c r="B52" s="19" t="inlineStr">
        <is>
          <t>Silver</t>
        </is>
      </c>
      <c r="C52" s="4" t="n">
        <v>92</v>
      </c>
      <c r="D52" s="4" t="inlineStr">
        <is>
          <t>built_environment</t>
        </is>
      </c>
      <c r="E52" s="4" t="inlineStr">
        <is>
          <t>healthy</t>
        </is>
      </c>
      <c r="F52" s="4" t="inlineStr">
        <is>
          <t>open</t>
        </is>
      </c>
      <c r="G52" s="4" t="inlineStr">
        <is>
          <t>line</t>
        </is>
      </c>
      <c r="H52" s="4" t="inlineStr">
        <is>
          <t>Needs raster support</t>
        </is>
      </c>
      <c r="I52" s="4" t="n">
        <v>2</v>
      </c>
      <c r="J52" s="4" t="inlineStr"/>
      <c r="K52" s="4" t="inlineStr">
        <is>
          <t>Curated</t>
        </is>
      </c>
      <c r="L52" s="4" t="inlineStr"/>
      <c r="M52" s="4" t="inlineStr">
        <is>
          <t>open</t>
        </is>
      </c>
      <c r="N52" s="4" t="inlineStr">
        <is>
          <t>2026-10-28</t>
        </is>
      </c>
      <c r="O52" s="14" t="inlineStr">
        <is>
          <t>pass</t>
        </is>
      </c>
      <c r="P52" s="14" t="inlineStr">
        <is>
          <t>pass</t>
        </is>
      </c>
      <c r="Q52" s="14" t="inlineStr">
        <is>
          <t>pass</t>
        </is>
      </c>
      <c r="R52" s="14" t="inlineStr">
        <is>
          <t>pass</t>
        </is>
      </c>
      <c r="S52" s="14" t="inlineStr">
        <is>
          <t>pass</t>
        </is>
      </c>
      <c r="T52" s="15" t="inlineStr">
        <is>
          <t>n.a.</t>
        </is>
      </c>
      <c r="U52" s="15" t="inlineStr">
        <is>
          <t>n.a.</t>
        </is>
      </c>
      <c r="V52" s="14" t="inlineStr">
        <is>
          <t>pass</t>
        </is>
      </c>
      <c r="W52" s="16" t="inlineStr">
        <is>
          <t>warn</t>
        </is>
      </c>
      <c r="X52" s="18" t="inlineStr">
        <is>
          <t>fail</t>
        </is>
      </c>
      <c r="Y52" s="14" t="inlineStr">
        <is>
          <t>pass</t>
        </is>
      </c>
      <c r="Z52" s="15" t="inlineStr">
        <is>
          <t>not_checked</t>
        </is>
      </c>
      <c r="AA52" s="15" t="inlineStr">
        <is>
          <t>not_checked</t>
        </is>
      </c>
      <c r="AB52" s="15" t="inlineStr">
        <is>
          <t>not_checked</t>
        </is>
      </c>
      <c r="AC52" s="16" t="inlineStr">
        <is>
          <t>warn</t>
        </is>
      </c>
      <c r="AD52" s="16" t="inlineStr">
        <is>
          <t>warn</t>
        </is>
      </c>
      <c r="AE52" s="14" t="inlineStr">
        <is>
          <t>pass</t>
        </is>
      </c>
      <c r="AF52" s="14" t="inlineStr">
        <is>
          <t>pass</t>
        </is>
      </c>
      <c r="AG52" s="14" t="inlineStr">
        <is>
          <t>pass</t>
        </is>
      </c>
      <c r="AH52" s="14" t="inlineStr">
        <is>
          <t>pass</t>
        </is>
      </c>
      <c r="AI52" s="15" t="inlineStr">
        <is>
          <t>n.a.</t>
        </is>
      </c>
      <c r="AJ52" s="15" t="inlineStr">
        <is>
          <t>n.a.</t>
        </is>
      </c>
      <c r="AK52" s="4" t="inlineStr">
        <is>
          <t>archived;persistent_id(warn);version(warn);unit(warn)</t>
        </is>
      </c>
      <c r="AL52" s="17" t="inlineStr">
        <is>
          <t>https://datacatalog.worldbank.org/search/dataset/0038055/Global-Electrification-Database-from-Tracking-SDG7-The-Energy-Progress-Report</t>
        </is>
      </c>
      <c r="AM52" s="4" t="inlineStr">
        <is>
          <t>global_worldbank_global_electrification_grid_map</t>
        </is>
      </c>
    </row>
    <row r="53">
      <c r="A53" s="4" t="inlineStr">
        <is>
          <t>Florida US Highways</t>
        </is>
      </c>
      <c r="B53" s="19" t="inlineStr">
        <is>
          <t>Silver</t>
        </is>
      </c>
      <c r="C53" s="4" t="n">
        <v>80</v>
      </c>
      <c r="D53" s="4" t="inlineStr">
        <is>
          <t>built_environment</t>
        </is>
      </c>
      <c r="E53" s="4" t="inlineStr">
        <is>
          <t>degraded</t>
        </is>
      </c>
      <c r="F53" s="4" t="inlineStr">
        <is>
          <t>unknown</t>
        </is>
      </c>
      <c r="G53" s="4" t="inlineStr">
        <is>
          <t>line</t>
        </is>
      </c>
      <c r="H53" s="4" t="inlineStr">
        <is>
          <t>Unknown</t>
        </is>
      </c>
      <c r="I53" s="4" t="n">
        <v>2</v>
      </c>
      <c r="J53" s="4" t="inlineStr"/>
      <c r="K53" s="4" t="inlineStr">
        <is>
          <t>Curated</t>
        </is>
      </c>
      <c r="L53" s="4" t="n">
        <v>2026</v>
      </c>
      <c r="M53" s="4" t="inlineStr">
        <is>
          <t>open</t>
        </is>
      </c>
      <c r="N53" s="4" t="inlineStr">
        <is>
          <t>2026-10-28</t>
        </is>
      </c>
      <c r="O53" s="14" t="inlineStr">
        <is>
          <t>pass</t>
        </is>
      </c>
      <c r="P53" s="14" t="inlineStr">
        <is>
          <t>pass</t>
        </is>
      </c>
      <c r="Q53" s="14" t="inlineStr">
        <is>
          <t>pass</t>
        </is>
      </c>
      <c r="R53" s="16" t="inlineStr">
        <is>
          <t>warn</t>
        </is>
      </c>
      <c r="S53" s="15" t="inlineStr">
        <is>
          <t>not_checked</t>
        </is>
      </c>
      <c r="T53" s="15" t="inlineStr">
        <is>
          <t>n.a.</t>
        </is>
      </c>
      <c r="U53" s="15" t="inlineStr">
        <is>
          <t>n.a.</t>
        </is>
      </c>
      <c r="V53" s="14" t="inlineStr">
        <is>
          <t>pass</t>
        </is>
      </c>
      <c r="W53" s="16" t="inlineStr">
        <is>
          <t>warn</t>
        </is>
      </c>
      <c r="X53" s="14" t="inlineStr">
        <is>
          <t>pass</t>
        </is>
      </c>
      <c r="Y53" s="16" t="inlineStr">
        <is>
          <t>warn</t>
        </is>
      </c>
      <c r="Z53" s="14" t="inlineStr">
        <is>
          <t>pass</t>
        </is>
      </c>
      <c r="AA53" s="14" t="inlineStr">
        <is>
          <t>pass</t>
        </is>
      </c>
      <c r="AB53" s="14" t="inlineStr">
        <is>
          <t>pass</t>
        </is>
      </c>
      <c r="AC53" s="16" t="inlineStr">
        <is>
          <t>warn</t>
        </is>
      </c>
      <c r="AD53" s="16" t="inlineStr">
        <is>
          <t>warn</t>
        </is>
      </c>
      <c r="AE53" s="14" t="inlineStr">
        <is>
          <t>pass</t>
        </is>
      </c>
      <c r="AF53" s="14" t="inlineStr">
        <is>
          <t>pass</t>
        </is>
      </c>
      <c r="AG53" s="14" t="inlineStr">
        <is>
          <t>pass</t>
        </is>
      </c>
      <c r="AH53" s="14" t="inlineStr">
        <is>
          <t>pass</t>
        </is>
      </c>
      <c r="AI53" s="15" t="inlineStr">
        <is>
          <t>n.a.</t>
        </is>
      </c>
      <c r="AJ53" s="15" t="inlineStr">
        <is>
          <t>n.a.</t>
        </is>
      </c>
      <c r="AK53" s="4" t="inlineStr">
        <is>
          <t>soft404(warn);persistent_id(warn);license(warn);version(warn);unit(warn)</t>
        </is>
      </c>
      <c r="AL53" s="17" t="inlineStr">
        <is>
          <t>https://gis-fdot.opendata.arcgis.com/datasets/fdot::us-routes-tda/about</t>
        </is>
      </c>
      <c r="AM53" s="4" t="inlineStr">
        <is>
          <t>us_fl_us_highways</t>
        </is>
      </c>
    </row>
    <row r="54">
      <c r="A54" s="4" t="inlineStr">
        <is>
          <t>Global Man-made Impervious Surface (GMIS) Dataset From Landsat, v1 (2010)</t>
        </is>
      </c>
      <c r="B54" s="19" t="inlineStr">
        <is>
          <t>Silver</t>
        </is>
      </c>
      <c r="C54" s="4" t="n">
        <v>96</v>
      </c>
      <c r="D54" s="4" t="inlineStr">
        <is>
          <t>built_environment</t>
        </is>
      </c>
      <c r="E54" s="4" t="inlineStr">
        <is>
          <t>healthy</t>
        </is>
      </c>
      <c r="F54" s="4" t="inlineStr">
        <is>
          <t>open</t>
        </is>
      </c>
      <c r="G54" s="4" t="inlineStr">
        <is>
          <t>grid_30m</t>
        </is>
      </c>
      <c r="H54" s="4" t="inlineStr">
        <is>
          <t>Needs raster support</t>
        </is>
      </c>
      <c r="I54" s="4" t="n">
        <v>2</v>
      </c>
      <c r="J54" s="4" t="inlineStr"/>
      <c r="K54" s="4" t="inlineStr">
        <is>
          <t>Curated</t>
        </is>
      </c>
      <c r="L54" s="4" t="n">
        <v>2010</v>
      </c>
      <c r="M54" s="4" t="inlineStr">
        <is>
          <t>registration</t>
        </is>
      </c>
      <c r="N54" s="4" t="inlineStr">
        <is>
          <t>2026-10-28</t>
        </is>
      </c>
      <c r="O54" s="14" t="inlineStr">
        <is>
          <t>pass</t>
        </is>
      </c>
      <c r="P54" s="14" t="inlineStr">
        <is>
          <t>pass</t>
        </is>
      </c>
      <c r="Q54" s="14" t="inlineStr">
        <is>
          <t>pass</t>
        </is>
      </c>
      <c r="R54" s="14" t="inlineStr">
        <is>
          <t>pass</t>
        </is>
      </c>
      <c r="S54" s="14" t="inlineStr">
        <is>
          <t>pass</t>
        </is>
      </c>
      <c r="T54" s="14" t="inlineStr">
        <is>
          <t>pass</t>
        </is>
      </c>
      <c r="U54" s="16" t="inlineStr">
        <is>
          <t>warn</t>
        </is>
      </c>
      <c r="V54" s="14" t="inlineStr">
        <is>
          <t>pass</t>
        </is>
      </c>
      <c r="W54" s="14" t="inlineStr">
        <is>
          <t>pass</t>
        </is>
      </c>
      <c r="X54" s="14" t="inlineStr">
        <is>
          <t>pass</t>
        </is>
      </c>
      <c r="Y54" s="14" t="inlineStr">
        <is>
          <t>pass</t>
        </is>
      </c>
      <c r="Z54" s="14" t="inlineStr">
        <is>
          <t>pass</t>
        </is>
      </c>
      <c r="AA54" s="16" t="inlineStr">
        <is>
          <t>warn</t>
        </is>
      </c>
      <c r="AB54" s="14" t="inlineStr">
        <is>
          <t>pass</t>
        </is>
      </c>
      <c r="AC54" s="14" t="inlineStr">
        <is>
          <t>pass</t>
        </is>
      </c>
      <c r="AD54" s="14" t="inlineStr">
        <is>
          <t>pass</t>
        </is>
      </c>
      <c r="AE54" s="14" t="inlineStr">
        <is>
          <t>pass</t>
        </is>
      </c>
      <c r="AF54" s="15" t="inlineStr">
        <is>
          <t>not_checked</t>
        </is>
      </c>
      <c r="AG54" s="14" t="inlineStr">
        <is>
          <t>pass</t>
        </is>
      </c>
      <c r="AH54" s="14" t="inlineStr">
        <is>
          <t>pass</t>
        </is>
      </c>
      <c r="AI54" s="15" t="inlineStr">
        <is>
          <t>n.a.</t>
        </is>
      </c>
      <c r="AJ54" s="15" t="inlineStr">
        <is>
          <t>n.a.</t>
        </is>
      </c>
      <c r="AK54" s="4" t="inlineStr">
        <is>
          <t>format_match(warn);recency(warn)</t>
        </is>
      </c>
      <c r="AL54" s="17" t="inlineStr">
        <is>
          <t>https://www.earthdata.nasa.gov/data/catalog/sedac-ciesin-sedac-ulandsat-gmis-v1-1.0</t>
        </is>
      </c>
      <c r="AM54" s="4" t="inlineStr">
        <is>
          <t>global_sedac_gmis_v1</t>
        </is>
      </c>
    </row>
    <row r="55">
      <c r="A55" s="4" t="inlineStr">
        <is>
          <t>Global Roads Open Access Data Set, Version 1 (gROADSv1)</t>
        </is>
      </c>
      <c r="B55" s="19" t="inlineStr">
        <is>
          <t>Silver</t>
        </is>
      </c>
      <c r="C55" s="4" t="n">
        <v>96</v>
      </c>
      <c r="D55" s="4" t="inlineStr">
        <is>
          <t>built_environment</t>
        </is>
      </c>
      <c r="E55" s="4" t="inlineStr">
        <is>
          <t>healthy</t>
        </is>
      </c>
      <c r="F55" s="4" t="inlineStr">
        <is>
          <t>open</t>
        </is>
      </c>
      <c r="G55" s="4" t="inlineStr">
        <is>
          <t>line</t>
        </is>
      </c>
      <c r="H55" s="4" t="inlineStr">
        <is>
          <t>Needs a count/distance step</t>
        </is>
      </c>
      <c r="I55" s="4" t="n">
        <v>2</v>
      </c>
      <c r="J55" s="4" t="inlineStr"/>
      <c r="K55" s="4" t="inlineStr">
        <is>
          <t>Curated</t>
        </is>
      </c>
      <c r="L55" s="4" t="n">
        <v>2010</v>
      </c>
      <c r="M55" s="4" t="inlineStr">
        <is>
          <t>registration</t>
        </is>
      </c>
      <c r="N55" s="4" t="inlineStr">
        <is>
          <t>2026-10-28</t>
        </is>
      </c>
      <c r="O55" s="14" t="inlineStr">
        <is>
          <t>pass</t>
        </is>
      </c>
      <c r="P55" s="14" t="inlineStr">
        <is>
          <t>pass</t>
        </is>
      </c>
      <c r="Q55" s="14" t="inlineStr">
        <is>
          <t>pass</t>
        </is>
      </c>
      <c r="R55" s="14" t="inlineStr">
        <is>
          <t>pass</t>
        </is>
      </c>
      <c r="S55" s="14" t="inlineStr">
        <is>
          <t>pass</t>
        </is>
      </c>
      <c r="T55" s="14" t="inlineStr">
        <is>
          <t>pass</t>
        </is>
      </c>
      <c r="U55" s="16" t="inlineStr">
        <is>
          <t>warn</t>
        </is>
      </c>
      <c r="V55" s="14" t="inlineStr">
        <is>
          <t>pass</t>
        </is>
      </c>
      <c r="W55" s="14" t="inlineStr">
        <is>
          <t>pass</t>
        </is>
      </c>
      <c r="X55" s="14" t="inlineStr">
        <is>
          <t>pass</t>
        </is>
      </c>
      <c r="Y55" s="14" t="inlineStr">
        <is>
          <t>pass</t>
        </is>
      </c>
      <c r="Z55" s="14" t="inlineStr">
        <is>
          <t>pass</t>
        </is>
      </c>
      <c r="AA55" s="16" t="inlineStr">
        <is>
          <t>warn</t>
        </is>
      </c>
      <c r="AB55" s="16" t="inlineStr">
        <is>
          <t>warn</t>
        </is>
      </c>
      <c r="AC55" s="14" t="inlineStr">
        <is>
          <t>pass</t>
        </is>
      </c>
      <c r="AD55" s="15" t="inlineStr">
        <is>
          <t>not_checked</t>
        </is>
      </c>
      <c r="AE55" s="14" t="inlineStr">
        <is>
          <t>pass</t>
        </is>
      </c>
      <c r="AF55" s="15" t="inlineStr">
        <is>
          <t>not_checked</t>
        </is>
      </c>
      <c r="AG55" s="14" t="inlineStr">
        <is>
          <t>pass</t>
        </is>
      </c>
      <c r="AH55" s="14" t="inlineStr">
        <is>
          <t>pass</t>
        </is>
      </c>
      <c r="AI55" s="15" t="inlineStr">
        <is>
          <t>n.a.</t>
        </is>
      </c>
      <c r="AJ55" s="15" t="inlineStr">
        <is>
          <t>n.a.</t>
        </is>
      </c>
      <c r="AK55" s="4" t="inlineStr">
        <is>
          <t>format_match(warn);recency(warn);cadence(warn)</t>
        </is>
      </c>
      <c r="AL55" s="17" t="inlineStr">
        <is>
          <t>https://www.earthdata.nasa.gov/data/catalog/sedac-ciesin-sedac-groads-v1-1.0</t>
        </is>
      </c>
      <c r="AM55" s="4" t="inlineStr">
        <is>
          <t>global_sedac_groads_v1</t>
        </is>
      </c>
    </row>
    <row r="56">
      <c r="A56" s="4" t="inlineStr">
        <is>
          <t>High Resolution Layer Imperviousness (Imperviousness Density, Imperviousness Change, Built-up)</t>
        </is>
      </c>
      <c r="B56" s="19" t="inlineStr">
        <is>
          <t>Silver</t>
        </is>
      </c>
      <c r="C56" s="4" t="n">
        <v>94</v>
      </c>
      <c r="D56" s="4" t="inlineStr">
        <is>
          <t>built_environment</t>
        </is>
      </c>
      <c r="E56" s="4" t="inlineStr">
        <is>
          <t>degraded</t>
        </is>
      </c>
      <c r="F56" s="4" t="inlineStr">
        <is>
          <t>unknown</t>
        </is>
      </c>
      <c r="G56" s="4" t="inlineStr">
        <is>
          <t>grid_10m</t>
        </is>
      </c>
      <c r="H56" s="4" t="inlineStr">
        <is>
          <t>Needs raster support</t>
        </is>
      </c>
      <c r="I56" s="4" t="n">
        <v>2</v>
      </c>
      <c r="J56" s="4" t="inlineStr"/>
      <c r="K56" s="4" t="inlineStr">
        <is>
          <t>Curated</t>
        </is>
      </c>
      <c r="L56" s="4" t="n">
        <v>2018</v>
      </c>
      <c r="M56" s="4" t="inlineStr">
        <is>
          <t>registration</t>
        </is>
      </c>
      <c r="N56" s="4" t="inlineStr">
        <is>
          <t>2026-10-28</t>
        </is>
      </c>
      <c r="O56" s="14" t="inlineStr">
        <is>
          <t>pass</t>
        </is>
      </c>
      <c r="P56" s="14" t="inlineStr">
        <is>
          <t>pass</t>
        </is>
      </c>
      <c r="Q56" s="14" t="inlineStr">
        <is>
          <t>pass</t>
        </is>
      </c>
      <c r="R56" s="14" t="inlineStr">
        <is>
          <t>pass</t>
        </is>
      </c>
      <c r="S56" s="14" t="inlineStr">
        <is>
          <t>pass</t>
        </is>
      </c>
      <c r="T56" s="18" t="inlineStr">
        <is>
          <t>fail</t>
        </is>
      </c>
      <c r="U56" s="15" t="inlineStr">
        <is>
          <t>n.a.</t>
        </is>
      </c>
      <c r="V56" s="16" t="inlineStr">
        <is>
          <t>warn</t>
        </is>
      </c>
      <c r="W56" s="16" t="inlineStr">
        <is>
          <t>warn</t>
        </is>
      </c>
      <c r="X56" s="14" t="inlineStr">
        <is>
          <t>pass</t>
        </is>
      </c>
      <c r="Y56" s="15" t="inlineStr">
        <is>
          <t>not_checked</t>
        </is>
      </c>
      <c r="Z56" s="15" t="inlineStr">
        <is>
          <t>not_checked</t>
        </is>
      </c>
      <c r="AA56" s="15" t="inlineStr">
        <is>
          <t>not_checked</t>
        </is>
      </c>
      <c r="AB56" s="15" t="inlineStr">
        <is>
          <t>not_checked</t>
        </is>
      </c>
      <c r="AC56" s="15" t="inlineStr">
        <is>
          <t>not_checked</t>
        </is>
      </c>
      <c r="AD56" s="15" t="inlineStr">
        <is>
          <t>not_checked</t>
        </is>
      </c>
      <c r="AE56" s="16" t="inlineStr">
        <is>
          <t>warn</t>
        </is>
      </c>
      <c r="AF56" s="15" t="inlineStr">
        <is>
          <t>not_checked</t>
        </is>
      </c>
      <c r="AG56" s="15" t="inlineStr">
        <is>
          <t>not_checked</t>
        </is>
      </c>
      <c r="AH56" s="15" t="inlineStr">
        <is>
          <t>not_checked</t>
        </is>
      </c>
      <c r="AI56" s="15" t="inlineStr">
        <is>
          <t>n.a.</t>
        </is>
      </c>
      <c r="AJ56" s="15" t="inlineStr">
        <is>
          <t>n.a.</t>
        </is>
      </c>
      <c r="AK56" s="4" t="inlineStr">
        <is>
          <t>access_url;machine_metadata(warn);persistent_id(warn);coverage(warn)</t>
        </is>
      </c>
      <c r="AL56" s="17" t="inlineStr">
        <is>
          <t>https://land.copernicus.eu/en/products/high-resolution-layer-imperviousness</t>
        </is>
      </c>
      <c r="AM56" s="4" t="inlineStr">
        <is>
          <t>eu_copernicus_hrl_imperviousness</t>
        </is>
      </c>
    </row>
    <row r="57">
      <c r="A57" s="4" t="inlineStr">
        <is>
          <t>National Agriculture Imagery Program (NAIP)</t>
        </is>
      </c>
      <c r="B57" s="19" t="inlineStr">
        <is>
          <t>Silver</t>
        </is>
      </c>
      <c r="C57" s="4" t="n">
        <v>93</v>
      </c>
      <c r="D57" s="4" t="inlineStr">
        <is>
          <t>built_environment</t>
        </is>
      </c>
      <c r="E57" s="4" t="inlineStr">
        <is>
          <t>healthy</t>
        </is>
      </c>
      <c r="F57" s="4" t="inlineStr">
        <is>
          <t>open</t>
        </is>
      </c>
      <c r="G57" s="4" t="inlineStr">
        <is>
          <t>grid_0.3m (30-100 cm imagery)</t>
        </is>
      </c>
      <c r="H57" s="4" t="inlineStr">
        <is>
          <t>Needs raster support</t>
        </is>
      </c>
      <c r="I57" s="4" t="n">
        <v>2</v>
      </c>
      <c r="J57" s="4" t="inlineStr"/>
      <c r="K57" s="4" t="inlineStr">
        <is>
          <t>Curated</t>
        </is>
      </c>
      <c r="L57" s="4" t="n">
        <v>2023</v>
      </c>
      <c r="M57" s="4" t="inlineStr">
        <is>
          <t>open</t>
        </is>
      </c>
      <c r="N57" s="4" t="inlineStr">
        <is>
          <t>2026-10-28</t>
        </is>
      </c>
      <c r="O57" s="14" t="inlineStr">
        <is>
          <t>pass</t>
        </is>
      </c>
      <c r="P57" s="14" t="inlineStr">
        <is>
          <t>pass</t>
        </is>
      </c>
      <c r="Q57" s="14" t="inlineStr">
        <is>
          <t>pass</t>
        </is>
      </c>
      <c r="R57" s="14" t="inlineStr">
        <is>
          <t>pass</t>
        </is>
      </c>
      <c r="S57" s="14" t="inlineStr">
        <is>
          <t>pass</t>
        </is>
      </c>
      <c r="T57" s="14" t="inlineStr">
        <is>
          <t>pass</t>
        </is>
      </c>
      <c r="U57" s="16" t="inlineStr">
        <is>
          <t>warn</t>
        </is>
      </c>
      <c r="V57" s="14" t="inlineStr">
        <is>
          <t>pass</t>
        </is>
      </c>
      <c r="W57" s="16" t="inlineStr">
        <is>
          <t>warn</t>
        </is>
      </c>
      <c r="X57" s="14" t="inlineStr">
        <is>
          <t>pass</t>
        </is>
      </c>
      <c r="Y57" s="14" t="inlineStr">
        <is>
          <t>pass</t>
        </is>
      </c>
      <c r="Z57" s="14" t="inlineStr">
        <is>
          <t>pass</t>
        </is>
      </c>
      <c r="AA57" s="14" t="inlineStr">
        <is>
          <t>pass</t>
        </is>
      </c>
      <c r="AB57" s="14" t="inlineStr">
        <is>
          <t>pass</t>
        </is>
      </c>
      <c r="AC57" s="15" t="inlineStr">
        <is>
          <t>not_checked</t>
        </is>
      </c>
      <c r="AD57" s="16" t="inlineStr">
        <is>
          <t>warn</t>
        </is>
      </c>
      <c r="AE57" s="14" t="inlineStr">
        <is>
          <t>pass</t>
        </is>
      </c>
      <c r="AF57" s="14" t="inlineStr">
        <is>
          <t>pass</t>
        </is>
      </c>
      <c r="AG57" s="14" t="inlineStr">
        <is>
          <t>pass</t>
        </is>
      </c>
      <c r="AH57" s="14" t="inlineStr">
        <is>
          <t>pass</t>
        </is>
      </c>
      <c r="AI57" s="15" t="inlineStr">
        <is>
          <t>n.a.</t>
        </is>
      </c>
      <c r="AJ57" s="15" t="inlineStr">
        <is>
          <t>n.a.</t>
        </is>
      </c>
      <c r="AK57" s="4" t="inlineStr">
        <is>
          <t>format_match(warn);persistent_id(warn);unit(warn)</t>
        </is>
      </c>
      <c r="AL57" s="17" t="inlineStr">
        <is>
          <t>https://catalog.data.gov/dataset/national-agriculture-imagery-program-naip</t>
        </is>
      </c>
      <c r="AM57" s="4" t="inlineStr">
        <is>
          <t>us_usda_naip</t>
        </is>
      </c>
    </row>
    <row r="58">
      <c r="A58" s="4" t="inlineStr">
        <is>
          <t>NRC List of Power Reactor Units (operating commercial reactors)</t>
        </is>
      </c>
      <c r="B58" s="19" t="inlineStr">
        <is>
          <t>Silver</t>
        </is>
      </c>
      <c r="C58" s="4" t="n">
        <v>76</v>
      </c>
      <c r="D58" s="4" t="inlineStr">
        <is>
          <t>built_environment</t>
        </is>
      </c>
      <c r="E58" s="4" t="inlineStr">
        <is>
          <t>degraded</t>
        </is>
      </c>
      <c r="F58" s="4" t="inlineStr">
        <is>
          <t>open</t>
        </is>
      </c>
      <c r="G58" s="4" t="inlineStr">
        <is>
          <t>point (approximate; text location such as '6 miles WNW of Russellville, AR'; no coordinates)</t>
        </is>
      </c>
      <c r="H58" s="4" t="inlineStr">
        <is>
          <t>Needs a count/distance step</t>
        </is>
      </c>
      <c r="I58" s="4" t="n">
        <v>2</v>
      </c>
      <c r="J58" s="4" t="inlineStr"/>
      <c r="K58" s="4" t="inlineStr">
        <is>
          <t>Curated</t>
        </is>
      </c>
      <c r="L58" s="4" t="n">
        <v>2026</v>
      </c>
      <c r="M58" s="4" t="inlineStr">
        <is>
          <t>unknown</t>
        </is>
      </c>
      <c r="N58" s="4" t="inlineStr">
        <is>
          <t>2026-10-28</t>
        </is>
      </c>
      <c r="O58" s="14" t="inlineStr">
        <is>
          <t>pass</t>
        </is>
      </c>
      <c r="P58" s="14" t="inlineStr">
        <is>
          <t>pass</t>
        </is>
      </c>
      <c r="Q58" s="14" t="inlineStr">
        <is>
          <t>pass</t>
        </is>
      </c>
      <c r="R58" s="14" t="inlineStr">
        <is>
          <t>pass</t>
        </is>
      </c>
      <c r="S58" s="14" t="inlineStr">
        <is>
          <t>pass</t>
        </is>
      </c>
      <c r="T58" s="14" t="inlineStr">
        <is>
          <t>pass</t>
        </is>
      </c>
      <c r="U58" s="14" t="inlineStr">
        <is>
          <t>pass</t>
        </is>
      </c>
      <c r="V58" s="18" t="inlineStr">
        <is>
          <t>fail</t>
        </is>
      </c>
      <c r="W58" s="16" t="inlineStr">
        <is>
          <t>warn</t>
        </is>
      </c>
      <c r="X58" s="14" t="inlineStr">
        <is>
          <t>pass</t>
        </is>
      </c>
      <c r="Y58" s="14" t="inlineStr">
        <is>
          <t>pass</t>
        </is>
      </c>
      <c r="Z58" s="16" t="inlineStr">
        <is>
          <t>warn</t>
        </is>
      </c>
      <c r="AA58" s="14" t="inlineStr">
        <is>
          <t>pass</t>
        </is>
      </c>
      <c r="AB58" s="15" t="inlineStr">
        <is>
          <t>not_checked</t>
        </is>
      </c>
      <c r="AC58" s="16" t="inlineStr">
        <is>
          <t>warn</t>
        </is>
      </c>
      <c r="AD58" s="16" t="inlineStr">
        <is>
          <t>warn</t>
        </is>
      </c>
      <c r="AE58" s="14" t="inlineStr">
        <is>
          <t>pass</t>
        </is>
      </c>
      <c r="AF58" s="14" t="inlineStr">
        <is>
          <t>pass</t>
        </is>
      </c>
      <c r="AG58" s="18" t="inlineStr">
        <is>
          <t>fail</t>
        </is>
      </c>
      <c r="AH58" s="18" t="inlineStr">
        <is>
          <t>fail</t>
        </is>
      </c>
      <c r="AI58" s="15" t="inlineStr">
        <is>
          <t>n.a.</t>
        </is>
      </c>
      <c r="AJ58" s="15" t="inlineStr">
        <is>
          <t>n.a.</t>
        </is>
      </c>
      <c r="AK58" s="4" t="inlineStr">
        <is>
          <t>machine_metadata;join_key;format_gaia;persistent_id(warn);temporal(warn);version(warn);unit(warn)</t>
        </is>
      </c>
      <c r="AL58" s="17" t="inlineStr">
        <is>
          <t>https://www.nrc.gov/reactors/operating/list-power-reactor-units.html</t>
        </is>
      </c>
      <c r="AM58" s="4" t="inlineStr">
        <is>
          <t>us_nrc_power_reactor_units</t>
        </is>
      </c>
    </row>
    <row r="59">
      <c r="A59" s="4" t="inlineStr">
        <is>
          <t>OpenStreetMap</t>
        </is>
      </c>
      <c r="B59" s="19" t="inlineStr">
        <is>
          <t>Silver</t>
        </is>
      </c>
      <c r="C59" s="4" t="n">
        <v>96</v>
      </c>
      <c r="D59" s="4" t="inlineStr">
        <is>
          <t>built_environment</t>
        </is>
      </c>
      <c r="E59" s="4" t="inlineStr">
        <is>
          <t>healthy</t>
        </is>
      </c>
      <c r="F59" s="4" t="inlineStr">
        <is>
          <t>open</t>
        </is>
      </c>
      <c r="G59" s="4" t="inlineStr">
        <is>
          <t>point</t>
        </is>
      </c>
      <c r="H59" s="4" t="inlineStr">
        <is>
          <t>Needs a count/distance step</t>
        </is>
      </c>
      <c r="I59" s="4" t="n">
        <v>2</v>
      </c>
      <c r="J59" s="4" t="inlineStr">
        <is>
          <t>hh_glaciares_osm;hh_red_vial_osm;hh_rios_arroyos_osm;hh_rutas_pie_osm;tt_ferry_routes;tt_populated_places;tt_regions;tt_roads;tz_populated_places_osm;tz_regions_osm</t>
        </is>
      </c>
      <c r="K59" s="4" t="inlineStr">
        <is>
          <t>Curated</t>
        </is>
      </c>
      <c r="L59" s="4" t="inlineStr"/>
      <c r="M59" s="4" t="inlineStr">
        <is>
          <t>open</t>
        </is>
      </c>
      <c r="N59" s="4" t="inlineStr">
        <is>
          <t>2026-10-28</t>
        </is>
      </c>
      <c r="O59" s="14" t="inlineStr">
        <is>
          <t>pass</t>
        </is>
      </c>
      <c r="P59" s="14" t="inlineStr">
        <is>
          <t>pass</t>
        </is>
      </c>
      <c r="Q59" s="14" t="inlineStr">
        <is>
          <t>pass</t>
        </is>
      </c>
      <c r="R59" s="14" t="inlineStr">
        <is>
          <t>pass</t>
        </is>
      </c>
      <c r="S59" s="14" t="inlineStr">
        <is>
          <t>pass</t>
        </is>
      </c>
      <c r="T59" s="15" t="inlineStr">
        <is>
          <t>n.a.</t>
        </is>
      </c>
      <c r="U59" s="15" t="inlineStr">
        <is>
          <t>n.a.</t>
        </is>
      </c>
      <c r="V59" s="16" t="inlineStr">
        <is>
          <t>warn</t>
        </is>
      </c>
      <c r="W59" s="16" t="inlineStr">
        <is>
          <t>warn</t>
        </is>
      </c>
      <c r="X59" s="14" t="inlineStr">
        <is>
          <t>pass</t>
        </is>
      </c>
      <c r="Y59" s="14" t="inlineStr">
        <is>
          <t>pass</t>
        </is>
      </c>
      <c r="Z59" s="15" t="inlineStr">
        <is>
          <t>not_checked</t>
        </is>
      </c>
      <c r="AA59" s="15" t="inlineStr">
        <is>
          <t>not_checked</t>
        </is>
      </c>
      <c r="AB59" s="15" t="inlineStr">
        <is>
          <t>not_checked</t>
        </is>
      </c>
      <c r="AC59" s="15" t="inlineStr">
        <is>
          <t>not_checked</t>
        </is>
      </c>
      <c r="AD59" s="15" t="inlineStr">
        <is>
          <t>not_checked</t>
        </is>
      </c>
      <c r="AE59" s="14" t="inlineStr">
        <is>
          <t>pass</t>
        </is>
      </c>
      <c r="AF59" s="15" t="inlineStr">
        <is>
          <t>not_checked</t>
        </is>
      </c>
      <c r="AG59" s="15" t="inlineStr">
        <is>
          <t>not_checked</t>
        </is>
      </c>
      <c r="AH59" s="15" t="inlineStr">
        <is>
          <t>not_checked</t>
        </is>
      </c>
      <c r="AI59" s="14" t="inlineStr">
        <is>
          <t>pass</t>
        </is>
      </c>
      <c r="AJ59" s="15" t="inlineStr">
        <is>
          <t>not_checked</t>
        </is>
      </c>
      <c r="AK59" s="4" t="inlineStr">
        <is>
          <t>machine_metadata(warn);persistent_id(warn)</t>
        </is>
      </c>
      <c r="AL59" s="17" t="inlineStr">
        <is>
          <t>https://www.openstreetmap.org/</t>
        </is>
      </c>
      <c r="AM59" s="4" t="inlineStr">
        <is>
          <t>global_openstreetmap</t>
        </is>
      </c>
    </row>
    <row r="60">
      <c r="A60" s="4" t="inlineStr">
        <is>
          <t>OpenStreetMap US extracts (Geofabrik)</t>
        </is>
      </c>
      <c r="B60" s="19" t="inlineStr">
        <is>
          <t>Silver</t>
        </is>
      </c>
      <c r="C60" s="4" t="n">
        <v>97</v>
      </c>
      <c r="D60" s="4" t="inlineStr">
        <is>
          <t>built_environment</t>
        </is>
      </c>
      <c r="E60" s="4" t="inlineStr">
        <is>
          <t>healthy</t>
        </is>
      </c>
      <c r="F60" s="4" t="inlineStr">
        <is>
          <t>open</t>
        </is>
      </c>
      <c r="G60" s="4" t="inlineStr">
        <is>
          <t>point</t>
        </is>
      </c>
      <c r="H60" s="4" t="inlineStr">
        <is>
          <t>Needs a count/distance step</t>
        </is>
      </c>
      <c r="I60" s="4" t="n">
        <v>2</v>
      </c>
      <c r="J60" s="4" t="inlineStr"/>
      <c r="K60" s="4" t="inlineStr">
        <is>
          <t>Curated</t>
        </is>
      </c>
      <c r="L60" s="4" t="n">
        <v>2026</v>
      </c>
      <c r="M60" s="4" t="inlineStr">
        <is>
          <t>open</t>
        </is>
      </c>
      <c r="N60" s="4" t="inlineStr">
        <is>
          <t>2026-10-28</t>
        </is>
      </c>
      <c r="O60" s="14" t="inlineStr">
        <is>
          <t>pass</t>
        </is>
      </c>
      <c r="P60" s="14" t="inlineStr">
        <is>
          <t>pass</t>
        </is>
      </c>
      <c r="Q60" s="14" t="inlineStr">
        <is>
          <t>pass</t>
        </is>
      </c>
      <c r="R60" s="14" t="inlineStr">
        <is>
          <t>pass</t>
        </is>
      </c>
      <c r="S60" s="14" t="inlineStr">
        <is>
          <t>pass</t>
        </is>
      </c>
      <c r="T60" s="14" t="inlineStr">
        <is>
          <t>pass</t>
        </is>
      </c>
      <c r="U60" s="16" t="inlineStr">
        <is>
          <t>warn</t>
        </is>
      </c>
      <c r="V60" s="16" t="inlineStr">
        <is>
          <t>warn</t>
        </is>
      </c>
      <c r="W60" s="16" t="inlineStr">
        <is>
          <t>warn</t>
        </is>
      </c>
      <c r="X60" s="14" t="inlineStr">
        <is>
          <t>pass</t>
        </is>
      </c>
      <c r="Y60" s="14" t="inlineStr">
        <is>
          <t>pass</t>
        </is>
      </c>
      <c r="Z60" s="14" t="inlineStr">
        <is>
          <t>pass</t>
        </is>
      </c>
      <c r="AA60" s="14" t="inlineStr">
        <is>
          <t>pass</t>
        </is>
      </c>
      <c r="AB60" s="16" t="inlineStr">
        <is>
          <t>warn</t>
        </is>
      </c>
      <c r="AC60" s="16" t="inlineStr">
        <is>
          <t>warn</t>
        </is>
      </c>
      <c r="AD60" s="15" t="inlineStr">
        <is>
          <t>not_checked</t>
        </is>
      </c>
      <c r="AE60" s="14" t="inlineStr">
        <is>
          <t>pass</t>
        </is>
      </c>
      <c r="AF60" s="14" t="inlineStr">
        <is>
          <t>pass</t>
        </is>
      </c>
      <c r="AG60" s="14" t="inlineStr">
        <is>
          <t>pass</t>
        </is>
      </c>
      <c r="AH60" s="14" t="inlineStr">
        <is>
          <t>pass</t>
        </is>
      </c>
      <c r="AI60" s="15" t="inlineStr">
        <is>
          <t>n.a.</t>
        </is>
      </c>
      <c r="AJ60" s="15" t="inlineStr">
        <is>
          <t>n.a.</t>
        </is>
      </c>
      <c r="AK60" s="4" t="inlineStr">
        <is>
          <t>format_match(warn);machine_metadata(warn);persistent_id(warn);cadence(warn);version(warn)</t>
        </is>
      </c>
      <c r="AL60" s="17" t="inlineStr">
        <is>
          <t>https://download.geofabrik.de/north-america/us.html</t>
        </is>
      </c>
      <c r="AM60" s="4" t="inlineStr">
        <is>
          <t>global_geofabrik_osm_extracts</t>
        </is>
      </c>
    </row>
    <row r="61">
      <c r="A61" s="4" t="inlineStr">
        <is>
          <t>Transitland</t>
        </is>
      </c>
      <c r="B61" s="19" t="inlineStr">
        <is>
          <t>Silver</t>
        </is>
      </c>
      <c r="C61" s="4" t="n">
        <v>83</v>
      </c>
      <c r="D61" s="4" t="inlineStr">
        <is>
          <t>built_environment</t>
        </is>
      </c>
      <c r="E61" s="4" t="inlineStr">
        <is>
          <t>healthy</t>
        </is>
      </c>
      <c r="F61" s="4" t="inlineStr">
        <is>
          <t>non-commercial</t>
        </is>
      </c>
      <c r="G61" s="4" t="inlineStr">
        <is>
          <t>point</t>
        </is>
      </c>
      <c r="H61" s="4" t="inlineStr">
        <is>
          <t>Needs a count/distance step</t>
        </is>
      </c>
      <c r="I61" s="4" t="n">
        <v>2</v>
      </c>
      <c r="J61" s="4" t="inlineStr"/>
      <c r="K61" s="4" t="inlineStr">
        <is>
          <t>Curated</t>
        </is>
      </c>
      <c r="L61" s="4" t="n">
        <v>2026</v>
      </c>
      <c r="M61" s="4" t="inlineStr">
        <is>
          <t>registration</t>
        </is>
      </c>
      <c r="N61" s="4" t="inlineStr">
        <is>
          <t>2026-10-28</t>
        </is>
      </c>
      <c r="O61" s="14" t="inlineStr">
        <is>
          <t>pass</t>
        </is>
      </c>
      <c r="P61" s="14" t="inlineStr">
        <is>
          <t>pass</t>
        </is>
      </c>
      <c r="Q61" s="14" t="inlineStr">
        <is>
          <t>pass</t>
        </is>
      </c>
      <c r="R61" s="14" t="inlineStr">
        <is>
          <t>pass</t>
        </is>
      </c>
      <c r="S61" s="14" t="inlineStr">
        <is>
          <t>pass</t>
        </is>
      </c>
      <c r="T61" s="14" t="inlineStr">
        <is>
          <t>pass</t>
        </is>
      </c>
      <c r="U61" s="14" t="inlineStr">
        <is>
          <t>pass</t>
        </is>
      </c>
      <c r="V61" s="16" t="inlineStr">
        <is>
          <t>warn</t>
        </is>
      </c>
      <c r="W61" s="16" t="inlineStr">
        <is>
          <t>warn</t>
        </is>
      </c>
      <c r="X61" s="14" t="inlineStr">
        <is>
          <t>pass</t>
        </is>
      </c>
      <c r="Y61" s="16" t="inlineStr">
        <is>
          <t>warn</t>
        </is>
      </c>
      <c r="Z61" s="16" t="inlineStr">
        <is>
          <t>warn</t>
        </is>
      </c>
      <c r="AA61" s="14" t="inlineStr">
        <is>
          <t>pass</t>
        </is>
      </c>
      <c r="AB61" s="16" t="inlineStr">
        <is>
          <t>warn</t>
        </is>
      </c>
      <c r="AC61" s="14" t="inlineStr">
        <is>
          <t>pass</t>
        </is>
      </c>
      <c r="AD61" s="14" t="inlineStr">
        <is>
          <t>pass</t>
        </is>
      </c>
      <c r="AE61" s="14" t="inlineStr">
        <is>
          <t>pass</t>
        </is>
      </c>
      <c r="AF61" s="16" t="inlineStr">
        <is>
          <t>warn</t>
        </is>
      </c>
      <c r="AG61" s="14" t="inlineStr">
        <is>
          <t>pass</t>
        </is>
      </c>
      <c r="AH61" s="14" t="inlineStr">
        <is>
          <t>pass</t>
        </is>
      </c>
      <c r="AI61" s="15" t="inlineStr">
        <is>
          <t>n.a.</t>
        </is>
      </c>
      <c r="AJ61" s="15" t="inlineStr">
        <is>
          <t>n.a.</t>
        </is>
      </c>
      <c r="AK61" s="4" t="inlineStr">
        <is>
          <t>machine_metadata(warn);persistent_id(warn);license(warn);temporal(warn);cadence(warn);access(warn)</t>
        </is>
      </c>
      <c r="AL61" s="17" t="inlineStr">
        <is>
          <t>https://www.transit.land/</t>
        </is>
      </c>
      <c r="AM61" s="4" t="inlineStr">
        <is>
          <t>global_interline_transitland</t>
        </is>
      </c>
    </row>
    <row r="62">
      <c r="A62" s="4" t="inlineStr">
        <is>
          <t>Treepedia Green View Index (GVI)</t>
        </is>
      </c>
      <c r="B62" s="19" t="inlineStr">
        <is>
          <t>Silver</t>
        </is>
      </c>
      <c r="C62" s="4" t="n">
        <v>92</v>
      </c>
      <c r="D62" s="4" t="inlineStr">
        <is>
          <t>built_environment</t>
        </is>
      </c>
      <c r="E62" s="4" t="inlineStr">
        <is>
          <t>healthy</t>
        </is>
      </c>
      <c r="F62" s="4" t="inlineStr">
        <is>
          <t>open</t>
        </is>
      </c>
      <c r="G62" s="4" t="inlineStr">
        <is>
          <t>point</t>
        </is>
      </c>
      <c r="H62" s="4" t="inlineStr">
        <is>
          <t>Needs raster support</t>
        </is>
      </c>
      <c r="I62" s="4" t="n">
        <v>2</v>
      </c>
      <c r="J62" s="4" t="inlineStr"/>
      <c r="K62" s="4" t="inlineStr">
        <is>
          <t>Curated</t>
        </is>
      </c>
      <c r="L62" s="4" t="inlineStr"/>
      <c r="M62" s="4" t="inlineStr">
        <is>
          <t>open</t>
        </is>
      </c>
      <c r="N62" s="4" t="inlineStr">
        <is>
          <t>2026-10-28</t>
        </is>
      </c>
      <c r="O62" s="14" t="inlineStr">
        <is>
          <t>pass</t>
        </is>
      </c>
      <c r="P62" s="14" t="inlineStr">
        <is>
          <t>pass</t>
        </is>
      </c>
      <c r="Q62" s="14" t="inlineStr">
        <is>
          <t>pass</t>
        </is>
      </c>
      <c r="R62" s="14" t="inlineStr">
        <is>
          <t>pass</t>
        </is>
      </c>
      <c r="S62" s="14" t="inlineStr">
        <is>
          <t>pass</t>
        </is>
      </c>
      <c r="T62" s="14" t="inlineStr">
        <is>
          <t>pass</t>
        </is>
      </c>
      <c r="U62" s="16" t="inlineStr">
        <is>
          <t>warn</t>
        </is>
      </c>
      <c r="V62" s="16" t="inlineStr">
        <is>
          <t>warn</t>
        </is>
      </c>
      <c r="W62" s="16" t="inlineStr">
        <is>
          <t>warn</t>
        </is>
      </c>
      <c r="X62" s="14" t="inlineStr">
        <is>
          <t>pass</t>
        </is>
      </c>
      <c r="Y62" s="14" t="inlineStr">
        <is>
          <t>pass</t>
        </is>
      </c>
      <c r="Z62" s="15" t="inlineStr">
        <is>
          <t>not_checked</t>
        </is>
      </c>
      <c r="AA62" s="15" t="inlineStr">
        <is>
          <t>not_checked</t>
        </is>
      </c>
      <c r="AB62" s="15" t="inlineStr">
        <is>
          <t>not_checked</t>
        </is>
      </c>
      <c r="AC62" s="15" t="inlineStr">
        <is>
          <t>not_checked</t>
        </is>
      </c>
      <c r="AD62" s="14" t="inlineStr">
        <is>
          <t>pass</t>
        </is>
      </c>
      <c r="AE62" s="16" t="inlineStr">
        <is>
          <t>warn</t>
        </is>
      </c>
      <c r="AF62" s="16" t="inlineStr">
        <is>
          <t>warn</t>
        </is>
      </c>
      <c r="AG62" s="14" t="inlineStr">
        <is>
          <t>pass</t>
        </is>
      </c>
      <c r="AH62" s="14" t="inlineStr">
        <is>
          <t>pass</t>
        </is>
      </c>
      <c r="AI62" s="15" t="inlineStr">
        <is>
          <t>n.a.</t>
        </is>
      </c>
      <c r="AJ62" s="15" t="inlineStr">
        <is>
          <t>n.a.</t>
        </is>
      </c>
      <c r="AK62" s="4" t="inlineStr">
        <is>
          <t>format_match(warn);machine_metadata(warn);persistent_id(warn);coverage(warn);access(warn)</t>
        </is>
      </c>
      <c r="AL62" s="17" t="inlineStr">
        <is>
          <t>https://github.com/mittrees/Treepedia_Public</t>
        </is>
      </c>
      <c r="AM62" s="4" t="inlineStr">
        <is>
          <t>global_mit_treepedia_gvi</t>
        </is>
      </c>
    </row>
    <row r="63">
      <c r="A63" s="4" t="inlineStr">
        <is>
          <t>Canadian Climate Normals</t>
        </is>
      </c>
      <c r="B63" s="19" t="inlineStr">
        <is>
          <t>Silver</t>
        </is>
      </c>
      <c r="C63" s="4" t="n">
        <v>84</v>
      </c>
      <c r="D63" s="4" t="inlineStr">
        <is>
          <t>climate_hazard</t>
        </is>
      </c>
      <c r="E63" s="4" t="inlineStr">
        <is>
          <t>degraded</t>
        </is>
      </c>
      <c r="F63" s="4" t="inlineStr">
        <is>
          <t>non-commercial</t>
        </is>
      </c>
      <c r="G63" s="4" t="inlineStr">
        <is>
          <t>point</t>
        </is>
      </c>
      <c r="H63" s="4" t="inlineStr">
        <is>
          <t>Needs a count/distance step</t>
        </is>
      </c>
      <c r="I63" s="4" t="n">
        <v>3</v>
      </c>
      <c r="J63" s="4" t="inlineStr"/>
      <c r="K63" s="4" t="inlineStr">
        <is>
          <t>Curated</t>
        </is>
      </c>
      <c r="L63" s="4" t="n">
        <v>2020</v>
      </c>
      <c r="M63" s="4" t="inlineStr">
        <is>
          <t>open</t>
        </is>
      </c>
      <c r="N63" s="4" t="inlineStr">
        <is>
          <t>2026-10-22</t>
        </is>
      </c>
      <c r="O63" s="14" t="inlineStr">
        <is>
          <t>pass</t>
        </is>
      </c>
      <c r="P63" s="14" t="inlineStr">
        <is>
          <t>pass</t>
        </is>
      </c>
      <c r="Q63" s="14" t="inlineStr">
        <is>
          <t>pass</t>
        </is>
      </c>
      <c r="R63" s="14" t="inlineStr">
        <is>
          <t>pass</t>
        </is>
      </c>
      <c r="S63" s="14" t="inlineStr">
        <is>
          <t>pass</t>
        </is>
      </c>
      <c r="T63" s="15" t="inlineStr">
        <is>
          <t>n.a.</t>
        </is>
      </c>
      <c r="U63" s="15" t="inlineStr">
        <is>
          <t>n.a.</t>
        </is>
      </c>
      <c r="V63" s="18" t="inlineStr">
        <is>
          <t>fail</t>
        </is>
      </c>
      <c r="W63" s="16" t="inlineStr">
        <is>
          <t>warn</t>
        </is>
      </c>
      <c r="X63" s="14" t="inlineStr">
        <is>
          <t>pass</t>
        </is>
      </c>
      <c r="Y63" s="16" t="inlineStr">
        <is>
          <t>warn</t>
        </is>
      </c>
      <c r="Z63" s="14" t="inlineStr">
        <is>
          <t>pass</t>
        </is>
      </c>
      <c r="AA63" s="14" t="inlineStr">
        <is>
          <t>pass</t>
        </is>
      </c>
      <c r="AB63" s="14" t="inlineStr">
        <is>
          <t>pass</t>
        </is>
      </c>
      <c r="AC63" s="14" t="inlineStr">
        <is>
          <t>pass</t>
        </is>
      </c>
      <c r="AD63" s="14" t="inlineStr">
        <is>
          <t>pass</t>
        </is>
      </c>
      <c r="AE63" s="14" t="inlineStr">
        <is>
          <t>pass</t>
        </is>
      </c>
      <c r="AF63" s="14" t="inlineStr">
        <is>
          <t>pass</t>
        </is>
      </c>
      <c r="AG63" s="16" t="inlineStr">
        <is>
          <t>warn</t>
        </is>
      </c>
      <c r="AH63" s="14" t="inlineStr">
        <is>
          <t>pass</t>
        </is>
      </c>
      <c r="AI63" s="15" t="inlineStr">
        <is>
          <t>n.a.</t>
        </is>
      </c>
      <c r="AJ63" s="15" t="inlineStr">
        <is>
          <t>n.a.</t>
        </is>
      </c>
      <c r="AK63" s="4" t="inlineStr">
        <is>
          <t>machine_metadata;persistent_id(warn);license(warn);join_key(warn)</t>
        </is>
      </c>
      <c r="AL63" s="17" t="inlineStr">
        <is>
          <t>https://climate.weather.gc.ca/climate_normals/index_e.html</t>
        </is>
      </c>
      <c r="AM63" s="4" t="inlineStr">
        <is>
          <t>ca_eccc_climate_normals</t>
        </is>
      </c>
    </row>
    <row r="64">
      <c r="A64" s="4" t="inlineStr">
        <is>
          <t>CERRA sub-daily regional reanalysis data for Europe on single levels from 1984 to present</t>
        </is>
      </c>
      <c r="B64" s="19" t="inlineStr">
        <is>
          <t>Silver</t>
        </is>
      </c>
      <c r="C64" s="4" t="n">
        <v>100</v>
      </c>
      <c r="D64" s="4" t="inlineStr">
        <is>
          <t>climate_hazard</t>
        </is>
      </c>
      <c r="E64" s="4" t="inlineStr">
        <is>
          <t>healthy</t>
        </is>
      </c>
      <c r="F64" s="4" t="inlineStr">
        <is>
          <t>open</t>
        </is>
      </c>
      <c r="G64" s="4" t="inlineStr">
        <is>
          <t>grid_5.5km</t>
        </is>
      </c>
      <c r="H64" s="4" t="inlineStr">
        <is>
          <t>Needs raster support</t>
        </is>
      </c>
      <c r="I64" s="4" t="n">
        <v>3</v>
      </c>
      <c r="J64" s="4" t="inlineStr"/>
      <c r="K64" s="4" t="inlineStr">
        <is>
          <t>Curated</t>
        </is>
      </c>
      <c r="L64" s="4" t="n">
        <v>2026</v>
      </c>
      <c r="M64" s="4" t="inlineStr">
        <is>
          <t>registration</t>
        </is>
      </c>
      <c r="N64" s="4" t="inlineStr">
        <is>
          <t>2026-10-22</t>
        </is>
      </c>
      <c r="O64" s="14" t="inlineStr">
        <is>
          <t>pass</t>
        </is>
      </c>
      <c r="P64" s="14" t="inlineStr">
        <is>
          <t>pass</t>
        </is>
      </c>
      <c r="Q64" s="14" t="inlineStr">
        <is>
          <t>pass</t>
        </is>
      </c>
      <c r="R64" s="14" t="inlineStr">
        <is>
          <t>pass</t>
        </is>
      </c>
      <c r="S64" s="14" t="inlineStr">
        <is>
          <t>pass</t>
        </is>
      </c>
      <c r="T64" s="14" t="inlineStr">
        <is>
          <t>pass</t>
        </is>
      </c>
      <c r="U64" s="16" t="inlineStr">
        <is>
          <t>warn</t>
        </is>
      </c>
      <c r="V64" s="14" t="inlineStr">
        <is>
          <t>pass</t>
        </is>
      </c>
      <c r="W64" s="14" t="inlineStr">
        <is>
          <t>pass</t>
        </is>
      </c>
      <c r="X64" s="14" t="inlineStr">
        <is>
          <t>pass</t>
        </is>
      </c>
      <c r="Y64" s="14" t="inlineStr">
        <is>
          <t>pass</t>
        </is>
      </c>
      <c r="Z64" s="14" t="inlineStr">
        <is>
          <t>pass</t>
        </is>
      </c>
      <c r="AA64" s="14" t="inlineStr">
        <is>
          <t>pass</t>
        </is>
      </c>
      <c r="AB64" s="14" t="inlineStr">
        <is>
          <t>pass</t>
        </is>
      </c>
      <c r="AC64" s="16" t="inlineStr">
        <is>
          <t>warn</t>
        </is>
      </c>
      <c r="AD64" s="14" t="inlineStr">
        <is>
          <t>pass</t>
        </is>
      </c>
      <c r="AE64" s="14" t="inlineStr">
        <is>
          <t>pass</t>
        </is>
      </c>
      <c r="AF64" s="15" t="inlineStr">
        <is>
          <t>not_checked</t>
        </is>
      </c>
      <c r="AG64" s="14" t="inlineStr">
        <is>
          <t>pass</t>
        </is>
      </c>
      <c r="AH64" s="18" t="inlineStr">
        <is>
          <t>fail</t>
        </is>
      </c>
      <c r="AI64" s="15" t="inlineStr">
        <is>
          <t>n.a.</t>
        </is>
      </c>
      <c r="AJ64" s="15" t="inlineStr">
        <is>
          <t>n.a.</t>
        </is>
      </c>
      <c r="AK64" s="4" t="inlineStr">
        <is>
          <t>format_gaia;format_match(warn);version(warn)</t>
        </is>
      </c>
      <c r="AL64" s="17" t="inlineStr">
        <is>
          <t>https://cds.climate.copernicus.eu/datasets/reanalysis-cerra-single-levels?tab=overview</t>
        </is>
      </c>
      <c r="AM64" s="4" t="inlineStr">
        <is>
          <t>eu_copernicus_cerra</t>
        </is>
      </c>
    </row>
    <row r="65">
      <c r="A65" s="4" t="inlineStr">
        <is>
          <t>CMIP6 climate projections (Climate Data Store catalogue entry)</t>
        </is>
      </c>
      <c r="B65" s="19" t="inlineStr">
        <is>
          <t>Silver</t>
        </is>
      </c>
      <c r="C65" s="4" t="n">
        <v>91</v>
      </c>
      <c r="D65" s="4" t="inlineStr">
        <is>
          <t>climate_hazard</t>
        </is>
      </c>
      <c r="E65" s="4" t="inlineStr">
        <is>
          <t>healthy</t>
        </is>
      </c>
      <c r="F65" s="4" t="inlineStr">
        <is>
          <t>unknown</t>
        </is>
      </c>
      <c r="G65" s="4" t="inlineStr">
        <is>
          <t>grid_250km</t>
        </is>
      </c>
      <c r="H65" s="4" t="inlineStr">
        <is>
          <t>Needs raster support</t>
        </is>
      </c>
      <c r="I65" s="4" t="n">
        <v>3</v>
      </c>
      <c r="J65" s="4" t="inlineStr"/>
      <c r="K65" s="4" t="inlineStr">
        <is>
          <t>Curated</t>
        </is>
      </c>
      <c r="L65" s="4" t="n">
        <v>2026</v>
      </c>
      <c r="M65" s="4" t="inlineStr">
        <is>
          <t>registration</t>
        </is>
      </c>
      <c r="N65" s="4" t="inlineStr">
        <is>
          <t>2026-10-22</t>
        </is>
      </c>
      <c r="O65" s="14" t="inlineStr">
        <is>
          <t>pass</t>
        </is>
      </c>
      <c r="P65" s="14" t="inlineStr">
        <is>
          <t>pass</t>
        </is>
      </c>
      <c r="Q65" s="14" t="inlineStr">
        <is>
          <t>pass</t>
        </is>
      </c>
      <c r="R65" s="14" t="inlineStr">
        <is>
          <t>pass</t>
        </is>
      </c>
      <c r="S65" s="14" t="inlineStr">
        <is>
          <t>pass</t>
        </is>
      </c>
      <c r="T65" s="14" t="inlineStr">
        <is>
          <t>pass</t>
        </is>
      </c>
      <c r="U65" s="16" t="inlineStr">
        <is>
          <t>warn</t>
        </is>
      </c>
      <c r="V65" s="14" t="inlineStr">
        <is>
          <t>pass</t>
        </is>
      </c>
      <c r="W65" s="14" t="inlineStr">
        <is>
          <t>pass</t>
        </is>
      </c>
      <c r="X65" s="14" t="inlineStr">
        <is>
          <t>pass</t>
        </is>
      </c>
      <c r="Y65" s="16" t="inlineStr">
        <is>
          <t>warn</t>
        </is>
      </c>
      <c r="Z65" s="14" t="inlineStr">
        <is>
          <t>pass</t>
        </is>
      </c>
      <c r="AA65" s="14" t="inlineStr">
        <is>
          <t>pass</t>
        </is>
      </c>
      <c r="AB65" s="16" t="inlineStr">
        <is>
          <t>warn</t>
        </is>
      </c>
      <c r="AC65" s="16" t="inlineStr">
        <is>
          <t>warn</t>
        </is>
      </c>
      <c r="AD65" s="15" t="inlineStr">
        <is>
          <t>not_checked</t>
        </is>
      </c>
      <c r="AE65" s="14" t="inlineStr">
        <is>
          <t>pass</t>
        </is>
      </c>
      <c r="AF65" s="15" t="inlineStr">
        <is>
          <t>not_checked</t>
        </is>
      </c>
      <c r="AG65" s="14" t="inlineStr">
        <is>
          <t>pass</t>
        </is>
      </c>
      <c r="AH65" s="14" t="inlineStr">
        <is>
          <t>pass</t>
        </is>
      </c>
      <c r="AI65" s="15" t="inlineStr">
        <is>
          <t>n.a.</t>
        </is>
      </c>
      <c r="AJ65" s="15" t="inlineStr">
        <is>
          <t>n.a.</t>
        </is>
      </c>
      <c r="AK65" s="4" t="inlineStr">
        <is>
          <t>format_match(warn);license(warn);cadence(warn);version(warn)</t>
        </is>
      </c>
      <c r="AL65" s="17" t="inlineStr">
        <is>
          <t>https://cds.climate.copernicus.eu/datasets/projections-cmip6?tab=overview</t>
        </is>
      </c>
      <c r="AM65" s="4" t="inlineStr">
        <is>
          <t>global_copernicus_cmip6_cds</t>
        </is>
      </c>
    </row>
    <row r="66">
      <c r="A66" s="4" t="inlineStr">
        <is>
          <t>E-OBS daily gridded meteorological data for Europe from 1950 to present derived from in-situ observations</t>
        </is>
      </c>
      <c r="B66" s="19" t="inlineStr">
        <is>
          <t>Silver</t>
        </is>
      </c>
      <c r="C66" s="4" t="n">
        <v>93</v>
      </c>
      <c r="D66" s="4" t="inlineStr">
        <is>
          <t>climate_hazard</t>
        </is>
      </c>
      <c r="E66" s="4" t="inlineStr">
        <is>
          <t>healthy</t>
        </is>
      </c>
      <c r="F66" s="4" t="inlineStr">
        <is>
          <t>non-commercial</t>
        </is>
      </c>
      <c r="G66" s="4" t="inlineStr">
        <is>
          <t>grid_0.1deg</t>
        </is>
      </c>
      <c r="H66" s="4" t="inlineStr">
        <is>
          <t>Needs raster support</t>
        </is>
      </c>
      <c r="I66" s="4" t="n">
        <v>3</v>
      </c>
      <c r="J66" s="4" t="inlineStr"/>
      <c r="K66" s="4" t="inlineStr">
        <is>
          <t>Curated</t>
        </is>
      </c>
      <c r="L66" s="4" t="n">
        <v>2026</v>
      </c>
      <c r="M66" s="4" t="inlineStr">
        <is>
          <t>open</t>
        </is>
      </c>
      <c r="N66" s="4" t="inlineStr">
        <is>
          <t>2026-10-22</t>
        </is>
      </c>
      <c r="O66" s="14" t="inlineStr">
        <is>
          <t>pass</t>
        </is>
      </c>
      <c r="P66" s="14" t="inlineStr">
        <is>
          <t>pass</t>
        </is>
      </c>
      <c r="Q66" s="14" t="inlineStr">
        <is>
          <t>pass</t>
        </is>
      </c>
      <c r="R66" s="14" t="inlineStr">
        <is>
          <t>pass</t>
        </is>
      </c>
      <c r="S66" s="14" t="inlineStr">
        <is>
          <t>pass</t>
        </is>
      </c>
      <c r="T66" s="14" t="inlineStr">
        <is>
          <t>pass</t>
        </is>
      </c>
      <c r="U66" s="16" t="inlineStr">
        <is>
          <t>warn</t>
        </is>
      </c>
      <c r="V66" s="14" t="inlineStr">
        <is>
          <t>pass</t>
        </is>
      </c>
      <c r="W66" s="14" t="inlineStr">
        <is>
          <t>pass</t>
        </is>
      </c>
      <c r="X66" s="14" t="inlineStr">
        <is>
          <t>pass</t>
        </is>
      </c>
      <c r="Y66" s="16" t="inlineStr">
        <is>
          <t>warn</t>
        </is>
      </c>
      <c r="Z66" s="14" t="inlineStr">
        <is>
          <t>pass</t>
        </is>
      </c>
      <c r="AA66" s="14" t="inlineStr">
        <is>
          <t>pass</t>
        </is>
      </c>
      <c r="AB66" s="14" t="inlineStr">
        <is>
          <t>pass</t>
        </is>
      </c>
      <c r="AC66" s="14" t="inlineStr">
        <is>
          <t>pass</t>
        </is>
      </c>
      <c r="AD66" s="14" t="inlineStr">
        <is>
          <t>pass</t>
        </is>
      </c>
      <c r="AE66" s="14" t="inlineStr">
        <is>
          <t>pass</t>
        </is>
      </c>
      <c r="AF66" s="14" t="inlineStr">
        <is>
          <t>pass</t>
        </is>
      </c>
      <c r="AG66" s="14" t="inlineStr">
        <is>
          <t>pass</t>
        </is>
      </c>
      <c r="AH66" s="14" t="inlineStr">
        <is>
          <t>pass</t>
        </is>
      </c>
      <c r="AI66" s="15" t="inlineStr">
        <is>
          <t>n.a.</t>
        </is>
      </c>
      <c r="AJ66" s="15" t="inlineStr">
        <is>
          <t>n.a.</t>
        </is>
      </c>
      <c r="AK66" s="4" t="inlineStr">
        <is>
          <t>format_match(warn);license(warn)</t>
        </is>
      </c>
      <c r="AL66" s="17" t="inlineStr">
        <is>
          <t>https://cds.climate.copernicus.eu/datasets/insitu-gridded-observations-europe?tab=overview</t>
        </is>
      </c>
      <c r="AM66" s="4" t="inlineStr">
        <is>
          <t>eu_copernicus_eobs</t>
        </is>
      </c>
    </row>
    <row r="67">
      <c r="A67" s="4" t="inlineStr">
        <is>
          <t>ERA5 hourly data on single levels from 1940 to present</t>
        </is>
      </c>
      <c r="B67" s="19" t="inlineStr">
        <is>
          <t>Silver</t>
        </is>
      </c>
      <c r="C67" s="4" t="n">
        <v>100</v>
      </c>
      <c r="D67" s="4" t="inlineStr">
        <is>
          <t>climate_hazard</t>
        </is>
      </c>
      <c r="E67" s="4" t="inlineStr">
        <is>
          <t>healthy</t>
        </is>
      </c>
      <c r="F67" s="4" t="inlineStr">
        <is>
          <t>open</t>
        </is>
      </c>
      <c r="G67" s="4" t="inlineStr">
        <is>
          <t>grid_0.25deg</t>
        </is>
      </c>
      <c r="H67" s="4" t="inlineStr">
        <is>
          <t>Needs raster support</t>
        </is>
      </c>
      <c r="I67" s="4" t="n">
        <v>3</v>
      </c>
      <c r="J67" s="4" t="inlineStr"/>
      <c r="K67" s="4" t="inlineStr">
        <is>
          <t>Curated</t>
        </is>
      </c>
      <c r="L67" s="4" t="n">
        <v>2026</v>
      </c>
      <c r="M67" s="4" t="inlineStr">
        <is>
          <t>registration</t>
        </is>
      </c>
      <c r="N67" s="4" t="inlineStr">
        <is>
          <t>2026-10-22</t>
        </is>
      </c>
      <c r="O67" s="14" t="inlineStr">
        <is>
          <t>pass</t>
        </is>
      </c>
      <c r="P67" s="14" t="inlineStr">
        <is>
          <t>pass</t>
        </is>
      </c>
      <c r="Q67" s="14" t="inlineStr">
        <is>
          <t>pass</t>
        </is>
      </c>
      <c r="R67" s="14" t="inlineStr">
        <is>
          <t>pass</t>
        </is>
      </c>
      <c r="S67" s="14" t="inlineStr">
        <is>
          <t>pass</t>
        </is>
      </c>
      <c r="T67" s="14" t="inlineStr">
        <is>
          <t>pass</t>
        </is>
      </c>
      <c r="U67" s="16" t="inlineStr">
        <is>
          <t>warn</t>
        </is>
      </c>
      <c r="V67" s="14" t="inlineStr">
        <is>
          <t>pass</t>
        </is>
      </c>
      <c r="W67" s="14" t="inlineStr">
        <is>
          <t>pass</t>
        </is>
      </c>
      <c r="X67" s="14" t="inlineStr">
        <is>
          <t>pass</t>
        </is>
      </c>
      <c r="Y67" s="14" t="inlineStr">
        <is>
          <t>pass</t>
        </is>
      </c>
      <c r="Z67" s="14" t="inlineStr">
        <is>
          <t>pass</t>
        </is>
      </c>
      <c r="AA67" s="14" t="inlineStr">
        <is>
          <t>pass</t>
        </is>
      </c>
      <c r="AB67" s="14" t="inlineStr">
        <is>
          <t>pass</t>
        </is>
      </c>
      <c r="AC67" s="14" t="inlineStr">
        <is>
          <t>pass</t>
        </is>
      </c>
      <c r="AD67" s="14" t="inlineStr">
        <is>
          <t>pass</t>
        </is>
      </c>
      <c r="AE67" s="14" t="inlineStr">
        <is>
          <t>pass</t>
        </is>
      </c>
      <c r="AF67" s="15" t="inlineStr">
        <is>
          <t>not_checked</t>
        </is>
      </c>
      <c r="AG67" s="14" t="inlineStr">
        <is>
          <t>pass</t>
        </is>
      </c>
      <c r="AH67" s="16" t="inlineStr">
        <is>
          <t>warn</t>
        </is>
      </c>
      <c r="AI67" s="15" t="inlineStr">
        <is>
          <t>n.a.</t>
        </is>
      </c>
      <c r="AJ67" s="15" t="inlineStr">
        <is>
          <t>n.a.</t>
        </is>
      </c>
      <c r="AK67" s="4" t="inlineStr">
        <is>
          <t>format_match(warn);format_gaia(warn)</t>
        </is>
      </c>
      <c r="AL67" s="17" t="inlineStr">
        <is>
          <t>https://cds.climate.copernicus.eu/datasets/reanalysis-era5-single-levels?tab=overview</t>
        </is>
      </c>
      <c r="AM67" s="4" t="inlineStr">
        <is>
          <t>global_copernicus_era5_single_levels</t>
        </is>
      </c>
    </row>
    <row r="68">
      <c r="A68" s="4" t="inlineStr">
        <is>
          <t>ERA5-Land hourly data from 1950 to present</t>
        </is>
      </c>
      <c r="B68" s="19" t="inlineStr">
        <is>
          <t>Silver</t>
        </is>
      </c>
      <c r="C68" s="4" t="n">
        <v>100</v>
      </c>
      <c r="D68" s="4" t="inlineStr">
        <is>
          <t>climate_hazard</t>
        </is>
      </c>
      <c r="E68" s="4" t="inlineStr">
        <is>
          <t>healthy</t>
        </is>
      </c>
      <c r="F68" s="4" t="inlineStr">
        <is>
          <t>open</t>
        </is>
      </c>
      <c r="G68" s="4" t="inlineStr">
        <is>
          <t>grid_0.1deg</t>
        </is>
      </c>
      <c r="H68" s="4" t="inlineStr">
        <is>
          <t>Needs raster support</t>
        </is>
      </c>
      <c r="I68" s="4" t="n">
        <v>3</v>
      </c>
      <c r="J68" s="4" t="inlineStr">
        <is>
          <t>hh_dem_copernicus;tz_1984_copernicus_avg_temp</t>
        </is>
      </c>
      <c r="K68" s="4" t="inlineStr">
        <is>
          <t>Curated</t>
        </is>
      </c>
      <c r="L68" s="4" t="n">
        <v>2026</v>
      </c>
      <c r="M68" s="4" t="inlineStr">
        <is>
          <t>registration</t>
        </is>
      </c>
      <c r="N68" s="4" t="inlineStr">
        <is>
          <t>2026-10-22</t>
        </is>
      </c>
      <c r="O68" s="14" t="inlineStr">
        <is>
          <t>pass</t>
        </is>
      </c>
      <c r="P68" s="14" t="inlineStr">
        <is>
          <t>pass</t>
        </is>
      </c>
      <c r="Q68" s="14" t="inlineStr">
        <is>
          <t>pass</t>
        </is>
      </c>
      <c r="R68" s="14" t="inlineStr">
        <is>
          <t>pass</t>
        </is>
      </c>
      <c r="S68" s="14" t="inlineStr">
        <is>
          <t>pass</t>
        </is>
      </c>
      <c r="T68" s="15" t="inlineStr">
        <is>
          <t>n.a.</t>
        </is>
      </c>
      <c r="U68" s="15" t="inlineStr">
        <is>
          <t>n.a.</t>
        </is>
      </c>
      <c r="V68" s="14" t="inlineStr">
        <is>
          <t>pass</t>
        </is>
      </c>
      <c r="W68" s="14" t="inlineStr">
        <is>
          <t>pass</t>
        </is>
      </c>
      <c r="X68" s="14" t="inlineStr">
        <is>
          <t>pass</t>
        </is>
      </c>
      <c r="Y68" s="14" t="inlineStr">
        <is>
          <t>pass</t>
        </is>
      </c>
      <c r="Z68" s="14" t="inlineStr">
        <is>
          <t>pass</t>
        </is>
      </c>
      <c r="AA68" s="14" t="inlineStr">
        <is>
          <t>pass</t>
        </is>
      </c>
      <c r="AB68" s="14" t="inlineStr">
        <is>
          <t>pass</t>
        </is>
      </c>
      <c r="AC68" s="15" t="inlineStr">
        <is>
          <t>not_checked</t>
        </is>
      </c>
      <c r="AD68" s="14" t="inlineStr">
        <is>
          <t>pass</t>
        </is>
      </c>
      <c r="AE68" s="14" t="inlineStr">
        <is>
          <t>pass</t>
        </is>
      </c>
      <c r="AF68" s="15" t="inlineStr">
        <is>
          <t>not_checked</t>
        </is>
      </c>
      <c r="AG68" s="14" t="inlineStr">
        <is>
          <t>pass</t>
        </is>
      </c>
      <c r="AH68" s="16" t="inlineStr">
        <is>
          <t>warn</t>
        </is>
      </c>
      <c r="AI68" s="14" t="inlineStr">
        <is>
          <t>pass</t>
        </is>
      </c>
      <c r="AJ68" s="15" t="inlineStr">
        <is>
          <t>not_checked</t>
        </is>
      </c>
      <c r="AK68" s="4" t="inlineStr">
        <is>
          <t>format_gaia(warn)</t>
        </is>
      </c>
      <c r="AL68" s="17" t="inlineStr">
        <is>
          <t>https://cds.climate.copernicus.eu/datasets/reanalysis-era5-land</t>
        </is>
      </c>
      <c r="AM68" s="4" t="inlineStr">
        <is>
          <t>global_copernicus_era5_land</t>
        </is>
      </c>
    </row>
    <row r="69">
      <c r="A69" s="4" t="inlineStr">
        <is>
          <t>ISIMIP (Inter-Sectoral Impact Model Intercomparison Project) simulation rounds ISIMIP2a/2b/3a/3b input and output data</t>
        </is>
      </c>
      <c r="B69" s="19" t="inlineStr">
        <is>
          <t>Silver</t>
        </is>
      </c>
      <c r="C69" s="4" t="n">
        <v>79</v>
      </c>
      <c r="D69" s="4" t="inlineStr">
        <is>
          <t>climate_hazard</t>
        </is>
      </c>
      <c r="E69" s="4" t="inlineStr">
        <is>
          <t>healthy</t>
        </is>
      </c>
      <c r="F69" s="4" t="inlineStr">
        <is>
          <t>unknown</t>
        </is>
      </c>
      <c r="G69" s="4" t="inlineStr">
        <is>
          <t>grid_0.25deg (15arcmin experiment labels; 60arcmin for most global sectors)</t>
        </is>
      </c>
      <c r="H69" s="4" t="inlineStr">
        <is>
          <t>Needs raster support</t>
        </is>
      </c>
      <c r="I69" s="4" t="n">
        <v>3</v>
      </c>
      <c r="J69" s="4" t="inlineStr"/>
      <c r="K69" s="4" t="inlineStr">
        <is>
          <t>Curated</t>
        </is>
      </c>
      <c r="L69" s="4" t="inlineStr">
        <is>
          <t>current</t>
        </is>
      </c>
      <c r="M69" s="4" t="inlineStr">
        <is>
          <t>open</t>
        </is>
      </c>
      <c r="N69" s="4" t="inlineStr">
        <is>
          <t>2026-10-22</t>
        </is>
      </c>
      <c r="O69" s="14" t="inlineStr">
        <is>
          <t>pass</t>
        </is>
      </c>
      <c r="P69" s="14" t="inlineStr">
        <is>
          <t>pass</t>
        </is>
      </c>
      <c r="Q69" s="14" t="inlineStr">
        <is>
          <t>pass</t>
        </is>
      </c>
      <c r="R69" s="14" t="inlineStr">
        <is>
          <t>pass</t>
        </is>
      </c>
      <c r="S69" s="14" t="inlineStr">
        <is>
          <t>pass</t>
        </is>
      </c>
      <c r="T69" s="14" t="inlineStr">
        <is>
          <t>pass</t>
        </is>
      </c>
      <c r="U69" s="16" t="inlineStr">
        <is>
          <t>warn</t>
        </is>
      </c>
      <c r="V69" s="16" t="inlineStr">
        <is>
          <t>warn</t>
        </is>
      </c>
      <c r="W69" s="16" t="inlineStr">
        <is>
          <t>warn</t>
        </is>
      </c>
      <c r="X69" s="14" t="inlineStr">
        <is>
          <t>pass</t>
        </is>
      </c>
      <c r="Y69" s="16" t="inlineStr">
        <is>
          <t>warn</t>
        </is>
      </c>
      <c r="Z69" s="15" t="inlineStr">
        <is>
          <t>not_checked</t>
        </is>
      </c>
      <c r="AA69" s="15" t="inlineStr">
        <is>
          <t>not_checked</t>
        </is>
      </c>
      <c r="AB69" s="16" t="inlineStr">
        <is>
          <t>warn</t>
        </is>
      </c>
      <c r="AC69" s="14" t="inlineStr">
        <is>
          <t>pass</t>
        </is>
      </c>
      <c r="AD69" s="16" t="inlineStr">
        <is>
          <t>warn</t>
        </is>
      </c>
      <c r="AE69" s="14" t="inlineStr">
        <is>
          <t>pass</t>
        </is>
      </c>
      <c r="AF69" s="14" t="inlineStr">
        <is>
          <t>pass</t>
        </is>
      </c>
      <c r="AG69" s="15" t="inlineStr">
        <is>
          <t>not_checked</t>
        </is>
      </c>
      <c r="AH69" s="15" t="inlineStr">
        <is>
          <t>not_checked</t>
        </is>
      </c>
      <c r="AI69" s="15" t="inlineStr">
        <is>
          <t>n.a.</t>
        </is>
      </c>
      <c r="AJ69" s="15" t="inlineStr">
        <is>
          <t>n.a.</t>
        </is>
      </c>
      <c r="AK69" s="4" t="inlineStr">
        <is>
          <t>format_match(warn);machine_metadata(warn);persistent_id(warn);license(warn);cadence(warn);unit(warn)</t>
        </is>
      </c>
      <c r="AL69" s="17" t="inlineStr">
        <is>
          <t>https://www.isimip.org/outputdata/</t>
        </is>
      </c>
      <c r="AM69" s="4" t="inlineStr">
        <is>
          <t>global_isimip_output_data</t>
        </is>
      </c>
    </row>
    <row r="70">
      <c r="A70" s="4" t="inlineStr">
        <is>
          <t>Lancet Countdown on Health and Climate Change data explorer</t>
        </is>
      </c>
      <c r="B70" s="19" t="inlineStr">
        <is>
          <t>Silver</t>
        </is>
      </c>
      <c r="C70" s="4" t="n">
        <v>82</v>
      </c>
      <c r="D70" s="4" t="inlineStr">
        <is>
          <t>climate_hazard</t>
        </is>
      </c>
      <c r="E70" s="4" t="inlineStr">
        <is>
          <t>healthy</t>
        </is>
      </c>
      <c r="F70" s="4" t="inlineStr">
        <is>
          <t>non-commercial</t>
        </is>
      </c>
      <c r="G70" s="4" t="inlineStr">
        <is>
          <t>country</t>
        </is>
      </c>
      <c r="H70" s="4" t="inlineStr">
        <is>
          <t>Joins today</t>
        </is>
      </c>
      <c r="I70" s="4" t="n">
        <v>3</v>
      </c>
      <c r="J70" s="4" t="inlineStr"/>
      <c r="K70" s="4" t="inlineStr">
        <is>
          <t>Curated</t>
        </is>
      </c>
      <c r="L70" s="4" t="n">
        <v>2024</v>
      </c>
      <c r="M70" s="4" t="inlineStr">
        <is>
          <t>open</t>
        </is>
      </c>
      <c r="N70" s="4" t="inlineStr">
        <is>
          <t>2026-10-22</t>
        </is>
      </c>
      <c r="O70" s="14" t="inlineStr">
        <is>
          <t>pass</t>
        </is>
      </c>
      <c r="P70" s="14" t="inlineStr">
        <is>
          <t>pass</t>
        </is>
      </c>
      <c r="Q70" s="14" t="inlineStr">
        <is>
          <t>pass</t>
        </is>
      </c>
      <c r="R70" s="14" t="inlineStr">
        <is>
          <t>pass</t>
        </is>
      </c>
      <c r="S70" s="14" t="inlineStr">
        <is>
          <t>pass</t>
        </is>
      </c>
      <c r="T70" s="15" t="inlineStr">
        <is>
          <t>n.a.</t>
        </is>
      </c>
      <c r="U70" s="15" t="inlineStr">
        <is>
          <t>n.a.</t>
        </is>
      </c>
      <c r="V70" s="16" t="inlineStr">
        <is>
          <t>warn</t>
        </is>
      </c>
      <c r="W70" s="16" t="inlineStr">
        <is>
          <t>warn</t>
        </is>
      </c>
      <c r="X70" s="14" t="inlineStr">
        <is>
          <t>pass</t>
        </is>
      </c>
      <c r="Y70" s="16" t="inlineStr">
        <is>
          <t>warn</t>
        </is>
      </c>
      <c r="Z70" s="14" t="inlineStr">
        <is>
          <t>pass</t>
        </is>
      </c>
      <c r="AA70" s="14" t="inlineStr">
        <is>
          <t>pass</t>
        </is>
      </c>
      <c r="AB70" s="14" t="inlineStr">
        <is>
          <t>pass</t>
        </is>
      </c>
      <c r="AC70" s="14" t="inlineStr">
        <is>
          <t>pass</t>
        </is>
      </c>
      <c r="AD70" s="16" t="inlineStr">
        <is>
          <t>warn</t>
        </is>
      </c>
      <c r="AE70" s="14" t="inlineStr">
        <is>
          <t>pass</t>
        </is>
      </c>
      <c r="AF70" s="14" t="inlineStr">
        <is>
          <t>pass</t>
        </is>
      </c>
      <c r="AG70" s="15" t="inlineStr">
        <is>
          <t>not_checked</t>
        </is>
      </c>
      <c r="AH70" s="16" t="inlineStr">
        <is>
          <t>warn</t>
        </is>
      </c>
      <c r="AI70" s="15" t="inlineStr">
        <is>
          <t>n.a.</t>
        </is>
      </c>
      <c r="AJ70" s="15" t="inlineStr">
        <is>
          <t>n.a.</t>
        </is>
      </c>
      <c r="AK70" s="4" t="inlineStr">
        <is>
          <t>machine_metadata(warn);persistent_id(warn);license(warn);unit(warn);format_gaia(warn)</t>
        </is>
      </c>
      <c r="AL70" s="17" t="inlineStr">
        <is>
          <t>https://lancetcountdown.org/explore-our-data/</t>
        </is>
      </c>
      <c r="AM70" s="4" t="inlineStr">
        <is>
          <t>global_lancet_countdown_indicators</t>
        </is>
      </c>
    </row>
    <row r="71">
      <c r="A71" s="4" t="inlineStr">
        <is>
          <t>Miami-Dade derived raster layers (surface temperature, average LST 2013-2022, NDVI, distance to water, distance to parks)</t>
        </is>
      </c>
      <c r="B71" s="19" t="inlineStr">
        <is>
          <t>Silver</t>
        </is>
      </c>
      <c r="C71" s="4" t="n">
        <v>85</v>
      </c>
      <c r="D71" s="4" t="inlineStr">
        <is>
          <t>climate_hazard</t>
        </is>
      </c>
      <c r="E71" s="4" t="inlineStr">
        <is>
          <t>degraded</t>
        </is>
      </c>
      <c r="F71" s="4" t="inlineStr">
        <is>
          <t>attribution</t>
        </is>
      </c>
      <c r="G71" s="4" t="inlineStr">
        <is>
          <t>grid_30m</t>
        </is>
      </c>
      <c r="H71" s="4" t="inlineStr">
        <is>
          <t>Needs raster support</t>
        </is>
      </c>
      <c r="I71" s="4" t="n">
        <v>3</v>
      </c>
      <c r="J71" s="4" t="inlineStr">
        <is>
          <t>mdc_2013_2022_lst_30m;mdc_2021_hylo</t>
        </is>
      </c>
      <c r="K71" s="4" t="inlineStr">
        <is>
          <t>Curated</t>
        </is>
      </c>
      <c r="L71" s="4" t="n">
        <v>2022</v>
      </c>
      <c r="M71" s="4" t="inlineStr">
        <is>
          <t>open</t>
        </is>
      </c>
      <c r="N71" s="4" t="inlineStr">
        <is>
          <t>2026-10-22</t>
        </is>
      </c>
      <c r="O71" s="14" t="inlineStr">
        <is>
          <t>pass</t>
        </is>
      </c>
      <c r="P71" s="14" t="inlineStr">
        <is>
          <t>pass</t>
        </is>
      </c>
      <c r="Q71" s="14" t="inlineStr">
        <is>
          <t>pass</t>
        </is>
      </c>
      <c r="R71" s="16" t="inlineStr">
        <is>
          <t>warn</t>
        </is>
      </c>
      <c r="S71" s="15" t="inlineStr">
        <is>
          <t>not_checked</t>
        </is>
      </c>
      <c r="T71" s="15" t="inlineStr">
        <is>
          <t>n.a.</t>
        </is>
      </c>
      <c r="U71" s="15" t="inlineStr">
        <is>
          <t>n.a.</t>
        </is>
      </c>
      <c r="V71" s="18" t="inlineStr">
        <is>
          <t>fail</t>
        </is>
      </c>
      <c r="W71" s="16" t="inlineStr">
        <is>
          <t>warn</t>
        </is>
      </c>
      <c r="X71" s="14" t="inlineStr">
        <is>
          <t>pass</t>
        </is>
      </c>
      <c r="Y71" s="14" t="inlineStr">
        <is>
          <t>pass</t>
        </is>
      </c>
      <c r="Z71" s="14" t="inlineStr">
        <is>
          <t>pass</t>
        </is>
      </c>
      <c r="AA71" s="14" t="inlineStr">
        <is>
          <t>pass</t>
        </is>
      </c>
      <c r="AB71" s="16" t="inlineStr">
        <is>
          <t>warn</t>
        </is>
      </c>
      <c r="AC71" s="16" t="inlineStr">
        <is>
          <t>warn</t>
        </is>
      </c>
      <c r="AD71" s="14" t="inlineStr">
        <is>
          <t>pass</t>
        </is>
      </c>
      <c r="AE71" s="14" t="inlineStr">
        <is>
          <t>pass</t>
        </is>
      </c>
      <c r="AF71" s="14" t="inlineStr">
        <is>
          <t>pass</t>
        </is>
      </c>
      <c r="AG71" s="16" t="inlineStr">
        <is>
          <t>warn</t>
        </is>
      </c>
      <c r="AH71" s="14" t="inlineStr">
        <is>
          <t>pass</t>
        </is>
      </c>
      <c r="AI71" s="14" t="inlineStr">
        <is>
          <t>pass</t>
        </is>
      </c>
      <c r="AJ71" s="15" t="inlineStr">
        <is>
          <t>not_checked</t>
        </is>
      </c>
      <c r="AK71" s="4" t="inlineStr">
        <is>
          <t>machine_metadata;soft404(warn);persistent_id(warn);cadence(warn);version(warn);join_key(warn)</t>
        </is>
      </c>
      <c r="AL71" s="17" t="inlineStr">
        <is>
          <t>https://scholarship.miami.edu/esploro/outputs/991032051519802976</t>
        </is>
      </c>
      <c r="AM71" s="4" t="inlineStr">
        <is>
          <t>us_um_gdsc_mdc_derived_layers</t>
        </is>
      </c>
    </row>
    <row r="72">
      <c r="A72" s="4" t="inlineStr">
        <is>
          <t>National Risk Index (NRI)</t>
        </is>
      </c>
      <c r="B72" s="19" t="inlineStr">
        <is>
          <t>Silver</t>
        </is>
      </c>
      <c r="C72" s="4" t="n">
        <v>93</v>
      </c>
      <c r="D72" s="4" t="inlineStr">
        <is>
          <t>climate_hazard</t>
        </is>
      </c>
      <c r="E72" s="4" t="inlineStr">
        <is>
          <t>healthy</t>
        </is>
      </c>
      <c r="F72" s="4" t="inlineStr">
        <is>
          <t>open</t>
        </is>
      </c>
      <c r="G72" s="4" t="inlineStr">
        <is>
          <t>tract</t>
        </is>
      </c>
      <c r="H72" s="4" t="inlineStr">
        <is>
          <t>Joins today</t>
        </is>
      </c>
      <c r="I72" s="4" t="n">
        <v>3</v>
      </c>
      <c r="J72" s="4" t="inlineStr"/>
      <c r="K72" s="4" t="inlineStr">
        <is>
          <t>Curated</t>
        </is>
      </c>
      <c r="L72" s="4" t="n">
        <v>2025</v>
      </c>
      <c r="M72" s="4" t="inlineStr">
        <is>
          <t>open</t>
        </is>
      </c>
      <c r="N72" s="4" t="inlineStr">
        <is>
          <t>2026-10-22</t>
        </is>
      </c>
      <c r="O72" s="14" t="inlineStr">
        <is>
          <t>pass</t>
        </is>
      </c>
      <c r="P72" s="14" t="inlineStr">
        <is>
          <t>pass</t>
        </is>
      </c>
      <c r="Q72" s="14" t="inlineStr">
        <is>
          <t>pass</t>
        </is>
      </c>
      <c r="R72" s="14" t="inlineStr">
        <is>
          <t>pass</t>
        </is>
      </c>
      <c r="S72" s="14" t="inlineStr">
        <is>
          <t>pass</t>
        </is>
      </c>
      <c r="T72" s="14" t="inlineStr">
        <is>
          <t>pass</t>
        </is>
      </c>
      <c r="U72" s="14" t="inlineStr">
        <is>
          <t>pass</t>
        </is>
      </c>
      <c r="V72" s="16" t="inlineStr">
        <is>
          <t>warn</t>
        </is>
      </c>
      <c r="W72" s="16" t="inlineStr">
        <is>
          <t>warn</t>
        </is>
      </c>
      <c r="X72" s="14" t="inlineStr">
        <is>
          <t>pass</t>
        </is>
      </c>
      <c r="Y72" s="14" t="inlineStr">
        <is>
          <t>pass</t>
        </is>
      </c>
      <c r="Z72" s="16" t="inlineStr">
        <is>
          <t>warn</t>
        </is>
      </c>
      <c r="AA72" s="14" t="inlineStr">
        <is>
          <t>pass</t>
        </is>
      </c>
      <c r="AB72" s="15" t="inlineStr">
        <is>
          <t>not_checked</t>
        </is>
      </c>
      <c r="AC72" s="14" t="inlineStr">
        <is>
          <t>pass</t>
        </is>
      </c>
      <c r="AD72" s="14" t="inlineStr">
        <is>
          <t>pass</t>
        </is>
      </c>
      <c r="AE72" s="15" t="inlineStr">
        <is>
          <t>not_checked</t>
        </is>
      </c>
      <c r="AF72" s="15" t="inlineStr">
        <is>
          <t>not_checked</t>
        </is>
      </c>
      <c r="AG72" s="15" t="inlineStr">
        <is>
          <t>not_checked</t>
        </is>
      </c>
      <c r="AH72" s="15" t="inlineStr">
        <is>
          <t>not_checked</t>
        </is>
      </c>
      <c r="AI72" s="15" t="inlineStr">
        <is>
          <t>n.a.</t>
        </is>
      </c>
      <c r="AJ72" s="15" t="inlineStr">
        <is>
          <t>n.a.</t>
        </is>
      </c>
      <c r="AK72" s="4" t="inlineStr">
        <is>
          <t>machine_metadata(warn);persistent_id(warn);temporal(warn)</t>
        </is>
      </c>
      <c r="AL72" s="17" t="inlineStr">
        <is>
          <t>https://hazards.fema.gov/nri/</t>
        </is>
      </c>
      <c r="AM72" s="4" t="inlineStr">
        <is>
          <t>us_fema_national_risk_index</t>
        </is>
      </c>
    </row>
    <row r="73">
      <c r="A73" s="4" t="inlineStr">
        <is>
          <t>Natural Disaster Hotspots: Global Multihazard Frequency and Distribution / Mortality Risks / Proportional Economic Loss (CHRR, v1.0)</t>
        </is>
      </c>
      <c r="B73" s="19" t="inlineStr">
        <is>
          <t>Silver</t>
        </is>
      </c>
      <c r="C73" s="4" t="n">
        <v>91</v>
      </c>
      <c r="D73" s="4" t="inlineStr">
        <is>
          <t>climate_hazard</t>
        </is>
      </c>
      <c r="E73" s="4" t="inlineStr">
        <is>
          <t>healthy</t>
        </is>
      </c>
      <c r="F73" s="4" t="inlineStr">
        <is>
          <t>open</t>
        </is>
      </c>
      <c r="G73" s="4" t="inlineStr">
        <is>
          <t>grid_2.5arcmin (0.0417 x 0.0417 decimal degrees)</t>
        </is>
      </c>
      <c r="H73" s="4" t="inlineStr">
        <is>
          <t>Needs raster support</t>
        </is>
      </c>
      <c r="I73" s="4" t="n">
        <v>3</v>
      </c>
      <c r="J73" s="4" t="inlineStr"/>
      <c r="K73" s="4" t="inlineStr">
        <is>
          <t>Curated</t>
        </is>
      </c>
      <c r="L73" s="4" t="n">
        <v>2000</v>
      </c>
      <c r="M73" s="4" t="inlineStr">
        <is>
          <t>registration</t>
        </is>
      </c>
      <c r="N73" s="4" t="inlineStr">
        <is>
          <t>2026-10-22</t>
        </is>
      </c>
      <c r="O73" s="14" t="inlineStr">
        <is>
          <t>pass</t>
        </is>
      </c>
      <c r="P73" s="14" t="inlineStr">
        <is>
          <t>pass</t>
        </is>
      </c>
      <c r="Q73" s="14" t="inlineStr">
        <is>
          <t>pass</t>
        </is>
      </c>
      <c r="R73" s="14" t="inlineStr">
        <is>
          <t>pass</t>
        </is>
      </c>
      <c r="S73" s="14" t="inlineStr">
        <is>
          <t>pass</t>
        </is>
      </c>
      <c r="T73" s="14" t="inlineStr">
        <is>
          <t>pass</t>
        </is>
      </c>
      <c r="U73" s="16" t="inlineStr">
        <is>
          <t>warn</t>
        </is>
      </c>
      <c r="V73" s="14" t="inlineStr">
        <is>
          <t>pass</t>
        </is>
      </c>
      <c r="W73" s="14" t="inlineStr">
        <is>
          <t>pass</t>
        </is>
      </c>
      <c r="X73" s="14" t="inlineStr">
        <is>
          <t>pass</t>
        </is>
      </c>
      <c r="Y73" s="14" t="inlineStr">
        <is>
          <t>pass</t>
        </is>
      </c>
      <c r="Z73" s="14" t="inlineStr">
        <is>
          <t>pass</t>
        </is>
      </c>
      <c r="AA73" s="16" t="inlineStr">
        <is>
          <t>warn</t>
        </is>
      </c>
      <c r="AB73" s="16" t="inlineStr">
        <is>
          <t>warn</t>
        </is>
      </c>
      <c r="AC73" s="14" t="inlineStr">
        <is>
          <t>pass</t>
        </is>
      </c>
      <c r="AD73" s="14" t="inlineStr">
        <is>
          <t>pass</t>
        </is>
      </c>
      <c r="AE73" s="14" t="inlineStr">
        <is>
          <t>pass</t>
        </is>
      </c>
      <c r="AF73" s="15" t="inlineStr">
        <is>
          <t>not_checked</t>
        </is>
      </c>
      <c r="AG73" s="16" t="inlineStr">
        <is>
          <t>warn</t>
        </is>
      </c>
      <c r="AH73" s="16" t="inlineStr">
        <is>
          <t>warn</t>
        </is>
      </c>
      <c r="AI73" s="15" t="inlineStr">
        <is>
          <t>n.a.</t>
        </is>
      </c>
      <c r="AJ73" s="15" t="inlineStr">
        <is>
          <t>n.a.</t>
        </is>
      </c>
      <c r="AK73" s="4" t="inlineStr">
        <is>
          <t>format_match(warn);recency(warn);cadence(warn);join_key(warn);format_gaia(warn)</t>
        </is>
      </c>
      <c r="AL73" s="17" t="inlineStr">
        <is>
          <t>https://www.earthdata.nasa.gov/data/catalog/sedac-ciesin-chrr-ndh-multi-hfd-1.0</t>
        </is>
      </c>
      <c r="AM73" s="4" t="inlineStr">
        <is>
          <t>global_sedac_ndh_multihazard</t>
        </is>
      </c>
    </row>
    <row r="74">
      <c r="A74" s="4" t="inlineStr">
        <is>
          <t>ThinkHazard! multi-hazard classification by administrative unit</t>
        </is>
      </c>
      <c r="B74" s="19" t="inlineStr">
        <is>
          <t>Silver</t>
        </is>
      </c>
      <c r="C74" s="4" t="n">
        <v>88</v>
      </c>
      <c r="D74" s="4" t="inlineStr">
        <is>
          <t>climate_hazard</t>
        </is>
      </c>
      <c r="E74" s="4" t="inlineStr">
        <is>
          <t>degraded</t>
        </is>
      </c>
      <c r="F74" s="4" t="inlineStr">
        <is>
          <t>attribution</t>
        </is>
      </c>
      <c r="G74" s="4" t="inlineStr">
        <is>
          <t>admin2</t>
        </is>
      </c>
      <c r="H74" s="4" t="inlineStr">
        <is>
          <t>Joins today</t>
        </is>
      </c>
      <c r="I74" s="4" t="n">
        <v>3</v>
      </c>
      <c r="J74" s="4" t="inlineStr"/>
      <c r="K74" s="4" t="inlineStr">
        <is>
          <t>Curated</t>
        </is>
      </c>
      <c r="L74" s="4" t="n">
        <v>2020</v>
      </c>
      <c r="M74" s="4" t="inlineStr">
        <is>
          <t>open</t>
        </is>
      </c>
      <c r="N74" s="4" t="inlineStr">
        <is>
          <t>2026-10-22</t>
        </is>
      </c>
      <c r="O74" s="14" t="inlineStr">
        <is>
          <t>pass</t>
        </is>
      </c>
      <c r="P74" s="14" t="inlineStr">
        <is>
          <t>pass</t>
        </is>
      </c>
      <c r="Q74" s="14" t="inlineStr">
        <is>
          <t>pass</t>
        </is>
      </c>
      <c r="R74" s="14" t="inlineStr">
        <is>
          <t>pass</t>
        </is>
      </c>
      <c r="S74" s="14" t="inlineStr">
        <is>
          <t>pass</t>
        </is>
      </c>
      <c r="T74" s="18" t="inlineStr">
        <is>
          <t>fail</t>
        </is>
      </c>
      <c r="U74" s="15" t="inlineStr">
        <is>
          <t>n.a.</t>
        </is>
      </c>
      <c r="V74" s="18" t="inlineStr">
        <is>
          <t>fail</t>
        </is>
      </c>
      <c r="W74" s="16" t="inlineStr">
        <is>
          <t>warn</t>
        </is>
      </c>
      <c r="X74" s="14" t="inlineStr">
        <is>
          <t>pass</t>
        </is>
      </c>
      <c r="Y74" s="14" t="inlineStr">
        <is>
          <t>pass</t>
        </is>
      </c>
      <c r="Z74" s="16" t="inlineStr">
        <is>
          <t>warn</t>
        </is>
      </c>
      <c r="AA74" s="14" t="inlineStr">
        <is>
          <t>pass</t>
        </is>
      </c>
      <c r="AB74" s="14" t="inlineStr">
        <is>
          <t>pass</t>
        </is>
      </c>
      <c r="AC74" s="16" t="inlineStr">
        <is>
          <t>warn</t>
        </is>
      </c>
      <c r="AD74" s="14" t="inlineStr">
        <is>
          <t>pass</t>
        </is>
      </c>
      <c r="AE74" s="14" t="inlineStr">
        <is>
          <t>pass</t>
        </is>
      </c>
      <c r="AF74" s="14" t="inlineStr">
        <is>
          <t>pass</t>
        </is>
      </c>
      <c r="AG74" s="16" t="inlineStr">
        <is>
          <t>warn</t>
        </is>
      </c>
      <c r="AH74" s="16" t="inlineStr">
        <is>
          <t>warn</t>
        </is>
      </c>
      <c r="AI74" s="15" t="inlineStr">
        <is>
          <t>n.a.</t>
        </is>
      </c>
      <c r="AJ74" s="15" t="inlineStr">
        <is>
          <t>n.a.</t>
        </is>
      </c>
      <c r="AK74" s="4" t="inlineStr">
        <is>
          <t>access_url;machine_metadata;persistent_id(warn);temporal(warn);version(warn);join_key(warn);format_gaia(warn)</t>
        </is>
      </c>
      <c r="AL74" s="17" t="inlineStr">
        <is>
          <t>https://thinkhazard.org/en/about</t>
        </is>
      </c>
      <c r="AM74" s="4" t="inlineStr">
        <is>
          <t>global_gfdrr_thinkhazard</t>
        </is>
      </c>
    </row>
    <row r="75">
      <c r="A75" s="4" t="inlineStr">
        <is>
          <t>Agroclimatic indicators from 1951 to 2099 derived from climate projections</t>
        </is>
      </c>
      <c r="B75" s="19" t="inlineStr">
        <is>
          <t>Silver</t>
        </is>
      </c>
      <c r="C75" s="4" t="n">
        <v>96</v>
      </c>
      <c r="D75" s="4" t="inlineStr">
        <is>
          <t>climate_hazard</t>
        </is>
      </c>
      <c r="E75" s="4" t="inlineStr">
        <is>
          <t>healthy</t>
        </is>
      </c>
      <c r="F75" s="4" t="inlineStr">
        <is>
          <t>open</t>
        </is>
      </c>
      <c r="G75" s="4" t="inlineStr">
        <is>
          <t>grid_0.5deg</t>
        </is>
      </c>
      <c r="H75" s="4" t="inlineStr">
        <is>
          <t>Needs raster support</t>
        </is>
      </c>
      <c r="I75" s="4" t="n">
        <v>2</v>
      </c>
      <c r="J75" s="4" t="inlineStr"/>
      <c r="K75" s="4" t="inlineStr">
        <is>
          <t>Curated</t>
        </is>
      </c>
      <c r="L75" s="4" t="n">
        <v>2099</v>
      </c>
      <c r="M75" s="4" t="inlineStr">
        <is>
          <t>registration</t>
        </is>
      </c>
      <c r="N75" s="4" t="inlineStr">
        <is>
          <t>2026-10-28</t>
        </is>
      </c>
      <c r="O75" s="14" t="inlineStr">
        <is>
          <t>pass</t>
        </is>
      </c>
      <c r="P75" s="14" t="inlineStr">
        <is>
          <t>pass</t>
        </is>
      </c>
      <c r="Q75" s="14" t="inlineStr">
        <is>
          <t>pass</t>
        </is>
      </c>
      <c r="R75" s="14" t="inlineStr">
        <is>
          <t>pass</t>
        </is>
      </c>
      <c r="S75" s="14" t="inlineStr">
        <is>
          <t>pass</t>
        </is>
      </c>
      <c r="T75" s="14" t="inlineStr">
        <is>
          <t>pass</t>
        </is>
      </c>
      <c r="U75" s="16" t="inlineStr">
        <is>
          <t>warn</t>
        </is>
      </c>
      <c r="V75" s="14" t="inlineStr">
        <is>
          <t>pass</t>
        </is>
      </c>
      <c r="W75" s="14" t="inlineStr">
        <is>
          <t>pass</t>
        </is>
      </c>
      <c r="X75" s="14" t="inlineStr">
        <is>
          <t>pass</t>
        </is>
      </c>
      <c r="Y75" s="14" t="inlineStr">
        <is>
          <t>pass</t>
        </is>
      </c>
      <c r="Z75" s="14" t="inlineStr">
        <is>
          <t>pass</t>
        </is>
      </c>
      <c r="AA75" s="16" t="inlineStr">
        <is>
          <t>warn</t>
        </is>
      </c>
      <c r="AB75" s="14" t="inlineStr">
        <is>
          <t>pass</t>
        </is>
      </c>
      <c r="AC75" s="14" t="inlineStr">
        <is>
          <t>pass</t>
        </is>
      </c>
      <c r="AD75" s="14" t="inlineStr">
        <is>
          <t>pass</t>
        </is>
      </c>
      <c r="AE75" s="14" t="inlineStr">
        <is>
          <t>pass</t>
        </is>
      </c>
      <c r="AF75" s="15" t="inlineStr">
        <is>
          <t>not_checked</t>
        </is>
      </c>
      <c r="AG75" s="14" t="inlineStr">
        <is>
          <t>pass</t>
        </is>
      </c>
      <c r="AH75" s="14" t="inlineStr">
        <is>
          <t>pass</t>
        </is>
      </c>
      <c r="AI75" s="15" t="inlineStr">
        <is>
          <t>n.a.</t>
        </is>
      </c>
      <c r="AJ75" s="15" t="inlineStr">
        <is>
          <t>n.a.</t>
        </is>
      </c>
      <c r="AK75" s="4" t="inlineStr">
        <is>
          <t>format_match(warn);recency(warn)</t>
        </is>
      </c>
      <c r="AL75" s="17" t="inlineStr">
        <is>
          <t>https://cds.climate.copernicus.eu/datasets/sis-agroclimatic-indicators?tab=overview</t>
        </is>
      </c>
      <c r="AM75" s="4" t="inlineStr">
        <is>
          <t>global_copernicus_agroclimatic_indicators</t>
        </is>
      </c>
    </row>
    <row r="76">
      <c r="A76" s="4" t="inlineStr">
        <is>
          <t>EM-DAT: The International Disaster Database</t>
        </is>
      </c>
      <c r="B76" s="19" t="inlineStr">
        <is>
          <t>Silver</t>
        </is>
      </c>
      <c r="C76" s="4" t="n">
        <v>81</v>
      </c>
      <c r="D76" s="4" t="inlineStr">
        <is>
          <t>climate_hazard</t>
        </is>
      </c>
      <c r="E76" s="4" t="inlineStr">
        <is>
          <t>healthy</t>
        </is>
      </c>
      <c r="F76" s="4" t="inlineStr">
        <is>
          <t>non-commercial</t>
        </is>
      </c>
      <c r="G76" s="4" t="inlineStr">
        <is>
          <t>country</t>
        </is>
      </c>
      <c r="H76" s="4" t="inlineStr">
        <is>
          <t>Needs a count/distance step</t>
        </is>
      </c>
      <c r="I76" s="4" t="n">
        <v>2</v>
      </c>
      <c r="J76" s="4" t="inlineStr"/>
      <c r="K76" s="4" t="inlineStr">
        <is>
          <t>Curated</t>
        </is>
      </c>
      <c r="L76" s="4" t="n">
        <v>2026</v>
      </c>
      <c r="M76" s="4" t="inlineStr">
        <is>
          <t>registration</t>
        </is>
      </c>
      <c r="N76" s="4" t="inlineStr">
        <is>
          <t>2026-10-28</t>
        </is>
      </c>
      <c r="O76" s="14" t="inlineStr">
        <is>
          <t>pass</t>
        </is>
      </c>
      <c r="P76" s="14" t="inlineStr">
        <is>
          <t>pass</t>
        </is>
      </c>
      <c r="Q76" s="14" t="inlineStr">
        <is>
          <t>pass</t>
        </is>
      </c>
      <c r="R76" s="14" t="inlineStr">
        <is>
          <t>pass</t>
        </is>
      </c>
      <c r="S76" s="14" t="inlineStr">
        <is>
          <t>pass</t>
        </is>
      </c>
      <c r="T76" s="14" t="inlineStr">
        <is>
          <t>pass</t>
        </is>
      </c>
      <c r="U76" s="14" t="inlineStr">
        <is>
          <t>pass</t>
        </is>
      </c>
      <c r="V76" s="16" t="inlineStr">
        <is>
          <t>warn</t>
        </is>
      </c>
      <c r="W76" s="16" t="inlineStr">
        <is>
          <t>warn</t>
        </is>
      </c>
      <c r="X76" s="14" t="inlineStr">
        <is>
          <t>pass</t>
        </is>
      </c>
      <c r="Y76" s="16" t="inlineStr">
        <is>
          <t>warn</t>
        </is>
      </c>
      <c r="Z76" s="14" t="inlineStr">
        <is>
          <t>pass</t>
        </is>
      </c>
      <c r="AA76" s="14" t="inlineStr">
        <is>
          <t>pass</t>
        </is>
      </c>
      <c r="AB76" s="15" t="inlineStr">
        <is>
          <t>not_checked</t>
        </is>
      </c>
      <c r="AC76" s="15" t="inlineStr">
        <is>
          <t>not_checked</t>
        </is>
      </c>
      <c r="AD76" s="16" t="inlineStr">
        <is>
          <t>warn</t>
        </is>
      </c>
      <c r="AE76" s="14" t="inlineStr">
        <is>
          <t>pass</t>
        </is>
      </c>
      <c r="AF76" s="15" t="inlineStr">
        <is>
          <t>not_checked</t>
        </is>
      </c>
      <c r="AG76" s="15" t="inlineStr">
        <is>
          <t>not_checked</t>
        </is>
      </c>
      <c r="AH76" s="15" t="inlineStr">
        <is>
          <t>not_checked</t>
        </is>
      </c>
      <c r="AI76" s="15" t="inlineStr">
        <is>
          <t>n.a.</t>
        </is>
      </c>
      <c r="AJ76" s="15" t="inlineStr">
        <is>
          <t>n.a.</t>
        </is>
      </c>
      <c r="AK76" s="4" t="inlineStr">
        <is>
          <t>machine_metadata(warn);persistent_id(warn);license(warn);unit(warn)</t>
        </is>
      </c>
      <c r="AL76" s="17" t="inlineStr">
        <is>
          <t>https://www.emdat.be/</t>
        </is>
      </c>
      <c r="AM76" s="4" t="inlineStr">
        <is>
          <t>global_cred_emdat</t>
        </is>
      </c>
    </row>
    <row r="77">
      <c r="A77" s="4" t="inlineStr">
        <is>
          <t>European Drought Observatory (EDO) and Global Drought Observatory (GDO) drought indicators</t>
        </is>
      </c>
      <c r="B77" s="19" t="inlineStr">
        <is>
          <t>Silver</t>
        </is>
      </c>
      <c r="C77" s="4" t="n">
        <v>86</v>
      </c>
      <c r="D77" s="4" t="inlineStr">
        <is>
          <t>climate_hazard</t>
        </is>
      </c>
      <c r="E77" s="4" t="inlineStr">
        <is>
          <t>degraded</t>
        </is>
      </c>
      <c r="F77" s="4" t="inlineStr">
        <is>
          <t>attribution</t>
        </is>
      </c>
      <c r="G77" s="4" t="inlineStr">
        <is>
          <t>grid_5km</t>
        </is>
      </c>
      <c r="H77" s="4" t="inlineStr">
        <is>
          <t>Needs raster support</t>
        </is>
      </c>
      <c r="I77" s="4" t="n">
        <v>2</v>
      </c>
      <c r="J77" s="4" t="inlineStr"/>
      <c r="K77" s="4" t="inlineStr">
        <is>
          <t>Curated</t>
        </is>
      </c>
      <c r="L77" s="4" t="inlineStr">
        <is>
          <t>current</t>
        </is>
      </c>
      <c r="M77" s="4" t="inlineStr">
        <is>
          <t>open</t>
        </is>
      </c>
      <c r="N77" s="4" t="inlineStr">
        <is>
          <t>2026-10-28</t>
        </is>
      </c>
      <c r="O77" s="14" t="inlineStr">
        <is>
          <t>pass</t>
        </is>
      </c>
      <c r="P77" s="14" t="inlineStr">
        <is>
          <t>pass</t>
        </is>
      </c>
      <c r="Q77" s="14" t="inlineStr">
        <is>
          <t>pass</t>
        </is>
      </c>
      <c r="R77" s="14" t="inlineStr">
        <is>
          <t>pass</t>
        </is>
      </c>
      <c r="S77" s="14" t="inlineStr">
        <is>
          <t>pass</t>
        </is>
      </c>
      <c r="T77" s="14" t="inlineStr">
        <is>
          <t>pass</t>
        </is>
      </c>
      <c r="U77" s="14" t="inlineStr">
        <is>
          <t>pass</t>
        </is>
      </c>
      <c r="V77" s="18" t="inlineStr">
        <is>
          <t>fail</t>
        </is>
      </c>
      <c r="W77" s="16" t="inlineStr">
        <is>
          <t>warn</t>
        </is>
      </c>
      <c r="X77" s="14" t="inlineStr">
        <is>
          <t>pass</t>
        </is>
      </c>
      <c r="Y77" s="14" t="inlineStr">
        <is>
          <t>pass</t>
        </is>
      </c>
      <c r="Z77" s="15" t="inlineStr">
        <is>
          <t>not_checked</t>
        </is>
      </c>
      <c r="AA77" s="15" t="inlineStr">
        <is>
          <t>not_checked</t>
        </is>
      </c>
      <c r="AB77" s="15" t="inlineStr">
        <is>
          <t>not_checked</t>
        </is>
      </c>
      <c r="AC77" s="15" t="inlineStr">
        <is>
          <t>not_checked</t>
        </is>
      </c>
      <c r="AD77" s="15" t="inlineStr">
        <is>
          <t>not_checked</t>
        </is>
      </c>
      <c r="AE77" s="16" t="inlineStr">
        <is>
          <t>warn</t>
        </is>
      </c>
      <c r="AF77" s="16" t="inlineStr">
        <is>
          <t>warn</t>
        </is>
      </c>
      <c r="AG77" s="15" t="inlineStr">
        <is>
          <t>not_checked</t>
        </is>
      </c>
      <c r="AH77" s="15" t="inlineStr">
        <is>
          <t>not_checked</t>
        </is>
      </c>
      <c r="AI77" s="15" t="inlineStr">
        <is>
          <t>n.a.</t>
        </is>
      </c>
      <c r="AJ77" s="15" t="inlineStr">
        <is>
          <t>n.a.</t>
        </is>
      </c>
      <c r="AK77" s="4" t="inlineStr">
        <is>
          <t>machine_metadata;persistent_id(warn);coverage(warn);access(warn)</t>
        </is>
      </c>
      <c r="AL77" s="17" t="inlineStr">
        <is>
          <t>https://drought.emergency.copernicus.eu/tumbo/edo/download/</t>
        </is>
      </c>
      <c r="AM77" s="4" t="inlineStr">
        <is>
          <t>eu_copernicus_edo_gdo_drought</t>
        </is>
      </c>
    </row>
    <row r="78">
      <c r="A78" s="4" t="inlineStr">
        <is>
          <t>European Forest Fire Information System (EFFIS) burnt areas, active fires, fire danger forecast</t>
        </is>
      </c>
      <c r="B78" s="19" t="inlineStr">
        <is>
          <t>Silver</t>
        </is>
      </c>
      <c r="C78" s="4" t="n">
        <v>85</v>
      </c>
      <c r="D78" s="4" t="inlineStr">
        <is>
          <t>climate_hazard</t>
        </is>
      </c>
      <c r="E78" s="4" t="inlineStr">
        <is>
          <t>degraded</t>
        </is>
      </c>
      <c r="F78" s="4" t="inlineStr">
        <is>
          <t>open</t>
        </is>
      </c>
      <c r="G78" s="4" t="inlineStr">
        <is>
          <t>polygon</t>
        </is>
      </c>
      <c r="H78" s="4" t="inlineStr">
        <is>
          <t>Needs raster support</t>
        </is>
      </c>
      <c r="I78" s="4" t="n">
        <v>2</v>
      </c>
      <c r="J78" s="4" t="inlineStr"/>
      <c r="K78" s="4" t="inlineStr">
        <is>
          <t>Curated</t>
        </is>
      </c>
      <c r="L78" s="4" t="n">
        <v>2026</v>
      </c>
      <c r="M78" s="4" t="inlineStr">
        <is>
          <t>open</t>
        </is>
      </c>
      <c r="N78" s="4" t="inlineStr">
        <is>
          <t>2026-10-28</t>
        </is>
      </c>
      <c r="O78" s="14" t="inlineStr">
        <is>
          <t>pass</t>
        </is>
      </c>
      <c r="P78" s="14" t="inlineStr">
        <is>
          <t>pass</t>
        </is>
      </c>
      <c r="Q78" s="14" t="inlineStr">
        <is>
          <t>pass</t>
        </is>
      </c>
      <c r="R78" s="14" t="inlineStr">
        <is>
          <t>pass</t>
        </is>
      </c>
      <c r="S78" s="14" t="inlineStr">
        <is>
          <t>pass</t>
        </is>
      </c>
      <c r="T78" s="18" t="inlineStr">
        <is>
          <t>fail</t>
        </is>
      </c>
      <c r="U78" s="15" t="inlineStr">
        <is>
          <t>n.a.</t>
        </is>
      </c>
      <c r="V78" s="18" t="inlineStr">
        <is>
          <t>fail</t>
        </is>
      </c>
      <c r="W78" s="16" t="inlineStr">
        <is>
          <t>warn</t>
        </is>
      </c>
      <c r="X78" s="14" t="inlineStr">
        <is>
          <t>pass</t>
        </is>
      </c>
      <c r="Y78" s="14" t="inlineStr">
        <is>
          <t>pass</t>
        </is>
      </c>
      <c r="Z78" s="16" t="inlineStr">
        <is>
          <t>warn</t>
        </is>
      </c>
      <c r="AA78" s="14" t="inlineStr">
        <is>
          <t>pass</t>
        </is>
      </c>
      <c r="AB78" s="14" t="inlineStr">
        <is>
          <t>pass</t>
        </is>
      </c>
      <c r="AC78" s="15" t="inlineStr">
        <is>
          <t>not_checked</t>
        </is>
      </c>
      <c r="AD78" s="16" t="inlineStr">
        <is>
          <t>warn</t>
        </is>
      </c>
      <c r="AE78" s="16" t="inlineStr">
        <is>
          <t>warn</t>
        </is>
      </c>
      <c r="AF78" s="14" t="inlineStr">
        <is>
          <t>pass</t>
        </is>
      </c>
      <c r="AG78" s="14" t="inlineStr">
        <is>
          <t>pass</t>
        </is>
      </c>
      <c r="AH78" s="14" t="inlineStr">
        <is>
          <t>pass</t>
        </is>
      </c>
      <c r="AI78" s="15" t="inlineStr">
        <is>
          <t>n.a.</t>
        </is>
      </c>
      <c r="AJ78" s="15" t="inlineStr">
        <is>
          <t>n.a.</t>
        </is>
      </c>
      <c r="AK78" s="4" t="inlineStr">
        <is>
          <t>access_url;machine_metadata;persistent_id(warn);temporal(warn);unit(warn);coverage(warn)</t>
        </is>
      </c>
      <c r="AL78" s="17" t="inlineStr">
        <is>
          <t>https://forest-fire.emergency.copernicus.eu/applications/data-and-services</t>
        </is>
      </c>
      <c r="AM78" s="4" t="inlineStr">
        <is>
          <t>eu_copernicus_effis</t>
        </is>
      </c>
    </row>
    <row r="79">
      <c r="A79" s="4" t="inlineStr">
        <is>
          <t>FIRMS: Fire Information for Resource Management System active fire / thermal anomaly detections (MODIS, VIIRS)</t>
        </is>
      </c>
      <c r="B79" s="19" t="inlineStr">
        <is>
          <t>Silver</t>
        </is>
      </c>
      <c r="C79" s="4" t="n">
        <v>93</v>
      </c>
      <c r="D79" s="4" t="inlineStr">
        <is>
          <t>climate_hazard</t>
        </is>
      </c>
      <c r="E79" s="4" t="inlineStr">
        <is>
          <t>healthy</t>
        </is>
      </c>
      <c r="F79" s="4" t="inlineStr">
        <is>
          <t>open</t>
        </is>
      </c>
      <c r="G79" s="4" t="inlineStr">
        <is>
          <t>point (375 m VIIRS pixel; ~1 km MODIS pixel)</t>
        </is>
      </c>
      <c r="H79" s="4" t="inlineStr">
        <is>
          <t>Needs raster support</t>
        </is>
      </c>
      <c r="I79" s="4" t="n">
        <v>2</v>
      </c>
      <c r="J79" s="4" t="inlineStr"/>
      <c r="K79" s="4" t="inlineStr">
        <is>
          <t>Curated</t>
        </is>
      </c>
      <c r="L79" s="4" t="n">
        <v>2026</v>
      </c>
      <c r="M79" s="4" t="inlineStr">
        <is>
          <t>registration</t>
        </is>
      </c>
      <c r="N79" s="4" t="inlineStr">
        <is>
          <t>2026-10-28</t>
        </is>
      </c>
      <c r="O79" s="14" t="inlineStr">
        <is>
          <t>pass</t>
        </is>
      </c>
      <c r="P79" s="14" t="inlineStr">
        <is>
          <t>pass</t>
        </is>
      </c>
      <c r="Q79" s="14" t="inlineStr">
        <is>
          <t>pass</t>
        </is>
      </c>
      <c r="R79" s="14" t="inlineStr">
        <is>
          <t>pass</t>
        </is>
      </c>
      <c r="S79" s="14" t="inlineStr">
        <is>
          <t>pass</t>
        </is>
      </c>
      <c r="T79" s="14" t="inlineStr">
        <is>
          <t>pass</t>
        </is>
      </c>
      <c r="U79" s="14" t="inlineStr">
        <is>
          <t>pass</t>
        </is>
      </c>
      <c r="V79" s="16" t="inlineStr">
        <is>
          <t>warn</t>
        </is>
      </c>
      <c r="W79" s="16" t="inlineStr">
        <is>
          <t>warn</t>
        </is>
      </c>
      <c r="X79" s="14" t="inlineStr">
        <is>
          <t>pass</t>
        </is>
      </c>
      <c r="Y79" s="14" t="inlineStr">
        <is>
          <t>pass</t>
        </is>
      </c>
      <c r="Z79" s="14" t="inlineStr">
        <is>
          <t>pass</t>
        </is>
      </c>
      <c r="AA79" s="14" t="inlineStr">
        <is>
          <t>pass</t>
        </is>
      </c>
      <c r="AB79" s="14" t="inlineStr">
        <is>
          <t>pass</t>
        </is>
      </c>
      <c r="AC79" s="14" t="inlineStr">
        <is>
          <t>pass</t>
        </is>
      </c>
      <c r="AD79" s="14" t="inlineStr">
        <is>
          <t>pass</t>
        </is>
      </c>
      <c r="AE79" s="14" t="inlineStr">
        <is>
          <t>pass</t>
        </is>
      </c>
      <c r="AF79" s="16" t="inlineStr">
        <is>
          <t>warn</t>
        </is>
      </c>
      <c r="AG79" s="14" t="inlineStr">
        <is>
          <t>pass</t>
        </is>
      </c>
      <c r="AH79" s="14" t="inlineStr">
        <is>
          <t>pass</t>
        </is>
      </c>
      <c r="AI79" s="15" t="inlineStr">
        <is>
          <t>n.a.</t>
        </is>
      </c>
      <c r="AJ79" s="15" t="inlineStr">
        <is>
          <t>n.a.</t>
        </is>
      </c>
      <c r="AK79" s="4" t="inlineStr">
        <is>
          <t>machine_metadata(warn);persistent_id(warn);access(warn)</t>
        </is>
      </c>
      <c r="AL79" s="17" t="inlineStr">
        <is>
          <t>https://firms.modaps.eosdis.nasa.gov/</t>
        </is>
      </c>
      <c r="AM79" s="4" t="inlineStr">
        <is>
          <t>global_nasa_firms_active_fires</t>
        </is>
      </c>
    </row>
    <row r="80">
      <c r="A80" s="4" t="inlineStr">
        <is>
          <t>GEM Global Earthquake Model: Global Seismic Hazard Map, Global Exposure Model, Global Seismic Risk Map (2018, 2023 versions)</t>
        </is>
      </c>
      <c r="B80" s="19" t="inlineStr">
        <is>
          <t>Silver</t>
        </is>
      </c>
      <c r="C80" s="4" t="n">
        <v>81</v>
      </c>
      <c r="D80" s="4" t="inlineStr">
        <is>
          <t>climate_hazard</t>
        </is>
      </c>
      <c r="E80" s="4" t="inlineStr">
        <is>
          <t>degraded</t>
        </is>
      </c>
      <c r="F80" s="4" t="inlineStr">
        <is>
          <t>non-commercial</t>
        </is>
      </c>
      <c r="G80" s="4" t="inlineStr">
        <is>
          <t>grid_0.01deg</t>
        </is>
      </c>
      <c r="H80" s="4" t="inlineStr">
        <is>
          <t>Needs raster support</t>
        </is>
      </c>
      <c r="I80" s="4" t="n">
        <v>2</v>
      </c>
      <c r="J80" s="4" t="inlineStr"/>
      <c r="K80" s="4" t="inlineStr">
        <is>
          <t>Curated</t>
        </is>
      </c>
      <c r="L80" s="4" t="n">
        <v>2026</v>
      </c>
      <c r="M80" s="4" t="inlineStr">
        <is>
          <t>open</t>
        </is>
      </c>
      <c r="N80" s="4" t="inlineStr">
        <is>
          <t>2026-10-28</t>
        </is>
      </c>
      <c r="O80" s="14" t="inlineStr">
        <is>
          <t>pass</t>
        </is>
      </c>
      <c r="P80" s="14" t="inlineStr">
        <is>
          <t>pass</t>
        </is>
      </c>
      <c r="Q80" s="14" t="inlineStr">
        <is>
          <t>pass</t>
        </is>
      </c>
      <c r="R80" s="14" t="inlineStr">
        <is>
          <t>pass</t>
        </is>
      </c>
      <c r="S80" s="14" t="inlineStr">
        <is>
          <t>pass</t>
        </is>
      </c>
      <c r="T80" s="18" t="inlineStr">
        <is>
          <t>fail</t>
        </is>
      </c>
      <c r="U80" s="15" t="inlineStr">
        <is>
          <t>n.a.</t>
        </is>
      </c>
      <c r="V80" s="16" t="inlineStr">
        <is>
          <t>warn</t>
        </is>
      </c>
      <c r="W80" s="16" t="inlineStr">
        <is>
          <t>warn</t>
        </is>
      </c>
      <c r="X80" s="14" t="inlineStr">
        <is>
          <t>pass</t>
        </is>
      </c>
      <c r="Y80" s="16" t="inlineStr">
        <is>
          <t>warn</t>
        </is>
      </c>
      <c r="Z80" s="16" t="inlineStr">
        <is>
          <t>warn</t>
        </is>
      </c>
      <c r="AA80" s="14" t="inlineStr">
        <is>
          <t>pass</t>
        </is>
      </c>
      <c r="AB80" s="16" t="inlineStr">
        <is>
          <t>warn</t>
        </is>
      </c>
      <c r="AC80" s="14" t="inlineStr">
        <is>
          <t>pass</t>
        </is>
      </c>
      <c r="AD80" s="16" t="inlineStr">
        <is>
          <t>warn</t>
        </is>
      </c>
      <c r="AE80" s="14" t="inlineStr">
        <is>
          <t>pass</t>
        </is>
      </c>
      <c r="AF80" s="14" t="inlineStr">
        <is>
          <t>pass</t>
        </is>
      </c>
      <c r="AG80" s="14" t="inlineStr">
        <is>
          <t>pass</t>
        </is>
      </c>
      <c r="AH80" s="14" t="inlineStr">
        <is>
          <t>pass</t>
        </is>
      </c>
      <c r="AI80" s="15" t="inlineStr">
        <is>
          <t>n.a.</t>
        </is>
      </c>
      <c r="AJ80" s="15" t="inlineStr">
        <is>
          <t>n.a.</t>
        </is>
      </c>
      <c r="AK80" s="4" t="inlineStr">
        <is>
          <t>access_url;machine_metadata(warn);persistent_id(warn);license(warn);temporal(warn);cadence(warn);unit(warn)</t>
        </is>
      </c>
      <c r="AL80" s="17" t="inlineStr">
        <is>
          <t>https://www.globalquakemodel.org/products</t>
        </is>
      </c>
      <c r="AM80" s="4" t="inlineStr">
        <is>
          <t>global_gem_openquake_hazard_risk</t>
        </is>
      </c>
    </row>
    <row r="81">
      <c r="A81" s="4" t="inlineStr">
        <is>
          <t>Low Elevation Coastal Zone (LECZ) Urban-Rural Population and Land Area Estimates, Version 3</t>
        </is>
      </c>
      <c r="B81" s="19" t="inlineStr">
        <is>
          <t>Silver</t>
        </is>
      </c>
      <c r="C81" s="4" t="n">
        <v>92</v>
      </c>
      <c r="D81" s="4" t="inlineStr">
        <is>
          <t>climate_hazard</t>
        </is>
      </c>
      <c r="E81" s="4" t="inlineStr">
        <is>
          <t>healthy</t>
        </is>
      </c>
      <c r="F81" s="4" t="inlineStr">
        <is>
          <t>open</t>
        </is>
      </c>
      <c r="G81" s="4" t="inlineStr">
        <is>
          <t>grid_30arcsec (0.00083 deg, ~1 km)</t>
        </is>
      </c>
      <c r="H81" s="4" t="inlineStr">
        <is>
          <t>Needs raster support</t>
        </is>
      </c>
      <c r="I81" s="4" t="n">
        <v>2</v>
      </c>
      <c r="J81" s="4" t="inlineStr"/>
      <c r="K81" s="4" t="inlineStr">
        <is>
          <t>Curated</t>
        </is>
      </c>
      <c r="L81" s="4" t="n">
        <v>2015</v>
      </c>
      <c r="M81" s="4" t="inlineStr">
        <is>
          <t>registration</t>
        </is>
      </c>
      <c r="N81" s="4" t="inlineStr">
        <is>
          <t>2026-10-28</t>
        </is>
      </c>
      <c r="O81" s="14" t="inlineStr">
        <is>
          <t>pass</t>
        </is>
      </c>
      <c r="P81" s="14" t="inlineStr">
        <is>
          <t>pass</t>
        </is>
      </c>
      <c r="Q81" s="14" t="inlineStr">
        <is>
          <t>pass</t>
        </is>
      </c>
      <c r="R81" s="14" t="inlineStr">
        <is>
          <t>pass</t>
        </is>
      </c>
      <c r="S81" s="14" t="inlineStr">
        <is>
          <t>pass</t>
        </is>
      </c>
      <c r="T81" s="14" t="inlineStr">
        <is>
          <t>pass</t>
        </is>
      </c>
      <c r="U81" s="16" t="inlineStr">
        <is>
          <t>warn</t>
        </is>
      </c>
      <c r="V81" s="14" t="inlineStr">
        <is>
          <t>pass</t>
        </is>
      </c>
      <c r="W81" s="14" t="inlineStr">
        <is>
          <t>pass</t>
        </is>
      </c>
      <c r="X81" s="14" t="inlineStr">
        <is>
          <t>pass</t>
        </is>
      </c>
      <c r="Y81" s="14" t="inlineStr">
        <is>
          <t>pass</t>
        </is>
      </c>
      <c r="Z81" s="14" t="inlineStr">
        <is>
          <t>pass</t>
        </is>
      </c>
      <c r="AA81" s="16" t="inlineStr">
        <is>
          <t>warn</t>
        </is>
      </c>
      <c r="AB81" s="16" t="inlineStr">
        <is>
          <t>warn</t>
        </is>
      </c>
      <c r="AC81" s="14" t="inlineStr">
        <is>
          <t>pass</t>
        </is>
      </c>
      <c r="AD81" s="14" t="inlineStr">
        <is>
          <t>pass</t>
        </is>
      </c>
      <c r="AE81" s="14" t="inlineStr">
        <is>
          <t>pass</t>
        </is>
      </c>
      <c r="AF81" s="16" t="inlineStr">
        <is>
          <t>warn</t>
        </is>
      </c>
      <c r="AG81" s="14" t="inlineStr">
        <is>
          <t>pass</t>
        </is>
      </c>
      <c r="AH81" s="14" t="inlineStr">
        <is>
          <t>pass</t>
        </is>
      </c>
      <c r="AI81" s="15" t="inlineStr">
        <is>
          <t>n.a.</t>
        </is>
      </c>
      <c r="AJ81" s="15" t="inlineStr">
        <is>
          <t>n.a.</t>
        </is>
      </c>
      <c r="AK81" s="4" t="inlineStr">
        <is>
          <t>format_match(warn);recency(warn);cadence(warn);access(warn)</t>
        </is>
      </c>
      <c r="AL81" s="17" t="inlineStr">
        <is>
          <t>https://www.earthdata.nasa.gov/data/catalog/esdis-ciesin-sedac-lecz-urplaev3-3.00</t>
        </is>
      </c>
      <c r="AM81" s="4" t="inlineStr">
        <is>
          <t>global_sedac_lecz_v3</t>
        </is>
      </c>
    </row>
    <row r="82">
      <c r="A82" s="4" t="inlineStr">
        <is>
          <t>MACA (Multivariate Adaptive Constructed Analogs) downscaled CMIP5 projections</t>
        </is>
      </c>
      <c r="B82" s="19" t="inlineStr">
        <is>
          <t>Silver</t>
        </is>
      </c>
      <c r="C82" s="4" t="n">
        <v>94</v>
      </c>
      <c r="D82" s="4" t="inlineStr">
        <is>
          <t>climate_hazard</t>
        </is>
      </c>
      <c r="E82" s="4" t="inlineStr">
        <is>
          <t>healthy</t>
        </is>
      </c>
      <c r="F82" s="4" t="inlineStr">
        <is>
          <t>open</t>
        </is>
      </c>
      <c r="G82" s="4" t="inlineStr">
        <is>
          <t>grid_4km (1/24 degree, METDATA); grid_6km (1/16 degree, LIVNEH)</t>
        </is>
      </c>
      <c r="H82" s="4" t="inlineStr">
        <is>
          <t>Needs raster support</t>
        </is>
      </c>
      <c r="I82" s="4" t="n">
        <v>2</v>
      </c>
      <c r="J82" s="4" t="inlineStr"/>
      <c r="K82" s="4" t="inlineStr">
        <is>
          <t>Curated</t>
        </is>
      </c>
      <c r="L82" s="4" t="inlineStr">
        <is>
          <t>current</t>
        </is>
      </c>
      <c r="M82" s="4" t="inlineStr">
        <is>
          <t>open</t>
        </is>
      </c>
      <c r="N82" s="4" t="inlineStr">
        <is>
          <t>2026-10-28</t>
        </is>
      </c>
      <c r="O82" s="14" t="inlineStr">
        <is>
          <t>pass</t>
        </is>
      </c>
      <c r="P82" s="14" t="inlineStr">
        <is>
          <t>pass</t>
        </is>
      </c>
      <c r="Q82" s="14" t="inlineStr">
        <is>
          <t>pass</t>
        </is>
      </c>
      <c r="R82" s="14" t="inlineStr">
        <is>
          <t>pass</t>
        </is>
      </c>
      <c r="S82" s="14" t="inlineStr">
        <is>
          <t>pass</t>
        </is>
      </c>
      <c r="T82" s="14" t="inlineStr">
        <is>
          <t>pass</t>
        </is>
      </c>
      <c r="U82" s="16" t="inlineStr">
        <is>
          <t>warn</t>
        </is>
      </c>
      <c r="V82" s="16" t="inlineStr">
        <is>
          <t>warn</t>
        </is>
      </c>
      <c r="W82" s="16" t="inlineStr">
        <is>
          <t>warn</t>
        </is>
      </c>
      <c r="X82" s="14" t="inlineStr">
        <is>
          <t>pass</t>
        </is>
      </c>
      <c r="Y82" s="14" t="inlineStr">
        <is>
          <t>pass</t>
        </is>
      </c>
      <c r="Z82" s="16" t="inlineStr">
        <is>
          <t>warn</t>
        </is>
      </c>
      <c r="AA82" s="15" t="inlineStr">
        <is>
          <t>not_checked</t>
        </is>
      </c>
      <c r="AB82" s="15" t="inlineStr">
        <is>
          <t>not_checked</t>
        </is>
      </c>
      <c r="AC82" s="14" t="inlineStr">
        <is>
          <t>pass</t>
        </is>
      </c>
      <c r="AD82" s="14" t="inlineStr">
        <is>
          <t>pass</t>
        </is>
      </c>
      <c r="AE82" s="14" t="inlineStr">
        <is>
          <t>pass</t>
        </is>
      </c>
      <c r="AF82" s="14" t="inlineStr">
        <is>
          <t>pass</t>
        </is>
      </c>
      <c r="AG82" s="14" t="inlineStr">
        <is>
          <t>pass</t>
        </is>
      </c>
      <c r="AH82" s="14" t="inlineStr">
        <is>
          <t>pass</t>
        </is>
      </c>
      <c r="AI82" s="15" t="inlineStr">
        <is>
          <t>n.a.</t>
        </is>
      </c>
      <c r="AJ82" s="15" t="inlineStr">
        <is>
          <t>n.a.</t>
        </is>
      </c>
      <c r="AK82" s="4" t="inlineStr">
        <is>
          <t>format_match(warn);machine_metadata(warn);persistent_id(warn);temporal(warn)</t>
        </is>
      </c>
      <c r="AL82" s="17" t="inlineStr">
        <is>
          <t>https://www.climatologylab.org/maca.html</t>
        </is>
      </c>
      <c r="AM82" s="4" t="inlineStr">
        <is>
          <t>us_uidaho_maca</t>
        </is>
      </c>
    </row>
    <row r="83">
      <c r="A83" s="4" t="inlineStr">
        <is>
          <t>MODIS/Terra+Aqua Burned Area Monthly L3 Global 500m SIN Grid V061 (MCD64A1)</t>
        </is>
      </c>
      <c r="B83" s="19" t="inlineStr">
        <is>
          <t>Silver</t>
        </is>
      </c>
      <c r="C83" s="4" t="n">
        <v>100</v>
      </c>
      <c r="D83" s="4" t="inlineStr">
        <is>
          <t>climate_hazard</t>
        </is>
      </c>
      <c r="E83" s="4" t="inlineStr">
        <is>
          <t>healthy</t>
        </is>
      </c>
      <c r="F83" s="4" t="inlineStr">
        <is>
          <t>open</t>
        </is>
      </c>
      <c r="G83" s="4" t="inlineStr">
        <is>
          <t>grid_500m (MODIS Sinusoidal Tiling System)</t>
        </is>
      </c>
      <c r="H83" s="4" t="inlineStr">
        <is>
          <t>Needs raster support</t>
        </is>
      </c>
      <c r="I83" s="4" t="n">
        <v>2</v>
      </c>
      <c r="J83" s="4" t="inlineStr"/>
      <c r="K83" s="4" t="inlineStr">
        <is>
          <t>Curated</t>
        </is>
      </c>
      <c r="L83" s="4" t="n">
        <v>2026</v>
      </c>
      <c r="M83" s="4" t="inlineStr">
        <is>
          <t>registration</t>
        </is>
      </c>
      <c r="N83" s="4" t="inlineStr">
        <is>
          <t>2026-10-28</t>
        </is>
      </c>
      <c r="O83" s="14" t="inlineStr">
        <is>
          <t>pass</t>
        </is>
      </c>
      <c r="P83" s="14" t="inlineStr">
        <is>
          <t>pass</t>
        </is>
      </c>
      <c r="Q83" s="14" t="inlineStr">
        <is>
          <t>pass</t>
        </is>
      </c>
      <c r="R83" s="14" t="inlineStr">
        <is>
          <t>pass</t>
        </is>
      </c>
      <c r="S83" s="14" t="inlineStr">
        <is>
          <t>pass</t>
        </is>
      </c>
      <c r="T83" s="14" t="inlineStr">
        <is>
          <t>pass</t>
        </is>
      </c>
      <c r="U83" s="16" t="inlineStr">
        <is>
          <t>warn</t>
        </is>
      </c>
      <c r="V83" s="14" t="inlineStr">
        <is>
          <t>pass</t>
        </is>
      </c>
      <c r="W83" s="14" t="inlineStr">
        <is>
          <t>pass</t>
        </is>
      </c>
      <c r="X83" s="14" t="inlineStr">
        <is>
          <t>pass</t>
        </is>
      </c>
      <c r="Y83" s="14" t="inlineStr">
        <is>
          <t>pass</t>
        </is>
      </c>
      <c r="Z83" s="14" t="inlineStr">
        <is>
          <t>pass</t>
        </is>
      </c>
      <c r="AA83" s="14" t="inlineStr">
        <is>
          <t>pass</t>
        </is>
      </c>
      <c r="AB83" s="16" t="inlineStr">
        <is>
          <t>warn</t>
        </is>
      </c>
      <c r="AC83" s="14" t="inlineStr">
        <is>
          <t>pass</t>
        </is>
      </c>
      <c r="AD83" s="14" t="inlineStr">
        <is>
          <t>pass</t>
        </is>
      </c>
      <c r="AE83" s="14" t="inlineStr">
        <is>
          <t>pass</t>
        </is>
      </c>
      <c r="AF83" s="15" t="inlineStr">
        <is>
          <t>not_checked</t>
        </is>
      </c>
      <c r="AG83" s="14" t="inlineStr">
        <is>
          <t>pass</t>
        </is>
      </c>
      <c r="AH83" s="16" t="inlineStr">
        <is>
          <t>warn</t>
        </is>
      </c>
      <c r="AI83" s="15" t="inlineStr">
        <is>
          <t>n.a.</t>
        </is>
      </c>
      <c r="AJ83" s="15" t="inlineStr">
        <is>
          <t>n.a.</t>
        </is>
      </c>
      <c r="AK83" s="4" t="inlineStr">
        <is>
          <t>format_match(warn);cadence(warn);format_gaia(warn)</t>
        </is>
      </c>
      <c r="AL83" s="17" t="inlineStr">
        <is>
          <t>https://www.earthdata.nasa.gov/data/catalog/lpcloud-mcd64a1-061</t>
        </is>
      </c>
      <c r="AM83" s="4" t="inlineStr">
        <is>
          <t>global_nasa_mcd64a1_burned_area</t>
        </is>
      </c>
    </row>
    <row r="84">
      <c r="A84" s="4" t="inlineStr">
        <is>
          <t>National Seismic Hazard Model (NSHM)</t>
        </is>
      </c>
      <c r="B84" s="19" t="inlineStr">
        <is>
          <t>Silver</t>
        </is>
      </c>
      <c r="C84" s="4" t="n">
        <v>74</v>
      </c>
      <c r="D84" s="4" t="inlineStr">
        <is>
          <t>climate_hazard</t>
        </is>
      </c>
      <c r="E84" s="4" t="inlineStr">
        <is>
          <t>healthy</t>
        </is>
      </c>
      <c r="F84" s="4" t="inlineStr">
        <is>
          <t>unknown</t>
        </is>
      </c>
      <c r="G84" s="4" t="inlineStr">
        <is>
          <t>grid_0.02deg (stated for Hawaii 2021 only; other regions not stated)</t>
        </is>
      </c>
      <c r="H84" s="4" t="inlineStr">
        <is>
          <t>Needs raster support</t>
        </is>
      </c>
      <c r="I84" s="4" t="n">
        <v>2</v>
      </c>
      <c r="J84" s="4" t="inlineStr"/>
      <c r="K84" s="4" t="inlineStr">
        <is>
          <t>Curated</t>
        </is>
      </c>
      <c r="L84" s="4" t="n">
        <v>2023</v>
      </c>
      <c r="M84" s="4" t="inlineStr">
        <is>
          <t>open</t>
        </is>
      </c>
      <c r="N84" s="4" t="inlineStr">
        <is>
          <t>2026-10-28</t>
        </is>
      </c>
      <c r="O84" s="14" t="inlineStr">
        <is>
          <t>pass</t>
        </is>
      </c>
      <c r="P84" s="14" t="inlineStr">
        <is>
          <t>pass</t>
        </is>
      </c>
      <c r="Q84" s="14" t="inlineStr">
        <is>
          <t>pass</t>
        </is>
      </c>
      <c r="R84" s="14" t="inlineStr">
        <is>
          <t>pass</t>
        </is>
      </c>
      <c r="S84" s="14" t="inlineStr">
        <is>
          <t>pass</t>
        </is>
      </c>
      <c r="T84" s="14" t="inlineStr">
        <is>
          <t>pass</t>
        </is>
      </c>
      <c r="U84" s="14" t="inlineStr">
        <is>
          <t>pass</t>
        </is>
      </c>
      <c r="V84" s="16" t="inlineStr">
        <is>
          <t>warn</t>
        </is>
      </c>
      <c r="W84" s="16" t="inlineStr">
        <is>
          <t>warn</t>
        </is>
      </c>
      <c r="X84" s="14" t="inlineStr">
        <is>
          <t>pass</t>
        </is>
      </c>
      <c r="Y84" s="16" t="inlineStr">
        <is>
          <t>warn</t>
        </is>
      </c>
      <c r="Z84" s="16" t="inlineStr">
        <is>
          <t>warn</t>
        </is>
      </c>
      <c r="AA84" s="14" t="inlineStr">
        <is>
          <t>pass</t>
        </is>
      </c>
      <c r="AB84" s="14" t="inlineStr">
        <is>
          <t>pass</t>
        </is>
      </c>
      <c r="AC84" s="14" t="inlineStr">
        <is>
          <t>pass</t>
        </is>
      </c>
      <c r="AD84" s="16" t="inlineStr">
        <is>
          <t>warn</t>
        </is>
      </c>
      <c r="AE84" s="14" t="inlineStr">
        <is>
          <t>pass</t>
        </is>
      </c>
      <c r="AF84" s="15" t="inlineStr">
        <is>
          <t>not_checked</t>
        </is>
      </c>
      <c r="AG84" s="16" t="inlineStr">
        <is>
          <t>warn</t>
        </is>
      </c>
      <c r="AH84" s="15" t="inlineStr">
        <is>
          <t>not_checked</t>
        </is>
      </c>
      <c r="AI84" s="15" t="inlineStr">
        <is>
          <t>n.a.</t>
        </is>
      </c>
      <c r="AJ84" s="15" t="inlineStr">
        <is>
          <t>n.a.</t>
        </is>
      </c>
      <c r="AK84" s="4" t="inlineStr">
        <is>
          <t>machine_metadata(warn);persistent_id(warn);license(warn);temporal(warn);unit(warn);join_key(warn)</t>
        </is>
      </c>
      <c r="AL84" s="17" t="inlineStr">
        <is>
          <t>https://www.usgs.gov/programs/earthquake-hazards/science/national-seismic-hazard-model</t>
        </is>
      </c>
      <c r="AM84" s="4" t="inlineStr">
        <is>
          <t>us_usgs_national_seismic_hazard_model</t>
        </is>
      </c>
    </row>
    <row r="85">
      <c r="A85" s="4" t="inlineStr">
        <is>
          <t>OpenFEMA Disaster Declarations Summaries (v2)</t>
        </is>
      </c>
      <c r="B85" s="19" t="inlineStr">
        <is>
          <t>Silver</t>
        </is>
      </c>
      <c r="C85" s="4" t="n">
        <v>91</v>
      </c>
      <c r="D85" s="4" t="inlineStr">
        <is>
          <t>climate_hazard</t>
        </is>
      </c>
      <c r="E85" s="4" t="inlineStr">
        <is>
          <t>healthy</t>
        </is>
      </c>
      <c r="F85" s="4" t="inlineStr">
        <is>
          <t>attribution</t>
        </is>
      </c>
      <c r="G85" s="4" t="inlineStr">
        <is>
          <t>county</t>
        </is>
      </c>
      <c r="H85" s="4" t="inlineStr">
        <is>
          <t>Joins today</t>
        </is>
      </c>
      <c r="I85" s="4" t="n">
        <v>2</v>
      </c>
      <c r="J85" s="4" t="inlineStr"/>
      <c r="K85" s="4" t="inlineStr">
        <is>
          <t>Curated</t>
        </is>
      </c>
      <c r="L85" s="4" t="n">
        <v>2026</v>
      </c>
      <c r="M85" s="4" t="inlineStr">
        <is>
          <t>open</t>
        </is>
      </c>
      <c r="N85" s="4" t="inlineStr">
        <is>
          <t>2026-10-22</t>
        </is>
      </c>
      <c r="O85" s="14" t="inlineStr">
        <is>
          <t>pass</t>
        </is>
      </c>
      <c r="P85" s="14" t="inlineStr">
        <is>
          <t>pass</t>
        </is>
      </c>
      <c r="Q85" s="14" t="inlineStr">
        <is>
          <t>pass</t>
        </is>
      </c>
      <c r="R85" s="14" t="inlineStr">
        <is>
          <t>pass</t>
        </is>
      </c>
      <c r="S85" s="14" t="inlineStr">
        <is>
          <t>pass</t>
        </is>
      </c>
      <c r="T85" s="14" t="inlineStr">
        <is>
          <t>pass</t>
        </is>
      </c>
      <c r="U85" s="14" t="inlineStr">
        <is>
          <t>pass</t>
        </is>
      </c>
      <c r="V85" s="16" t="inlineStr">
        <is>
          <t>warn</t>
        </is>
      </c>
      <c r="W85" s="16" t="inlineStr">
        <is>
          <t>warn</t>
        </is>
      </c>
      <c r="X85" s="14" t="inlineStr">
        <is>
          <t>pass</t>
        </is>
      </c>
      <c r="Y85" s="14" t="inlineStr">
        <is>
          <t>pass</t>
        </is>
      </c>
      <c r="Z85" s="14" t="inlineStr">
        <is>
          <t>pass</t>
        </is>
      </c>
      <c r="AA85" s="14" t="inlineStr">
        <is>
          <t>pass</t>
        </is>
      </c>
      <c r="AB85" s="14" t="inlineStr">
        <is>
          <t>pass</t>
        </is>
      </c>
      <c r="AC85" s="14" t="inlineStr">
        <is>
          <t>pass</t>
        </is>
      </c>
      <c r="AD85" s="16" t="inlineStr">
        <is>
          <t>warn</t>
        </is>
      </c>
      <c r="AE85" s="14" t="inlineStr">
        <is>
          <t>pass</t>
        </is>
      </c>
      <c r="AF85" s="14" t="inlineStr">
        <is>
          <t>pass</t>
        </is>
      </c>
      <c r="AG85" s="14" t="inlineStr">
        <is>
          <t>pass</t>
        </is>
      </c>
      <c r="AH85" s="14" t="inlineStr">
        <is>
          <t>pass</t>
        </is>
      </c>
      <c r="AI85" s="15" t="inlineStr">
        <is>
          <t>n.a.</t>
        </is>
      </c>
      <c r="AJ85" s="15" t="inlineStr">
        <is>
          <t>n.a.</t>
        </is>
      </c>
      <c r="AK85" s="4" t="inlineStr">
        <is>
          <t>machine_metadata(warn);persistent_id(warn);unit(warn)</t>
        </is>
      </c>
      <c r="AL85" s="17" t="inlineStr">
        <is>
          <t>https://www.fema.gov/openfema-data-page/disaster-declarations-summaries-v2</t>
        </is>
      </c>
      <c r="AM85" s="4" t="inlineStr">
        <is>
          <t>us_fema_openfema_disaster_declarations</t>
        </is>
      </c>
    </row>
    <row r="86">
      <c r="A86" s="4" t="inlineStr">
        <is>
          <t>U.S. Billion-Dollar Weather and Climate Disasters (Climate Central continuation)</t>
        </is>
      </c>
      <c r="B86" s="19" t="inlineStr">
        <is>
          <t>Silver</t>
        </is>
      </c>
      <c r="C86" s="4" t="n">
        <v>77</v>
      </c>
      <c r="D86" s="4" t="inlineStr">
        <is>
          <t>climate_hazard</t>
        </is>
      </c>
      <c r="E86" s="4" t="inlineStr">
        <is>
          <t>healthy</t>
        </is>
      </c>
      <c r="F86" s="4" t="inlineStr">
        <is>
          <t>non-commercial</t>
        </is>
      </c>
      <c r="G86" s="4" t="inlineStr">
        <is>
          <t>state</t>
        </is>
      </c>
      <c r="H86" s="4" t="inlineStr">
        <is>
          <t>Joins today</t>
        </is>
      </c>
      <c r="I86" s="4" t="n">
        <v>2</v>
      </c>
      <c r="J86" s="4" t="inlineStr"/>
      <c r="K86" s="4" t="inlineStr">
        <is>
          <t>Curated</t>
        </is>
      </c>
      <c r="L86" s="4" t="n">
        <v>2026</v>
      </c>
      <c r="M86" s="4" t="inlineStr">
        <is>
          <t>restricted</t>
        </is>
      </c>
      <c r="N86" s="4" t="inlineStr">
        <is>
          <t>2026-10-22</t>
        </is>
      </c>
      <c r="O86" s="14" t="inlineStr">
        <is>
          <t>pass</t>
        </is>
      </c>
      <c r="P86" s="14" t="inlineStr">
        <is>
          <t>pass</t>
        </is>
      </c>
      <c r="Q86" s="14" t="inlineStr">
        <is>
          <t>pass</t>
        </is>
      </c>
      <c r="R86" s="14" t="inlineStr">
        <is>
          <t>pass</t>
        </is>
      </c>
      <c r="S86" s="14" t="inlineStr">
        <is>
          <t>pass</t>
        </is>
      </c>
      <c r="T86" s="14" t="inlineStr">
        <is>
          <t>pass</t>
        </is>
      </c>
      <c r="U86" s="14" t="inlineStr">
        <is>
          <t>pass</t>
        </is>
      </c>
      <c r="V86" s="16" t="inlineStr">
        <is>
          <t>warn</t>
        </is>
      </c>
      <c r="W86" s="16" t="inlineStr">
        <is>
          <t>warn</t>
        </is>
      </c>
      <c r="X86" s="14" t="inlineStr">
        <is>
          <t>pass</t>
        </is>
      </c>
      <c r="Y86" s="16" t="inlineStr">
        <is>
          <t>warn</t>
        </is>
      </c>
      <c r="Z86" s="14" t="inlineStr">
        <is>
          <t>pass</t>
        </is>
      </c>
      <c r="AA86" s="14" t="inlineStr">
        <is>
          <t>pass</t>
        </is>
      </c>
      <c r="AB86" s="16" t="inlineStr">
        <is>
          <t>warn</t>
        </is>
      </c>
      <c r="AC86" s="16" t="inlineStr">
        <is>
          <t>warn</t>
        </is>
      </c>
      <c r="AD86" s="14" t="inlineStr">
        <is>
          <t>pass</t>
        </is>
      </c>
      <c r="AE86" s="14" t="inlineStr">
        <is>
          <t>pass</t>
        </is>
      </c>
      <c r="AF86" s="18" t="inlineStr">
        <is>
          <t>fail</t>
        </is>
      </c>
      <c r="AG86" s="16" t="inlineStr">
        <is>
          <t>warn</t>
        </is>
      </c>
      <c r="AH86" s="18" t="inlineStr">
        <is>
          <t>fail</t>
        </is>
      </c>
      <c r="AI86" s="15" t="inlineStr">
        <is>
          <t>n.a.</t>
        </is>
      </c>
      <c r="AJ86" s="15" t="inlineStr">
        <is>
          <t>n.a.</t>
        </is>
      </c>
      <c r="AK86" s="4" t="inlineStr">
        <is>
          <t>access;format_gaia;machine_metadata(warn);persistent_id(warn);license(warn);cadence(warn);version(warn);join_key(warn)</t>
        </is>
      </c>
      <c r="AL86" s="17" t="inlineStr">
        <is>
          <t>https://www.climatecentral.org/billion-dollar-disasters</t>
        </is>
      </c>
      <c r="AM86" s="4" t="inlineStr">
        <is>
          <t>us_climatecentral_billion_dollar_disasters</t>
        </is>
      </c>
    </row>
    <row r="87">
      <c r="A87" s="4" t="inlineStr">
        <is>
          <t>U.S. Drought Monitor (USDM) GIS Data</t>
        </is>
      </c>
      <c r="B87" s="19" t="inlineStr">
        <is>
          <t>Silver</t>
        </is>
      </c>
      <c r="C87" s="4" t="n">
        <v>84</v>
      </c>
      <c r="D87" s="4" t="inlineStr">
        <is>
          <t>climate_hazard</t>
        </is>
      </c>
      <c r="E87" s="4" t="inlineStr">
        <is>
          <t>degraded</t>
        </is>
      </c>
      <c r="F87" s="4" t="inlineStr">
        <is>
          <t>attribution</t>
        </is>
      </c>
      <c r="G87" s="4" t="inlineStr">
        <is>
          <t>grid_500m (gridded data); polygon (one polygon per DM class); county/state (Excel statistics)</t>
        </is>
      </c>
      <c r="H87" s="4" t="inlineStr">
        <is>
          <t>Needs raster support</t>
        </is>
      </c>
      <c r="I87" s="4" t="n">
        <v>2</v>
      </c>
      <c r="J87" s="4" t="inlineStr"/>
      <c r="K87" s="4" t="inlineStr">
        <is>
          <t>Curated</t>
        </is>
      </c>
      <c r="L87" s="4" t="inlineStr">
        <is>
          <t>current</t>
        </is>
      </c>
      <c r="M87" s="4" t="inlineStr">
        <is>
          <t>open</t>
        </is>
      </c>
      <c r="N87" s="4" t="inlineStr">
        <is>
          <t>2026-10-28</t>
        </is>
      </c>
      <c r="O87" s="14" t="inlineStr">
        <is>
          <t>pass</t>
        </is>
      </c>
      <c r="P87" s="14" t="inlineStr">
        <is>
          <t>pass</t>
        </is>
      </c>
      <c r="Q87" s="14" t="inlineStr">
        <is>
          <t>pass</t>
        </is>
      </c>
      <c r="R87" s="14" t="inlineStr">
        <is>
          <t>pass</t>
        </is>
      </c>
      <c r="S87" s="14" t="inlineStr">
        <is>
          <t>pass</t>
        </is>
      </c>
      <c r="T87" s="14" t="inlineStr">
        <is>
          <t>pass</t>
        </is>
      </c>
      <c r="U87" s="14" t="inlineStr">
        <is>
          <t>pass</t>
        </is>
      </c>
      <c r="V87" s="18" t="inlineStr">
        <is>
          <t>fail</t>
        </is>
      </c>
      <c r="W87" s="16" t="inlineStr">
        <is>
          <t>warn</t>
        </is>
      </c>
      <c r="X87" s="14" t="inlineStr">
        <is>
          <t>pass</t>
        </is>
      </c>
      <c r="Y87" s="14" t="inlineStr">
        <is>
          <t>pass</t>
        </is>
      </c>
      <c r="Z87" s="16" t="inlineStr">
        <is>
          <t>warn</t>
        </is>
      </c>
      <c r="AA87" s="15" t="inlineStr">
        <is>
          <t>not_checked</t>
        </is>
      </c>
      <c r="AB87" s="15" t="inlineStr">
        <is>
          <t>not_checked</t>
        </is>
      </c>
      <c r="AC87" s="15" t="inlineStr">
        <is>
          <t>not_checked</t>
        </is>
      </c>
      <c r="AD87" s="16" t="inlineStr">
        <is>
          <t>warn</t>
        </is>
      </c>
      <c r="AE87" s="14" t="inlineStr">
        <is>
          <t>pass</t>
        </is>
      </c>
      <c r="AF87" s="14" t="inlineStr">
        <is>
          <t>pass</t>
        </is>
      </c>
      <c r="AG87" s="14" t="inlineStr">
        <is>
          <t>pass</t>
        </is>
      </c>
      <c r="AH87" s="14" t="inlineStr">
        <is>
          <t>pass</t>
        </is>
      </c>
      <c r="AI87" s="15" t="inlineStr">
        <is>
          <t>n.a.</t>
        </is>
      </c>
      <c r="AJ87" s="15" t="inlineStr">
        <is>
          <t>n.a.</t>
        </is>
      </c>
      <c r="AK87" s="4" t="inlineStr">
        <is>
          <t>machine_metadata;persistent_id(warn);temporal(warn);unit(warn)</t>
        </is>
      </c>
      <c r="AL87" s="17" t="inlineStr">
        <is>
          <t>https://droughtmonitor.unl.edu/DmData/GISData.aspx</t>
        </is>
      </c>
      <c r="AM87" s="4" t="inlineStr">
        <is>
          <t>us_ndmc_us_drought_monitor</t>
        </is>
      </c>
    </row>
    <row r="88">
      <c r="A88" s="4" t="inlineStr">
        <is>
          <t>Longitudinal Tract Data Base (LTDB)</t>
        </is>
      </c>
      <c r="B88" s="19" t="inlineStr">
        <is>
          <t>Silver</t>
        </is>
      </c>
      <c r="C88" s="4" t="n">
        <v>80</v>
      </c>
      <c r="D88" s="4" t="inlineStr">
        <is>
          <t>demographics</t>
        </is>
      </c>
      <c r="E88" s="4" t="inlineStr">
        <is>
          <t>degraded</t>
        </is>
      </c>
      <c r="F88" s="4" t="inlineStr">
        <is>
          <t>non-commercial</t>
        </is>
      </c>
      <c r="G88" s="4" t="inlineStr">
        <is>
          <t>tract</t>
        </is>
      </c>
      <c r="H88" s="4" t="inlineStr">
        <is>
          <t>Joins today</t>
        </is>
      </c>
      <c r="I88" s="4" t="n">
        <v>3</v>
      </c>
      <c r="J88" s="4" t="inlineStr"/>
      <c r="K88" s="4" t="inlineStr">
        <is>
          <t>Curated</t>
        </is>
      </c>
      <c r="L88" s="4" t="n">
        <v>2020</v>
      </c>
      <c r="M88" s="4" t="inlineStr">
        <is>
          <t>registration</t>
        </is>
      </c>
      <c r="N88" s="4" t="inlineStr">
        <is>
          <t>2026-10-22</t>
        </is>
      </c>
      <c r="O88" s="14" t="inlineStr">
        <is>
          <t>pass</t>
        </is>
      </c>
      <c r="P88" s="14" t="inlineStr">
        <is>
          <t>pass</t>
        </is>
      </c>
      <c r="Q88" s="14" t="inlineStr">
        <is>
          <t>pass</t>
        </is>
      </c>
      <c r="R88" s="14" t="inlineStr">
        <is>
          <t>pass</t>
        </is>
      </c>
      <c r="S88" s="14" t="inlineStr">
        <is>
          <t>pass</t>
        </is>
      </c>
      <c r="T88" s="14" t="inlineStr">
        <is>
          <t>pass</t>
        </is>
      </c>
      <c r="U88" s="16" t="inlineStr">
        <is>
          <t>warn</t>
        </is>
      </c>
      <c r="V88" s="18" t="inlineStr">
        <is>
          <t>fail</t>
        </is>
      </c>
      <c r="W88" s="16" t="inlineStr">
        <is>
          <t>warn</t>
        </is>
      </c>
      <c r="X88" s="14" t="inlineStr">
        <is>
          <t>pass</t>
        </is>
      </c>
      <c r="Y88" s="16" t="inlineStr">
        <is>
          <t>warn</t>
        </is>
      </c>
      <c r="Z88" s="14" t="inlineStr">
        <is>
          <t>pass</t>
        </is>
      </c>
      <c r="AA88" s="14" t="inlineStr">
        <is>
          <t>pass</t>
        </is>
      </c>
      <c r="AB88" s="16" t="inlineStr">
        <is>
          <t>warn</t>
        </is>
      </c>
      <c r="AC88" s="15" t="inlineStr">
        <is>
          <t>not_checked</t>
        </is>
      </c>
      <c r="AD88" s="14" t="inlineStr">
        <is>
          <t>pass</t>
        </is>
      </c>
      <c r="AE88" s="16" t="inlineStr">
        <is>
          <t>warn</t>
        </is>
      </c>
      <c r="AF88" s="16" t="inlineStr">
        <is>
          <t>warn</t>
        </is>
      </c>
      <c r="AG88" s="16" t="inlineStr">
        <is>
          <t>warn</t>
        </is>
      </c>
      <c r="AH88" s="16" t="inlineStr">
        <is>
          <t>warn</t>
        </is>
      </c>
      <c r="AI88" s="15" t="inlineStr">
        <is>
          <t>n.a.</t>
        </is>
      </c>
      <c r="AJ88" s="15" t="inlineStr">
        <is>
          <t>n.a.</t>
        </is>
      </c>
      <c r="AK88" s="4" t="inlineStr">
        <is>
          <t>machine_metadata;format_match(warn);persistent_id(warn);license(warn);cadence(warn);coverage(warn);access(warn);join_key(warn);format_gaia(warn)</t>
        </is>
      </c>
      <c r="AL88" s="17" t="inlineStr">
        <is>
          <t>https://s4.ad.brown.edu/projects/diversity/Researcher/LTDB.htm</t>
        </is>
      </c>
      <c r="AM88" s="4" t="inlineStr">
        <is>
          <t>us_brown_ltdb</t>
        </is>
      </c>
    </row>
    <row r="89">
      <c r="A89" s="4" t="inlineStr">
        <is>
          <t>Our World in Data</t>
        </is>
      </c>
      <c r="B89" s="19" t="inlineStr">
        <is>
          <t>Silver</t>
        </is>
      </c>
      <c r="C89" s="4" t="n">
        <v>96</v>
      </c>
      <c r="D89" s="4" t="inlineStr">
        <is>
          <t>demographics</t>
        </is>
      </c>
      <c r="E89" s="4" t="inlineStr">
        <is>
          <t>healthy</t>
        </is>
      </c>
      <c r="F89" s="4" t="inlineStr">
        <is>
          <t>attribution</t>
        </is>
      </c>
      <c r="G89" s="4" t="inlineStr">
        <is>
          <t>country</t>
        </is>
      </c>
      <c r="H89" s="4" t="inlineStr">
        <is>
          <t>Not linkable as listed</t>
        </is>
      </c>
      <c r="I89" s="4" t="n">
        <v>3</v>
      </c>
      <c r="J89" s="4" t="inlineStr"/>
      <c r="K89" s="4" t="inlineStr">
        <is>
          <t>Curated</t>
        </is>
      </c>
      <c r="L89" s="4" t="inlineStr">
        <is>
          <t>current</t>
        </is>
      </c>
      <c r="M89" s="4" t="inlineStr">
        <is>
          <t>open</t>
        </is>
      </c>
      <c r="N89" s="4" t="inlineStr">
        <is>
          <t>2026-10-28</t>
        </is>
      </c>
      <c r="O89" s="14" t="inlineStr">
        <is>
          <t>pass</t>
        </is>
      </c>
      <c r="P89" s="14" t="inlineStr">
        <is>
          <t>pass</t>
        </is>
      </c>
      <c r="Q89" s="14" t="inlineStr">
        <is>
          <t>pass</t>
        </is>
      </c>
      <c r="R89" s="14" t="inlineStr">
        <is>
          <t>pass</t>
        </is>
      </c>
      <c r="S89" s="14" t="inlineStr">
        <is>
          <t>pass</t>
        </is>
      </c>
      <c r="T89" s="14" t="inlineStr">
        <is>
          <t>pass</t>
        </is>
      </c>
      <c r="U89" s="14" t="inlineStr">
        <is>
          <t>pass</t>
        </is>
      </c>
      <c r="V89" s="16" t="inlineStr">
        <is>
          <t>warn</t>
        </is>
      </c>
      <c r="W89" s="16" t="inlineStr">
        <is>
          <t>warn</t>
        </is>
      </c>
      <c r="X89" s="14" t="inlineStr">
        <is>
          <t>pass</t>
        </is>
      </c>
      <c r="Y89" s="14" t="inlineStr">
        <is>
          <t>pass</t>
        </is>
      </c>
      <c r="Z89" s="15" t="inlineStr">
        <is>
          <t>not_checked</t>
        </is>
      </c>
      <c r="AA89" s="15" t="inlineStr">
        <is>
          <t>not_checked</t>
        </is>
      </c>
      <c r="AB89" s="16" t="inlineStr">
        <is>
          <t>warn</t>
        </is>
      </c>
      <c r="AC89" s="15" t="inlineStr">
        <is>
          <t>not_checked</t>
        </is>
      </c>
      <c r="AD89" s="15" t="inlineStr">
        <is>
          <t>not_checked</t>
        </is>
      </c>
      <c r="AE89" s="15" t="inlineStr">
        <is>
          <t>not_checked</t>
        </is>
      </c>
      <c r="AF89" s="14" t="inlineStr">
        <is>
          <t>pass</t>
        </is>
      </c>
      <c r="AG89" s="15" t="inlineStr">
        <is>
          <t>not_checked</t>
        </is>
      </c>
      <c r="AH89" s="16" t="inlineStr">
        <is>
          <t>warn</t>
        </is>
      </c>
      <c r="AI89" s="15" t="inlineStr">
        <is>
          <t>n.a.</t>
        </is>
      </c>
      <c r="AJ89" s="15" t="inlineStr">
        <is>
          <t>n.a.</t>
        </is>
      </c>
      <c r="AK89" s="4" t="inlineStr">
        <is>
          <t>machine_metadata(warn);persistent_id(warn);cadence(warn);format_gaia(warn)</t>
        </is>
      </c>
      <c r="AL89" s="17" t="inlineStr">
        <is>
          <t>https://ourworldindata.org/about</t>
        </is>
      </c>
      <c r="AM89" s="4" t="inlineStr">
        <is>
          <t>global_owid</t>
        </is>
      </c>
    </row>
    <row r="90">
      <c r="A90" s="4" t="inlineStr">
        <is>
          <t>American Community Survey 1-Year Data</t>
        </is>
      </c>
      <c r="B90" s="19" t="inlineStr">
        <is>
          <t>Silver</t>
        </is>
      </c>
      <c r="C90" s="4" t="n">
        <v>86</v>
      </c>
      <c r="D90" s="4" t="inlineStr">
        <is>
          <t>demographics</t>
        </is>
      </c>
      <c r="E90" s="4" t="inlineStr">
        <is>
          <t>healthy</t>
        </is>
      </c>
      <c r="F90" s="4" t="inlineStr">
        <is>
          <t>attribution</t>
        </is>
      </c>
      <c r="G90" s="4" t="inlineStr">
        <is>
          <t>place and county with population 65,000+ (no tract/block group/ZCTA in 1-year data)</t>
        </is>
      </c>
      <c r="H90" s="4" t="inlineStr">
        <is>
          <t>Joins today</t>
        </is>
      </c>
      <c r="I90" s="4" t="n">
        <v>2</v>
      </c>
      <c r="J90" s="4" t="inlineStr"/>
      <c r="K90" s="4" t="inlineStr">
        <is>
          <t>Curated</t>
        </is>
      </c>
      <c r="L90" s="4" t="n">
        <v>2024</v>
      </c>
      <c r="M90" s="4" t="inlineStr">
        <is>
          <t>unknown</t>
        </is>
      </c>
      <c r="N90" s="4" t="inlineStr">
        <is>
          <t>2026-10-22</t>
        </is>
      </c>
      <c r="O90" s="14" t="inlineStr">
        <is>
          <t>pass</t>
        </is>
      </c>
      <c r="P90" s="14" t="inlineStr">
        <is>
          <t>pass</t>
        </is>
      </c>
      <c r="Q90" s="14" t="inlineStr">
        <is>
          <t>pass</t>
        </is>
      </c>
      <c r="R90" s="14" t="inlineStr">
        <is>
          <t>pass</t>
        </is>
      </c>
      <c r="S90" s="14" t="inlineStr">
        <is>
          <t>pass</t>
        </is>
      </c>
      <c r="T90" s="14" t="inlineStr">
        <is>
          <t>pass</t>
        </is>
      </c>
      <c r="U90" s="14" t="inlineStr">
        <is>
          <t>pass</t>
        </is>
      </c>
      <c r="V90" s="16" t="inlineStr">
        <is>
          <t>warn</t>
        </is>
      </c>
      <c r="W90" s="16" t="inlineStr">
        <is>
          <t>warn</t>
        </is>
      </c>
      <c r="X90" s="14" t="inlineStr">
        <is>
          <t>pass</t>
        </is>
      </c>
      <c r="Y90" s="14" t="inlineStr">
        <is>
          <t>pass</t>
        </is>
      </c>
      <c r="Z90" s="14" t="inlineStr">
        <is>
          <t>pass</t>
        </is>
      </c>
      <c r="AA90" s="14" t="inlineStr">
        <is>
          <t>pass</t>
        </is>
      </c>
      <c r="AB90" s="14" t="inlineStr">
        <is>
          <t>pass</t>
        </is>
      </c>
      <c r="AC90" s="14" t="inlineStr">
        <is>
          <t>pass</t>
        </is>
      </c>
      <c r="AD90" s="16" t="inlineStr">
        <is>
          <t>warn</t>
        </is>
      </c>
      <c r="AE90" s="14" t="inlineStr">
        <is>
          <t>pass</t>
        </is>
      </c>
      <c r="AF90" s="14" t="inlineStr">
        <is>
          <t>pass</t>
        </is>
      </c>
      <c r="AG90" s="16" t="inlineStr">
        <is>
          <t>warn</t>
        </is>
      </c>
      <c r="AH90" s="16" t="inlineStr">
        <is>
          <t>warn</t>
        </is>
      </c>
      <c r="AI90" s="15" t="inlineStr">
        <is>
          <t>n.a.</t>
        </is>
      </c>
      <c r="AJ90" s="15" t="inlineStr">
        <is>
          <t>n.a.</t>
        </is>
      </c>
      <c r="AK90" s="4" t="inlineStr">
        <is>
          <t>machine_metadata(warn);persistent_id(warn);unit(warn);join_key(warn);format_gaia(warn)</t>
        </is>
      </c>
      <c r="AL90" s="17" t="inlineStr">
        <is>
          <t>https://www.census.gov/data/developers/data-sets/acs-1year.html</t>
        </is>
      </c>
      <c r="AM90" s="4" t="inlineStr">
        <is>
          <t>us_census_acs_1year</t>
        </is>
      </c>
    </row>
    <row r="91">
      <c r="A91" s="4" t="inlineStr">
        <is>
          <t>Censo Nacional de Poblacion y Vivienda 2018 (CNPV)</t>
        </is>
      </c>
      <c r="B91" s="19" t="inlineStr">
        <is>
          <t>Silver</t>
        </is>
      </c>
      <c r="C91" s="4" t="n">
        <v>83</v>
      </c>
      <c r="D91" s="4" t="inlineStr">
        <is>
          <t>demographics</t>
        </is>
      </c>
      <c r="E91" s="4" t="inlineStr">
        <is>
          <t>healthy</t>
        </is>
      </c>
      <c r="F91" s="4" t="inlineStr">
        <is>
          <t>attribution</t>
        </is>
      </c>
      <c r="G91" s="4" t="inlineStr">
        <is>
          <t>admin2 (municipio) on landing page; manzana/MGN not mentioned</t>
        </is>
      </c>
      <c r="H91" s="4" t="inlineStr">
        <is>
          <t>Joins today</t>
        </is>
      </c>
      <c r="I91" s="4" t="n">
        <v>2</v>
      </c>
      <c r="J91" s="4" t="inlineStr"/>
      <c r="K91" s="4" t="inlineStr">
        <is>
          <t>Curated</t>
        </is>
      </c>
      <c r="L91" s="4" t="n">
        <v>2018</v>
      </c>
      <c r="M91" s="4" t="inlineStr">
        <is>
          <t>unknown</t>
        </is>
      </c>
      <c r="N91" s="4" t="inlineStr">
        <is>
          <t>2026-10-22</t>
        </is>
      </c>
      <c r="O91" s="14" t="inlineStr">
        <is>
          <t>pass</t>
        </is>
      </c>
      <c r="P91" s="14" t="inlineStr">
        <is>
          <t>pass</t>
        </is>
      </c>
      <c r="Q91" s="14" t="inlineStr">
        <is>
          <t>pass</t>
        </is>
      </c>
      <c r="R91" s="14" t="inlineStr">
        <is>
          <t>pass</t>
        </is>
      </c>
      <c r="S91" s="14" t="inlineStr">
        <is>
          <t>pass</t>
        </is>
      </c>
      <c r="T91" s="14" t="inlineStr">
        <is>
          <t>pass</t>
        </is>
      </c>
      <c r="U91" s="16" t="inlineStr">
        <is>
          <t>warn</t>
        </is>
      </c>
      <c r="V91" s="16" t="inlineStr">
        <is>
          <t>warn</t>
        </is>
      </c>
      <c r="W91" s="16" t="inlineStr">
        <is>
          <t>warn</t>
        </is>
      </c>
      <c r="X91" s="14" t="inlineStr">
        <is>
          <t>pass</t>
        </is>
      </c>
      <c r="Y91" s="14" t="inlineStr">
        <is>
          <t>pass</t>
        </is>
      </c>
      <c r="Z91" s="14" t="inlineStr">
        <is>
          <t>pass</t>
        </is>
      </c>
      <c r="AA91" s="16" t="inlineStr">
        <is>
          <t>warn</t>
        </is>
      </c>
      <c r="AB91" s="15" t="inlineStr">
        <is>
          <t>not_checked</t>
        </is>
      </c>
      <c r="AC91" s="16" t="inlineStr">
        <is>
          <t>warn</t>
        </is>
      </c>
      <c r="AD91" s="16" t="inlineStr">
        <is>
          <t>warn</t>
        </is>
      </c>
      <c r="AE91" s="14" t="inlineStr">
        <is>
          <t>pass</t>
        </is>
      </c>
      <c r="AF91" s="14" t="inlineStr">
        <is>
          <t>pass</t>
        </is>
      </c>
      <c r="AG91" s="16" t="inlineStr">
        <is>
          <t>warn</t>
        </is>
      </c>
      <c r="AH91" s="16" t="inlineStr">
        <is>
          <t>warn</t>
        </is>
      </c>
      <c r="AI91" s="15" t="inlineStr">
        <is>
          <t>n.a.</t>
        </is>
      </c>
      <c r="AJ91" s="15" t="inlineStr">
        <is>
          <t>n.a.</t>
        </is>
      </c>
      <c r="AK91" s="4" t="inlineStr">
        <is>
          <t>format_match(warn);machine_metadata(warn);persistent_id(warn);recency(warn);version(warn);unit(warn);join_key(warn);format_gaia(warn)</t>
        </is>
      </c>
      <c r="AL91" s="17" t="inlineStr">
        <is>
          <t>https://www.dane.gov.co/index.php/estadisticas-por-tema/demografia-y-poblacion/censo-nacional-de-poblacion-y-vivenda-2018</t>
        </is>
      </c>
      <c r="AM91" s="4" t="inlineStr">
        <is>
          <t>co_dane_cnpv_2018</t>
        </is>
      </c>
    </row>
    <row r="92">
      <c r="A92" s="4" t="inlineStr">
        <is>
          <t>Census 2022 Small Area Population Statistics (SAPS)</t>
        </is>
      </c>
      <c r="B92" s="19" t="inlineStr">
        <is>
          <t>Silver</t>
        </is>
      </c>
      <c r="C92" s="4" t="n">
        <v>86</v>
      </c>
      <c r="D92" s="4" t="inlineStr">
        <is>
          <t>demographics</t>
        </is>
      </c>
      <c r="E92" s="4" t="inlineStr">
        <is>
          <t>healthy</t>
        </is>
      </c>
      <c r="F92" s="4" t="inlineStr">
        <is>
          <t>open</t>
        </is>
      </c>
      <c r="G92" s="4" t="inlineStr">
        <is>
          <t>polygon (Small Area, 18,919 units)</t>
        </is>
      </c>
      <c r="H92" s="4" t="inlineStr">
        <is>
          <t>Joins today</t>
        </is>
      </c>
      <c r="I92" s="4" t="n">
        <v>2</v>
      </c>
      <c r="J92" s="4" t="inlineStr"/>
      <c r="K92" s="4" t="inlineStr">
        <is>
          <t>Curated</t>
        </is>
      </c>
      <c r="L92" s="4" t="n">
        <v>2022</v>
      </c>
      <c r="M92" s="4" t="inlineStr">
        <is>
          <t>open</t>
        </is>
      </c>
      <c r="N92" s="4" t="inlineStr">
        <is>
          <t>2026-10-22</t>
        </is>
      </c>
      <c r="O92" s="14" t="inlineStr">
        <is>
          <t>pass</t>
        </is>
      </c>
      <c r="P92" s="14" t="inlineStr">
        <is>
          <t>pass</t>
        </is>
      </c>
      <c r="Q92" s="14" t="inlineStr">
        <is>
          <t>pass</t>
        </is>
      </c>
      <c r="R92" s="14" t="inlineStr">
        <is>
          <t>pass</t>
        </is>
      </c>
      <c r="S92" s="14" t="inlineStr">
        <is>
          <t>pass</t>
        </is>
      </c>
      <c r="T92" s="14" t="inlineStr">
        <is>
          <t>pass</t>
        </is>
      </c>
      <c r="U92" s="16" t="inlineStr">
        <is>
          <t>warn</t>
        </is>
      </c>
      <c r="V92" s="16" t="inlineStr">
        <is>
          <t>warn</t>
        </is>
      </c>
      <c r="W92" s="16" t="inlineStr">
        <is>
          <t>warn</t>
        </is>
      </c>
      <c r="X92" s="14" t="inlineStr">
        <is>
          <t>pass</t>
        </is>
      </c>
      <c r="Y92" s="14" t="inlineStr">
        <is>
          <t>pass</t>
        </is>
      </c>
      <c r="Z92" s="14" t="inlineStr">
        <is>
          <t>pass</t>
        </is>
      </c>
      <c r="AA92" s="14" t="inlineStr">
        <is>
          <t>pass</t>
        </is>
      </c>
      <c r="AB92" s="16" t="inlineStr">
        <is>
          <t>warn</t>
        </is>
      </c>
      <c r="AC92" s="16" t="inlineStr">
        <is>
          <t>warn</t>
        </is>
      </c>
      <c r="AD92" s="16" t="inlineStr">
        <is>
          <t>warn</t>
        </is>
      </c>
      <c r="AE92" s="14" t="inlineStr">
        <is>
          <t>pass</t>
        </is>
      </c>
      <c r="AF92" s="14" t="inlineStr">
        <is>
          <t>pass</t>
        </is>
      </c>
      <c r="AG92" s="16" t="inlineStr">
        <is>
          <t>warn</t>
        </is>
      </c>
      <c r="AH92" s="16" t="inlineStr">
        <is>
          <t>warn</t>
        </is>
      </c>
      <c r="AI92" s="15" t="inlineStr">
        <is>
          <t>n.a.</t>
        </is>
      </c>
      <c r="AJ92" s="15" t="inlineStr">
        <is>
          <t>n.a.</t>
        </is>
      </c>
      <c r="AK92" s="4" t="inlineStr">
        <is>
          <t>format_match(warn);machine_metadata(warn);persistent_id(warn);cadence(warn);version(warn);unit(warn);join_key(warn);format_gaia(warn)</t>
        </is>
      </c>
      <c r="AL92" s="17" t="inlineStr">
        <is>
          <t>https://www.cso.ie/en/census/census2022/census2022smallareapopulationstatistics/</t>
        </is>
      </c>
      <c r="AM92" s="4" t="inlineStr">
        <is>
          <t>ie_cso_census_2022_saps</t>
        </is>
      </c>
    </row>
    <row r="93">
      <c r="A93" s="4" t="inlineStr">
        <is>
          <t>Degree of urbanisation statistics (cities, towns and suburbs, rural areas)</t>
        </is>
      </c>
      <c r="B93" s="19" t="inlineStr">
        <is>
          <t>Silver</t>
        </is>
      </c>
      <c r="C93" s="4" t="n">
        <v>95</v>
      </c>
      <c r="D93" s="4" t="inlineStr">
        <is>
          <t>demographics</t>
        </is>
      </c>
      <c r="E93" s="4" t="inlineStr">
        <is>
          <t>healthy</t>
        </is>
      </c>
      <c r="F93" s="4" t="inlineStr">
        <is>
          <t>unknown</t>
        </is>
      </c>
      <c r="G93" s="4" t="inlineStr">
        <is>
          <t>postcode_small_area</t>
        </is>
      </c>
      <c r="H93" s="4" t="inlineStr">
        <is>
          <t>Joins today</t>
        </is>
      </c>
      <c r="I93" s="4" t="n">
        <v>2</v>
      </c>
      <c r="J93" s="4" t="inlineStr"/>
      <c r="K93" s="4" t="inlineStr">
        <is>
          <t>Curated</t>
        </is>
      </c>
      <c r="L93" s="4" t="inlineStr"/>
      <c r="M93" s="4" t="inlineStr">
        <is>
          <t>unknown</t>
        </is>
      </c>
      <c r="N93" s="4" t="inlineStr">
        <is>
          <t>2026-10-22</t>
        </is>
      </c>
      <c r="O93" s="14" t="inlineStr">
        <is>
          <t>pass</t>
        </is>
      </c>
      <c r="P93" s="14" t="inlineStr">
        <is>
          <t>pass</t>
        </is>
      </c>
      <c r="Q93" s="14" t="inlineStr">
        <is>
          <t>pass</t>
        </is>
      </c>
      <c r="R93" s="14" t="inlineStr">
        <is>
          <t>pass</t>
        </is>
      </c>
      <c r="S93" s="14" t="inlineStr">
        <is>
          <t>pass</t>
        </is>
      </c>
      <c r="T93" s="15" t="inlineStr">
        <is>
          <t>n.a.</t>
        </is>
      </c>
      <c r="U93" s="15" t="inlineStr">
        <is>
          <t>n.a.</t>
        </is>
      </c>
      <c r="V93" s="16" t="inlineStr">
        <is>
          <t>warn</t>
        </is>
      </c>
      <c r="W93" s="16" t="inlineStr">
        <is>
          <t>warn</t>
        </is>
      </c>
      <c r="X93" s="14" t="inlineStr">
        <is>
          <t>pass</t>
        </is>
      </c>
      <c r="Y93" s="15" t="inlineStr">
        <is>
          <t>not_checked</t>
        </is>
      </c>
      <c r="Z93" s="15" t="inlineStr">
        <is>
          <t>not_checked</t>
        </is>
      </c>
      <c r="AA93" s="15" t="inlineStr">
        <is>
          <t>not_checked</t>
        </is>
      </c>
      <c r="AB93" s="15" t="inlineStr">
        <is>
          <t>not_checked</t>
        </is>
      </c>
      <c r="AC93" s="15" t="inlineStr">
        <is>
          <t>not_checked</t>
        </is>
      </c>
      <c r="AD93" s="15" t="inlineStr">
        <is>
          <t>not_checked</t>
        </is>
      </c>
      <c r="AE93" s="15" t="inlineStr">
        <is>
          <t>not_checked</t>
        </is>
      </c>
      <c r="AF93" s="14" t="inlineStr">
        <is>
          <t>pass</t>
        </is>
      </c>
      <c r="AG93" s="15" t="inlineStr">
        <is>
          <t>not_checked</t>
        </is>
      </c>
      <c r="AH93" s="15" t="inlineStr">
        <is>
          <t>not_checked</t>
        </is>
      </c>
      <c r="AI93" s="15" t="inlineStr">
        <is>
          <t>n.a.</t>
        </is>
      </c>
      <c r="AJ93" s="15" t="inlineStr">
        <is>
          <t>n.a.</t>
        </is>
      </c>
      <c r="AK93" s="4" t="inlineStr">
        <is>
          <t>machine_metadata(warn);persistent_id(warn)</t>
        </is>
      </c>
      <c r="AL93" s="17" t="inlineStr">
        <is>
          <t>https://ec.europa.eu/eurostat/web/degree-of-urbanisation/database</t>
        </is>
      </c>
      <c r="AM93" s="4" t="inlineStr">
        <is>
          <t>eu_eurostat_degree_of_urbanisation</t>
        </is>
      </c>
    </row>
    <row r="94">
      <c r="A94" s="4" t="inlineStr">
        <is>
          <t>e-Stat Statistical GIS (jSTAT MAP; small area and regional mesh statistics; boundary data)</t>
        </is>
      </c>
      <c r="B94" s="19" t="inlineStr">
        <is>
          <t>Silver</t>
        </is>
      </c>
      <c r="C94" s="4" t="n">
        <v>83</v>
      </c>
      <c r="D94" s="4" t="inlineStr">
        <is>
          <t>demographics</t>
        </is>
      </c>
      <c r="E94" s="4" t="inlineStr">
        <is>
          <t>degraded</t>
        </is>
      </c>
      <c r="F94" s="4" t="inlineStr">
        <is>
          <t>attribution</t>
        </is>
      </c>
      <c r="G94" s="4" t="inlineStr">
        <is>
          <t>polygon (小地域 small area); regional mesh mentioned but mesh size not stated</t>
        </is>
      </c>
      <c r="H94" s="4" t="inlineStr">
        <is>
          <t>Needs raster support</t>
        </is>
      </c>
      <c r="I94" s="4" t="n">
        <v>2</v>
      </c>
      <c r="J94" s="4" t="inlineStr"/>
      <c r="K94" s="4" t="inlineStr">
        <is>
          <t>Curated</t>
        </is>
      </c>
      <c r="L94" s="4" t="n">
        <v>2025</v>
      </c>
      <c r="M94" s="4" t="inlineStr">
        <is>
          <t>open</t>
        </is>
      </c>
      <c r="N94" s="4" t="inlineStr">
        <is>
          <t>2026-10-28</t>
        </is>
      </c>
      <c r="O94" s="14" t="inlineStr">
        <is>
          <t>pass</t>
        </is>
      </c>
      <c r="P94" s="14" t="inlineStr">
        <is>
          <t>pass</t>
        </is>
      </c>
      <c r="Q94" s="14" t="inlineStr">
        <is>
          <t>pass</t>
        </is>
      </c>
      <c r="R94" s="16" t="inlineStr">
        <is>
          <t>warn</t>
        </is>
      </c>
      <c r="S94" s="14" t="inlineStr">
        <is>
          <t>pass</t>
        </is>
      </c>
      <c r="T94" s="14" t="inlineStr">
        <is>
          <t>pass</t>
        </is>
      </c>
      <c r="U94" s="14" t="inlineStr">
        <is>
          <t>pass</t>
        </is>
      </c>
      <c r="V94" s="16" t="inlineStr">
        <is>
          <t>warn</t>
        </is>
      </c>
      <c r="W94" s="16" t="inlineStr">
        <is>
          <t>warn</t>
        </is>
      </c>
      <c r="X94" s="14" t="inlineStr">
        <is>
          <t>pass</t>
        </is>
      </c>
      <c r="Y94" s="14" t="inlineStr">
        <is>
          <t>pass</t>
        </is>
      </c>
      <c r="Z94" s="16" t="inlineStr">
        <is>
          <t>warn</t>
        </is>
      </c>
      <c r="AA94" s="14" t="inlineStr">
        <is>
          <t>pass</t>
        </is>
      </c>
      <c r="AB94" s="16" t="inlineStr">
        <is>
          <t>warn</t>
        </is>
      </c>
      <c r="AC94" s="15" t="inlineStr">
        <is>
          <t>not_checked</t>
        </is>
      </c>
      <c r="AD94" s="16" t="inlineStr">
        <is>
          <t>warn</t>
        </is>
      </c>
      <c r="AE94" s="16" t="inlineStr">
        <is>
          <t>warn</t>
        </is>
      </c>
      <c r="AF94" s="14" t="inlineStr">
        <is>
          <t>pass</t>
        </is>
      </c>
      <c r="AG94" s="14" t="inlineStr">
        <is>
          <t>pass</t>
        </is>
      </c>
      <c r="AH94" s="15" t="inlineStr">
        <is>
          <t>not_checked</t>
        </is>
      </c>
      <c r="AI94" s="15" t="inlineStr">
        <is>
          <t>n.a.</t>
        </is>
      </c>
      <c r="AJ94" s="15" t="inlineStr">
        <is>
          <t>n.a.</t>
        </is>
      </c>
      <c r="AK94" s="4" t="inlineStr">
        <is>
          <t>soft404(warn);machine_metadata(warn);persistent_id(warn);temporal(warn);cadence(warn);unit(warn);coverage(warn)</t>
        </is>
      </c>
      <c r="AL94" s="17" t="inlineStr">
        <is>
          <t>https://www.e-stat.go.jp/gis</t>
        </is>
      </c>
      <c r="AM94" s="4" t="inlineStr">
        <is>
          <t>jp_estat_jstat_map</t>
        </is>
      </c>
    </row>
    <row r="95">
      <c r="A95" s="4" t="inlineStr">
        <is>
          <t>IPUMS NHGIS (National Historical Geographic Information System)</t>
        </is>
      </c>
      <c r="B95" s="19" t="inlineStr">
        <is>
          <t>Silver</t>
        </is>
      </c>
      <c r="C95" s="4" t="n">
        <v>82</v>
      </c>
      <c r="D95" s="4" t="inlineStr">
        <is>
          <t>demographics</t>
        </is>
      </c>
      <c r="E95" s="4" t="inlineStr">
        <is>
          <t>degraded</t>
        </is>
      </c>
      <c r="F95" s="4" t="inlineStr">
        <is>
          <t>registration</t>
        </is>
      </c>
      <c r="G95" s="4" t="inlineStr">
        <is>
          <t>block</t>
        </is>
      </c>
      <c r="H95" s="4" t="inlineStr">
        <is>
          <t>Joins today</t>
        </is>
      </c>
      <c r="I95" s="4" t="n">
        <v>2</v>
      </c>
      <c r="J95" s="4" t="inlineStr"/>
      <c r="K95" s="4" t="inlineStr">
        <is>
          <t>Curated</t>
        </is>
      </c>
      <c r="L95" s="4" t="n">
        <v>2026</v>
      </c>
      <c r="M95" s="4" t="inlineStr">
        <is>
          <t>registration</t>
        </is>
      </c>
      <c r="N95" s="4" t="inlineStr">
        <is>
          <t>2026-10-22</t>
        </is>
      </c>
      <c r="O95" s="14" t="inlineStr">
        <is>
          <t>pass</t>
        </is>
      </c>
      <c r="P95" s="14" t="inlineStr">
        <is>
          <t>pass</t>
        </is>
      </c>
      <c r="Q95" s="14" t="inlineStr">
        <is>
          <t>pass</t>
        </is>
      </c>
      <c r="R95" s="14" t="inlineStr">
        <is>
          <t>pass</t>
        </is>
      </c>
      <c r="S95" s="14" t="inlineStr">
        <is>
          <t>pass</t>
        </is>
      </c>
      <c r="T95" s="14" t="inlineStr">
        <is>
          <t>pass</t>
        </is>
      </c>
      <c r="U95" s="14" t="inlineStr">
        <is>
          <t>pass</t>
        </is>
      </c>
      <c r="V95" s="18" t="inlineStr">
        <is>
          <t>fail</t>
        </is>
      </c>
      <c r="W95" s="16" t="inlineStr">
        <is>
          <t>warn</t>
        </is>
      </c>
      <c r="X95" s="14" t="inlineStr">
        <is>
          <t>pass</t>
        </is>
      </c>
      <c r="Y95" s="16" t="inlineStr">
        <is>
          <t>warn</t>
        </is>
      </c>
      <c r="Z95" s="14" t="inlineStr">
        <is>
          <t>pass</t>
        </is>
      </c>
      <c r="AA95" s="14" t="inlineStr">
        <is>
          <t>pass</t>
        </is>
      </c>
      <c r="AB95" s="16" t="inlineStr">
        <is>
          <t>warn</t>
        </is>
      </c>
      <c r="AC95" s="16" t="inlineStr">
        <is>
          <t>warn</t>
        </is>
      </c>
      <c r="AD95" s="14" t="inlineStr">
        <is>
          <t>pass</t>
        </is>
      </c>
      <c r="AE95" s="14" t="inlineStr">
        <is>
          <t>pass</t>
        </is>
      </c>
      <c r="AF95" s="16" t="inlineStr">
        <is>
          <t>warn</t>
        </is>
      </c>
      <c r="AG95" s="15" t="inlineStr">
        <is>
          <t>not_checked</t>
        </is>
      </c>
      <c r="AH95" s="15" t="inlineStr">
        <is>
          <t>not_checked</t>
        </is>
      </c>
      <c r="AI95" s="15" t="inlineStr">
        <is>
          <t>n.a.</t>
        </is>
      </c>
      <c r="AJ95" s="15" t="inlineStr">
        <is>
          <t>n.a.</t>
        </is>
      </c>
      <c r="AK95" s="4" t="inlineStr">
        <is>
          <t>machine_metadata;persistent_id(warn);license(warn);cadence(warn);version(warn);access(warn)</t>
        </is>
      </c>
      <c r="AL95" s="17" t="inlineStr">
        <is>
          <t>https://www.nhgis.org/</t>
        </is>
      </c>
      <c r="AM95" s="4" t="inlineStr">
        <is>
          <t>us_ipums_nhgis</t>
        </is>
      </c>
    </row>
    <row r="96">
      <c r="A96" s="4" t="inlineStr">
        <is>
          <t>Population grids (GEOSTAT 1 km grids and Census 2021 grid)</t>
        </is>
      </c>
      <c r="B96" s="19" t="inlineStr">
        <is>
          <t>Silver</t>
        </is>
      </c>
      <c r="C96" s="4" t="n">
        <v>91</v>
      </c>
      <c r="D96" s="4" t="inlineStr">
        <is>
          <t>demographics</t>
        </is>
      </c>
      <c r="E96" s="4" t="inlineStr">
        <is>
          <t>healthy</t>
        </is>
      </c>
      <c r="F96" s="4" t="inlineStr">
        <is>
          <t>open (Census 2021); non-commercial (GEOSTAT 2006/2011)</t>
        </is>
      </c>
      <c r="G96" s="4" t="inlineStr">
        <is>
          <t>grid_1km (Census 2021 and GEOSTAT); derived JRC 100 m population grid also linked</t>
        </is>
      </c>
      <c r="H96" s="4" t="inlineStr">
        <is>
          <t>Needs raster support</t>
        </is>
      </c>
      <c r="I96" s="4" t="n">
        <v>2</v>
      </c>
      <c r="J96" s="4" t="inlineStr"/>
      <c r="K96" s="4" t="inlineStr">
        <is>
          <t>Curated</t>
        </is>
      </c>
      <c r="L96" s="4" t="n">
        <v>2021</v>
      </c>
      <c r="M96" s="4" t="inlineStr">
        <is>
          <t>open</t>
        </is>
      </c>
      <c r="N96" s="4" t="inlineStr">
        <is>
          <t>2026-10-28</t>
        </is>
      </c>
      <c r="O96" s="14" t="inlineStr">
        <is>
          <t>pass</t>
        </is>
      </c>
      <c r="P96" s="14" t="inlineStr">
        <is>
          <t>pass</t>
        </is>
      </c>
      <c r="Q96" s="14" t="inlineStr">
        <is>
          <t>pass</t>
        </is>
      </c>
      <c r="R96" s="14" t="inlineStr">
        <is>
          <t>pass</t>
        </is>
      </c>
      <c r="S96" s="14" t="inlineStr">
        <is>
          <t>pass</t>
        </is>
      </c>
      <c r="T96" s="15" t="inlineStr">
        <is>
          <t>n.a.</t>
        </is>
      </c>
      <c r="U96" s="15" t="inlineStr">
        <is>
          <t>n.a.</t>
        </is>
      </c>
      <c r="V96" s="16" t="inlineStr">
        <is>
          <t>warn</t>
        </is>
      </c>
      <c r="W96" s="16" t="inlineStr">
        <is>
          <t>warn</t>
        </is>
      </c>
      <c r="X96" s="14" t="inlineStr">
        <is>
          <t>pass</t>
        </is>
      </c>
      <c r="Y96" s="16" t="inlineStr">
        <is>
          <t>warn</t>
        </is>
      </c>
      <c r="Z96" s="14" t="inlineStr">
        <is>
          <t>pass</t>
        </is>
      </c>
      <c r="AA96" s="14" t="inlineStr">
        <is>
          <t>pass</t>
        </is>
      </c>
      <c r="AB96" s="16" t="inlineStr">
        <is>
          <t>warn</t>
        </is>
      </c>
      <c r="AC96" s="14" t="inlineStr">
        <is>
          <t>pass</t>
        </is>
      </c>
      <c r="AD96" s="14" t="inlineStr">
        <is>
          <t>pass</t>
        </is>
      </c>
      <c r="AE96" s="14" t="inlineStr">
        <is>
          <t>pass</t>
        </is>
      </c>
      <c r="AF96" s="14" t="inlineStr">
        <is>
          <t>pass</t>
        </is>
      </c>
      <c r="AG96" s="14" t="inlineStr">
        <is>
          <t>pass</t>
        </is>
      </c>
      <c r="AH96" s="14" t="inlineStr">
        <is>
          <t>pass</t>
        </is>
      </c>
      <c r="AI96" s="15" t="inlineStr">
        <is>
          <t>n.a.</t>
        </is>
      </c>
      <c r="AJ96" s="15" t="inlineStr">
        <is>
          <t>n.a.</t>
        </is>
      </c>
      <c r="AK96" s="4" t="inlineStr">
        <is>
          <t>machine_metadata(warn);persistent_id(warn);license(warn);cadence(warn)</t>
        </is>
      </c>
      <c r="AL96" s="17" t="inlineStr">
        <is>
          <t>https://ec.europa.eu/eurostat/web/gisco/geodata/population-distribution/population-grids</t>
        </is>
      </c>
      <c r="AM96" s="4" t="inlineStr">
        <is>
          <t>eu_eurostat_gisco_population_grids</t>
        </is>
      </c>
    </row>
    <row r="97">
      <c r="A97" s="4" t="inlineStr">
        <is>
          <t>Recensement General de la Population et de l'Habitat 2024 (RGPH 2024)</t>
        </is>
      </c>
      <c r="B97" s="19" t="inlineStr">
        <is>
          <t>Silver</t>
        </is>
      </c>
      <c r="C97" s="4" t="n">
        <v>86</v>
      </c>
      <c r="D97" s="4" t="inlineStr">
        <is>
          <t>demographics</t>
        </is>
      </c>
      <c r="E97" s="4" t="inlineStr">
        <is>
          <t>healthy</t>
        </is>
      </c>
      <c r="F97" s="4" t="inlineStr">
        <is>
          <t>open</t>
        </is>
      </c>
      <c r="G97" s="4" t="inlineStr">
        <is>
          <t>admin3 (commune); urban/rural split</t>
        </is>
      </c>
      <c r="H97" s="4" t="inlineStr">
        <is>
          <t>Joins today</t>
        </is>
      </c>
      <c r="I97" s="4" t="n">
        <v>2</v>
      </c>
      <c r="J97" s="4" t="inlineStr"/>
      <c r="K97" s="4" t="inlineStr">
        <is>
          <t>Curated</t>
        </is>
      </c>
      <c r="L97" s="4" t="n">
        <v>2024</v>
      </c>
      <c r="M97" s="4" t="inlineStr">
        <is>
          <t>open</t>
        </is>
      </c>
      <c r="N97" s="4" t="inlineStr">
        <is>
          <t>2026-10-22</t>
        </is>
      </c>
      <c r="O97" s="14" t="inlineStr">
        <is>
          <t>pass</t>
        </is>
      </c>
      <c r="P97" s="14" t="inlineStr">
        <is>
          <t>pass</t>
        </is>
      </c>
      <c r="Q97" s="14" t="inlineStr">
        <is>
          <t>pass</t>
        </is>
      </c>
      <c r="R97" s="14" t="inlineStr">
        <is>
          <t>pass</t>
        </is>
      </c>
      <c r="S97" s="14" t="inlineStr">
        <is>
          <t>pass</t>
        </is>
      </c>
      <c r="T97" s="14" t="inlineStr">
        <is>
          <t>pass</t>
        </is>
      </c>
      <c r="U97" s="14" t="inlineStr">
        <is>
          <t>pass</t>
        </is>
      </c>
      <c r="V97" s="16" t="inlineStr">
        <is>
          <t>warn</t>
        </is>
      </c>
      <c r="W97" s="16" t="inlineStr">
        <is>
          <t>warn</t>
        </is>
      </c>
      <c r="X97" s="14" t="inlineStr">
        <is>
          <t>pass</t>
        </is>
      </c>
      <c r="Y97" s="14" t="inlineStr">
        <is>
          <t>pass</t>
        </is>
      </c>
      <c r="Z97" s="14" t="inlineStr">
        <is>
          <t>pass</t>
        </is>
      </c>
      <c r="AA97" s="14" t="inlineStr">
        <is>
          <t>pass</t>
        </is>
      </c>
      <c r="AB97" s="16" t="inlineStr">
        <is>
          <t>warn</t>
        </is>
      </c>
      <c r="AC97" s="16" t="inlineStr">
        <is>
          <t>warn</t>
        </is>
      </c>
      <c r="AD97" s="16" t="inlineStr">
        <is>
          <t>warn</t>
        </is>
      </c>
      <c r="AE97" s="14" t="inlineStr">
        <is>
          <t>pass</t>
        </is>
      </c>
      <c r="AF97" s="14" t="inlineStr">
        <is>
          <t>pass</t>
        </is>
      </c>
      <c r="AG97" s="16" t="inlineStr">
        <is>
          <t>warn</t>
        </is>
      </c>
      <c r="AH97" s="16" t="inlineStr">
        <is>
          <t>warn</t>
        </is>
      </c>
      <c r="AI97" s="15" t="inlineStr">
        <is>
          <t>n.a.</t>
        </is>
      </c>
      <c r="AJ97" s="15" t="inlineStr">
        <is>
          <t>n.a.</t>
        </is>
      </c>
      <c r="AK97" s="4" t="inlineStr">
        <is>
          <t>machine_metadata(warn);persistent_id(warn);cadence(warn);version(warn);unit(warn);join_key(warn);format_gaia(warn)</t>
        </is>
      </c>
      <c r="AL97" s="17" t="inlineStr">
        <is>
          <t>https://www.hcp.ma/Population-legale-du-Royaume-du-Maroc-repartie-par-regions-provinces-et-prefectures-et-communes-selon-les-resultats-du_a3974.html</t>
        </is>
      </c>
      <c r="AM97" s="4" t="inlineStr">
        <is>
          <t>ma_hcp_rgph_2024</t>
        </is>
      </c>
    </row>
    <row r="98">
      <c r="A98" s="4" t="inlineStr">
        <is>
          <t>Saudi Census 2022</t>
        </is>
      </c>
      <c r="B98" s="19" t="inlineStr">
        <is>
          <t>Silver</t>
        </is>
      </c>
      <c r="C98" s="4" t="n">
        <v>90</v>
      </c>
      <c r="D98" s="4" t="inlineStr">
        <is>
          <t>demographics</t>
        </is>
      </c>
      <c r="E98" s="4" t="inlineStr">
        <is>
          <t>healthy</t>
        </is>
      </c>
      <c r="F98" s="4" t="inlineStr">
        <is>
          <t>unknown</t>
        </is>
      </c>
      <c r="G98" s="4" t="inlineStr">
        <is>
          <t>postcode_small_area</t>
        </is>
      </c>
      <c r="H98" s="4" t="inlineStr">
        <is>
          <t>Joins today</t>
        </is>
      </c>
      <c r="I98" s="4" t="n">
        <v>2</v>
      </c>
      <c r="J98" s="4" t="inlineStr"/>
      <c r="K98" s="4" t="inlineStr">
        <is>
          <t>Curated</t>
        </is>
      </c>
      <c r="L98" s="4" t="n">
        <v>2022</v>
      </c>
      <c r="M98" s="4" t="inlineStr">
        <is>
          <t>open</t>
        </is>
      </c>
      <c r="N98" s="4" t="inlineStr">
        <is>
          <t>2026-10-22</t>
        </is>
      </c>
      <c r="O98" s="14" t="inlineStr">
        <is>
          <t>pass</t>
        </is>
      </c>
      <c r="P98" s="14" t="inlineStr">
        <is>
          <t>pass</t>
        </is>
      </c>
      <c r="Q98" s="14" t="inlineStr">
        <is>
          <t>pass</t>
        </is>
      </c>
      <c r="R98" s="14" t="inlineStr">
        <is>
          <t>pass</t>
        </is>
      </c>
      <c r="S98" s="14" t="inlineStr">
        <is>
          <t>pass</t>
        </is>
      </c>
      <c r="T98" s="16" t="inlineStr">
        <is>
          <t>warn</t>
        </is>
      </c>
      <c r="U98" s="15" t="inlineStr">
        <is>
          <t>n.a.</t>
        </is>
      </c>
      <c r="V98" s="16" t="inlineStr">
        <is>
          <t>warn</t>
        </is>
      </c>
      <c r="W98" s="16" t="inlineStr">
        <is>
          <t>warn</t>
        </is>
      </c>
      <c r="X98" s="14" t="inlineStr">
        <is>
          <t>pass</t>
        </is>
      </c>
      <c r="Y98" s="15" t="inlineStr">
        <is>
          <t>not_checked</t>
        </is>
      </c>
      <c r="Z98" s="16" t="inlineStr">
        <is>
          <t>warn</t>
        </is>
      </c>
      <c r="AA98" s="14" t="inlineStr">
        <is>
          <t>pass</t>
        </is>
      </c>
      <c r="AB98" s="15" t="inlineStr">
        <is>
          <t>not_checked</t>
        </is>
      </c>
      <c r="AC98" s="15" t="inlineStr">
        <is>
          <t>not_checked</t>
        </is>
      </c>
      <c r="AD98" s="15" t="inlineStr">
        <is>
          <t>not_checked</t>
        </is>
      </c>
      <c r="AE98" s="15" t="inlineStr">
        <is>
          <t>not_checked</t>
        </is>
      </c>
      <c r="AF98" s="15" t="inlineStr">
        <is>
          <t>not_checked</t>
        </is>
      </c>
      <c r="AG98" s="15" t="inlineStr">
        <is>
          <t>not_checked</t>
        </is>
      </c>
      <c r="AH98" s="15" t="inlineStr">
        <is>
          <t>not_checked</t>
        </is>
      </c>
      <c r="AI98" s="15" t="inlineStr">
        <is>
          <t>n.a.</t>
        </is>
      </c>
      <c r="AJ98" s="15" t="inlineStr">
        <is>
          <t>n.a.</t>
        </is>
      </c>
      <c r="AK98" s="4" t="inlineStr">
        <is>
          <t>access_url(warn);machine_metadata(warn);persistent_id(warn);temporal(warn)</t>
        </is>
      </c>
      <c r="AL98" s="17" t="inlineStr">
        <is>
          <t>https://www.stats.gov.sa/en/</t>
        </is>
      </c>
      <c r="AM98" s="4" t="inlineStr">
        <is>
          <t>sa_gastat_census_2022</t>
        </is>
      </c>
    </row>
    <row r="99">
      <c r="A99" s="4" t="inlineStr">
        <is>
          <t>3D Elevation Program (3DEP) elevation products</t>
        </is>
      </c>
      <c r="B99" s="19" t="inlineStr">
        <is>
          <t>Silver</t>
        </is>
      </c>
      <c r="C99" s="4" t="n">
        <v>94</v>
      </c>
      <c r="D99" s="4" t="inlineStr">
        <is>
          <t>environment</t>
        </is>
      </c>
      <c r="E99" s="4" t="inlineStr">
        <is>
          <t>healthy</t>
        </is>
      </c>
      <c r="F99" s="4" t="inlineStr">
        <is>
          <t>open</t>
        </is>
      </c>
      <c r="G99" s="4" t="inlineStr">
        <is>
          <t>grid_1m</t>
        </is>
      </c>
      <c r="H99" s="4" t="inlineStr">
        <is>
          <t>Needs raster support</t>
        </is>
      </c>
      <c r="I99" s="4" t="n">
        <v>3</v>
      </c>
      <c r="J99" s="4" t="inlineStr"/>
      <c r="K99" s="4" t="inlineStr">
        <is>
          <t>Curated</t>
        </is>
      </c>
      <c r="L99" s="4" t="n">
        <v>2026</v>
      </c>
      <c r="M99" s="4" t="inlineStr">
        <is>
          <t>open</t>
        </is>
      </c>
      <c r="N99" s="4" t="inlineStr">
        <is>
          <t>2026-10-22</t>
        </is>
      </c>
      <c r="O99" s="14" t="inlineStr">
        <is>
          <t>pass</t>
        </is>
      </c>
      <c r="P99" s="14" t="inlineStr">
        <is>
          <t>pass</t>
        </is>
      </c>
      <c r="Q99" s="14" t="inlineStr">
        <is>
          <t>pass</t>
        </is>
      </c>
      <c r="R99" s="14" t="inlineStr">
        <is>
          <t>pass</t>
        </is>
      </c>
      <c r="S99" s="14" t="inlineStr">
        <is>
          <t>pass</t>
        </is>
      </c>
      <c r="T99" s="14" t="inlineStr">
        <is>
          <t>pass</t>
        </is>
      </c>
      <c r="U99" s="14" t="inlineStr">
        <is>
          <t>pass</t>
        </is>
      </c>
      <c r="V99" s="16" t="inlineStr">
        <is>
          <t>warn</t>
        </is>
      </c>
      <c r="W99" s="16" t="inlineStr">
        <is>
          <t>warn</t>
        </is>
      </c>
      <c r="X99" s="14" t="inlineStr">
        <is>
          <t>pass</t>
        </is>
      </c>
      <c r="Y99" s="14" t="inlineStr">
        <is>
          <t>pass</t>
        </is>
      </c>
      <c r="Z99" s="16" t="inlineStr">
        <is>
          <t>warn</t>
        </is>
      </c>
      <c r="AA99" s="14" t="inlineStr">
        <is>
          <t>pass</t>
        </is>
      </c>
      <c r="AB99" s="16" t="inlineStr">
        <is>
          <t>warn</t>
        </is>
      </c>
      <c r="AC99" s="16" t="inlineStr">
        <is>
          <t>warn</t>
        </is>
      </c>
      <c r="AD99" s="14" t="inlineStr">
        <is>
          <t>pass</t>
        </is>
      </c>
      <c r="AE99" s="14" t="inlineStr">
        <is>
          <t>pass</t>
        </is>
      </c>
      <c r="AF99" s="14" t="inlineStr">
        <is>
          <t>pass</t>
        </is>
      </c>
      <c r="AG99" s="14" t="inlineStr">
        <is>
          <t>pass</t>
        </is>
      </c>
      <c r="AH99" s="14" t="inlineStr">
        <is>
          <t>pass</t>
        </is>
      </c>
      <c r="AI99" s="15" t="inlineStr">
        <is>
          <t>n.a.</t>
        </is>
      </c>
      <c r="AJ99" s="15" t="inlineStr">
        <is>
          <t>n.a.</t>
        </is>
      </c>
      <c r="AK99" s="4" t="inlineStr">
        <is>
          <t>machine_metadata(warn);persistent_id(warn);temporal(warn);cadence(warn);version(warn)</t>
        </is>
      </c>
      <c r="AL99" s="17" t="inlineStr">
        <is>
          <t>https://www.usgs.gov/3d-elevation-program</t>
        </is>
      </c>
      <c r="AM99" s="4" t="inlineStr">
        <is>
          <t>us_usgs_3dep</t>
        </is>
      </c>
    </row>
    <row r="100">
      <c r="A100" s="4" t="inlineStr">
        <is>
          <t>AirNow API (real-time observations, forecasts, AQI)</t>
        </is>
      </c>
      <c r="B100" s="19" t="inlineStr">
        <is>
          <t>Silver</t>
        </is>
      </c>
      <c r="C100" s="4" t="n">
        <v>83</v>
      </c>
      <c r="D100" s="4" t="inlineStr">
        <is>
          <t>environment</t>
        </is>
      </c>
      <c r="E100" s="4" t="inlineStr">
        <is>
          <t>degraded</t>
        </is>
      </c>
      <c r="F100" s="4" t="inlineStr">
        <is>
          <t>registration</t>
        </is>
      </c>
      <c r="G100" s="4" t="inlineStr">
        <is>
          <t>point</t>
        </is>
      </c>
      <c r="H100" s="4" t="inlineStr">
        <is>
          <t>Needs a count/distance step</t>
        </is>
      </c>
      <c r="I100" s="4" t="n">
        <v>3</v>
      </c>
      <c r="J100" s="4" t="inlineStr"/>
      <c r="K100" s="4" t="inlineStr">
        <is>
          <t>Curated</t>
        </is>
      </c>
      <c r="L100" s="4" t="n">
        <v>2026</v>
      </c>
      <c r="M100" s="4" t="inlineStr">
        <is>
          <t>registration</t>
        </is>
      </c>
      <c r="N100" s="4" t="inlineStr">
        <is>
          <t>2026-10-22</t>
        </is>
      </c>
      <c r="O100" s="14" t="inlineStr">
        <is>
          <t>pass</t>
        </is>
      </c>
      <c r="P100" s="14" t="inlineStr">
        <is>
          <t>pass</t>
        </is>
      </c>
      <c r="Q100" s="14" t="inlineStr">
        <is>
          <t>pass</t>
        </is>
      </c>
      <c r="R100" s="14" t="inlineStr">
        <is>
          <t>pass</t>
        </is>
      </c>
      <c r="S100" s="14" t="inlineStr">
        <is>
          <t>pass</t>
        </is>
      </c>
      <c r="T100" s="14" t="inlineStr">
        <is>
          <t>pass</t>
        </is>
      </c>
      <c r="U100" s="14" t="inlineStr">
        <is>
          <t>pass</t>
        </is>
      </c>
      <c r="V100" s="18" t="inlineStr">
        <is>
          <t>fail</t>
        </is>
      </c>
      <c r="W100" s="16" t="inlineStr">
        <is>
          <t>warn</t>
        </is>
      </c>
      <c r="X100" s="14" t="inlineStr">
        <is>
          <t>pass</t>
        </is>
      </c>
      <c r="Y100" s="16" t="inlineStr">
        <is>
          <t>warn</t>
        </is>
      </c>
      <c r="Z100" s="15" t="inlineStr">
        <is>
          <t>not_checked</t>
        </is>
      </c>
      <c r="AA100" s="14" t="inlineStr">
        <is>
          <t>pass</t>
        </is>
      </c>
      <c r="AB100" s="14" t="inlineStr">
        <is>
          <t>pass</t>
        </is>
      </c>
      <c r="AC100" s="15" t="inlineStr">
        <is>
          <t>not_checked</t>
        </is>
      </c>
      <c r="AD100" s="14" t="inlineStr">
        <is>
          <t>pass</t>
        </is>
      </c>
      <c r="AE100" s="14" t="inlineStr">
        <is>
          <t>pass</t>
        </is>
      </c>
      <c r="AF100" s="16" t="inlineStr">
        <is>
          <t>warn</t>
        </is>
      </c>
      <c r="AG100" s="14" t="inlineStr">
        <is>
          <t>pass</t>
        </is>
      </c>
      <c r="AH100" s="16" t="inlineStr">
        <is>
          <t>warn</t>
        </is>
      </c>
      <c r="AI100" s="15" t="inlineStr">
        <is>
          <t>n.a.</t>
        </is>
      </c>
      <c r="AJ100" s="15" t="inlineStr">
        <is>
          <t>n.a.</t>
        </is>
      </c>
      <c r="AK100" s="4" t="inlineStr">
        <is>
          <t>machine_metadata;persistent_id(warn);license(warn);access(warn);format_gaia(warn)</t>
        </is>
      </c>
      <c r="AL100" s="17" t="inlineStr">
        <is>
          <t>https://docs.airnowapi.org/</t>
        </is>
      </c>
      <c r="AM100" s="4" t="inlineStr">
        <is>
          <t>us_epa_airnow_api</t>
        </is>
      </c>
    </row>
    <row r="101">
      <c r="A101" s="4" t="inlineStr">
        <is>
          <t>AirQo air quality data (API, Nexus, Vertex)</t>
        </is>
      </c>
      <c r="B101" s="19" t="inlineStr">
        <is>
          <t>Silver</t>
        </is>
      </c>
      <c r="C101" s="4" t="n">
        <v>84</v>
      </c>
      <c r="D101" s="4" t="inlineStr">
        <is>
          <t>environment</t>
        </is>
      </c>
      <c r="E101" s="4" t="inlineStr">
        <is>
          <t>healthy</t>
        </is>
      </c>
      <c r="F101" s="4" t="inlineStr">
        <is>
          <t>registration</t>
        </is>
      </c>
      <c r="G101" s="4" t="inlineStr">
        <is>
          <t>point</t>
        </is>
      </c>
      <c r="H101" s="4" t="inlineStr">
        <is>
          <t>Needs a count/distance step</t>
        </is>
      </c>
      <c r="I101" s="4" t="n">
        <v>3</v>
      </c>
      <c r="J101" s="4" t="inlineStr"/>
      <c r="K101" s="4" t="inlineStr">
        <is>
          <t>Curated</t>
        </is>
      </c>
      <c r="L101" s="4" t="n">
        <v>2026</v>
      </c>
      <c r="M101" s="4" t="inlineStr">
        <is>
          <t>registration</t>
        </is>
      </c>
      <c r="N101" s="4" t="inlineStr">
        <is>
          <t>2026-10-22</t>
        </is>
      </c>
      <c r="O101" s="14" t="inlineStr">
        <is>
          <t>pass</t>
        </is>
      </c>
      <c r="P101" s="14" t="inlineStr">
        <is>
          <t>pass</t>
        </is>
      </c>
      <c r="Q101" s="14" t="inlineStr">
        <is>
          <t>pass</t>
        </is>
      </c>
      <c r="R101" s="14" t="inlineStr">
        <is>
          <t>pass</t>
        </is>
      </c>
      <c r="S101" s="14" t="inlineStr">
        <is>
          <t>pass</t>
        </is>
      </c>
      <c r="T101" s="15" t="inlineStr">
        <is>
          <t>n.a.</t>
        </is>
      </c>
      <c r="U101" s="15" t="inlineStr">
        <is>
          <t>n.a.</t>
        </is>
      </c>
      <c r="V101" s="16" t="inlineStr">
        <is>
          <t>warn</t>
        </is>
      </c>
      <c r="W101" s="16" t="inlineStr">
        <is>
          <t>warn</t>
        </is>
      </c>
      <c r="X101" s="14" t="inlineStr">
        <is>
          <t>pass</t>
        </is>
      </c>
      <c r="Y101" s="16" t="inlineStr">
        <is>
          <t>warn</t>
        </is>
      </c>
      <c r="Z101" s="15" t="inlineStr">
        <is>
          <t>not_checked</t>
        </is>
      </c>
      <c r="AA101" s="14" t="inlineStr">
        <is>
          <t>pass</t>
        </is>
      </c>
      <c r="AB101" s="16" t="inlineStr">
        <is>
          <t>warn</t>
        </is>
      </c>
      <c r="AC101" s="15" t="inlineStr">
        <is>
          <t>not_checked</t>
        </is>
      </c>
      <c r="AD101" s="14" t="inlineStr">
        <is>
          <t>pass</t>
        </is>
      </c>
      <c r="AE101" s="16" t="inlineStr">
        <is>
          <t>warn</t>
        </is>
      </c>
      <c r="AF101" s="16" t="inlineStr">
        <is>
          <t>warn</t>
        </is>
      </c>
      <c r="AG101" s="15" t="inlineStr">
        <is>
          <t>not_checked</t>
        </is>
      </c>
      <c r="AH101" s="16" t="inlineStr">
        <is>
          <t>warn</t>
        </is>
      </c>
      <c r="AI101" s="15" t="inlineStr">
        <is>
          <t>n.a.</t>
        </is>
      </c>
      <c r="AJ101" s="15" t="inlineStr">
        <is>
          <t>n.a.</t>
        </is>
      </c>
      <c r="AK101" s="4" t="inlineStr">
        <is>
          <t>machine_metadata(warn);persistent_id(warn);license(warn);cadence(warn);coverage(warn);access(warn);format_gaia(warn)</t>
        </is>
      </c>
      <c r="AL101" s="17" t="inlineStr">
        <is>
          <t>https://airqo.net/</t>
        </is>
      </c>
      <c r="AM101" s="4" t="inlineStr">
        <is>
          <t>ug_makerere_airqo</t>
        </is>
      </c>
    </row>
    <row r="102">
      <c r="A102" s="4" t="inlineStr">
        <is>
          <t>Annual PM2.5 Concentrations for Countries and Urban Areas, v1 (1998 - 2016)</t>
        </is>
      </c>
      <c r="B102" s="19" t="inlineStr">
        <is>
          <t>Silver</t>
        </is>
      </c>
      <c r="C102" s="4" t="n">
        <v>88</v>
      </c>
      <c r="D102" s="4" t="inlineStr">
        <is>
          <t>environment</t>
        </is>
      </c>
      <c r="E102" s="4" t="inlineStr">
        <is>
          <t>healthy</t>
        </is>
      </c>
      <c r="F102" s="4" t="inlineStr">
        <is>
          <t>open</t>
        </is>
      </c>
      <c r="G102" s="4" t="inlineStr">
        <is>
          <t>urban area / country</t>
        </is>
      </c>
      <c r="H102" s="4" t="inlineStr">
        <is>
          <t>Joins today</t>
        </is>
      </c>
      <c r="I102" s="4" t="n">
        <v>3</v>
      </c>
      <c r="J102" s="4" t="inlineStr">
        <is>
          <t>global_pm25_concentration_1998_2016</t>
        </is>
      </c>
      <c r="K102" s="4" t="inlineStr">
        <is>
          <t>Curated</t>
        </is>
      </c>
      <c r="L102" s="4" t="n">
        <v>2016</v>
      </c>
      <c r="M102" s="4" t="inlineStr">
        <is>
          <t>open</t>
        </is>
      </c>
      <c r="N102" s="4" t="inlineStr">
        <is>
          <t>2026-10-28</t>
        </is>
      </c>
      <c r="O102" s="14" t="inlineStr">
        <is>
          <t>pass</t>
        </is>
      </c>
      <c r="P102" s="14" t="inlineStr">
        <is>
          <t>pass</t>
        </is>
      </c>
      <c r="Q102" s="14" t="inlineStr">
        <is>
          <t>pass</t>
        </is>
      </c>
      <c r="R102" s="14" t="inlineStr">
        <is>
          <t>pass</t>
        </is>
      </c>
      <c r="S102" s="14" t="inlineStr">
        <is>
          <t>pass</t>
        </is>
      </c>
      <c r="T102" s="14" t="inlineStr">
        <is>
          <t>pass</t>
        </is>
      </c>
      <c r="U102" s="16" t="inlineStr">
        <is>
          <t>warn</t>
        </is>
      </c>
      <c r="V102" s="15" t="inlineStr">
        <is>
          <t>not_checked</t>
        </is>
      </c>
      <c r="W102" s="14" t="inlineStr">
        <is>
          <t>pass</t>
        </is>
      </c>
      <c r="X102" s="14" t="inlineStr">
        <is>
          <t>pass</t>
        </is>
      </c>
      <c r="Y102" s="14" t="inlineStr">
        <is>
          <t>pass</t>
        </is>
      </c>
      <c r="Z102" s="14" t="inlineStr">
        <is>
          <t>pass</t>
        </is>
      </c>
      <c r="AA102" s="16" t="inlineStr">
        <is>
          <t>warn</t>
        </is>
      </c>
      <c r="AB102" s="15" t="inlineStr">
        <is>
          <t>not_checked</t>
        </is>
      </c>
      <c r="AC102" s="15" t="inlineStr">
        <is>
          <t>not_checked</t>
        </is>
      </c>
      <c r="AD102" s="16" t="inlineStr">
        <is>
          <t>warn</t>
        </is>
      </c>
      <c r="AE102" s="15" t="inlineStr">
        <is>
          <t>not_checked</t>
        </is>
      </c>
      <c r="AF102" s="14" t="inlineStr">
        <is>
          <t>pass</t>
        </is>
      </c>
      <c r="AG102" s="15" t="inlineStr">
        <is>
          <t>not_checked</t>
        </is>
      </c>
      <c r="AH102" s="14" t="inlineStr">
        <is>
          <t>pass</t>
        </is>
      </c>
      <c r="AI102" s="14" t="inlineStr">
        <is>
          <t>pass</t>
        </is>
      </c>
      <c r="AJ102" s="18" t="inlineStr">
        <is>
          <t>fail</t>
        </is>
      </c>
      <c r="AK102" s="4" t="inlineStr">
        <is>
          <t>recipe_health;format_match(warn);recency(warn);unit(warn)</t>
        </is>
      </c>
      <c r="AL102" s="17" t="inlineStr">
        <is>
          <t>https://dataverse.harvard.edu/dataset.xhtml?persistentId=doi:10.7910/DVN/RHIFKL</t>
        </is>
      </c>
      <c r="AM102" s="4" t="inlineStr">
        <is>
          <t>global_sedac_pm25_countries_urban_1998_2016</t>
        </is>
      </c>
    </row>
    <row r="103">
      <c r="A103" s="4" t="inlineStr">
        <is>
          <t>AQUASTAT</t>
        </is>
      </c>
      <c r="B103" s="19" t="inlineStr">
        <is>
          <t>Silver</t>
        </is>
      </c>
      <c r="C103" s="4" t="n">
        <v>92</v>
      </c>
      <c r="D103" s="4" t="inlineStr">
        <is>
          <t>environment</t>
        </is>
      </c>
      <c r="E103" s="4" t="inlineStr">
        <is>
          <t>degraded</t>
        </is>
      </c>
      <c r="F103" s="4" t="inlineStr">
        <is>
          <t>unknown</t>
        </is>
      </c>
      <c r="G103" s="4" t="inlineStr">
        <is>
          <t>country</t>
        </is>
      </c>
      <c r="H103" s="4" t="inlineStr">
        <is>
          <t>Not linkable as listed</t>
        </is>
      </c>
      <c r="I103" s="4" t="n">
        <v>3</v>
      </c>
      <c r="J103" s="4" t="inlineStr"/>
      <c r="K103" s="4" t="inlineStr">
        <is>
          <t>Curated</t>
        </is>
      </c>
      <c r="L103" s="4" t="inlineStr"/>
      <c r="M103" s="4" t="inlineStr">
        <is>
          <t>open</t>
        </is>
      </c>
      <c r="N103" s="4" t="inlineStr">
        <is>
          <t>2026-10-28</t>
        </is>
      </c>
      <c r="O103" s="14" t="inlineStr">
        <is>
          <t>pass</t>
        </is>
      </c>
      <c r="P103" s="14" t="inlineStr">
        <is>
          <t>pass</t>
        </is>
      </c>
      <c r="Q103" s="14" t="inlineStr">
        <is>
          <t>pass</t>
        </is>
      </c>
      <c r="R103" s="14" t="inlineStr">
        <is>
          <t>pass</t>
        </is>
      </c>
      <c r="S103" s="14" t="inlineStr">
        <is>
          <t>pass</t>
        </is>
      </c>
      <c r="T103" s="15" t="inlineStr">
        <is>
          <t>n.a.</t>
        </is>
      </c>
      <c r="U103" s="15" t="inlineStr">
        <is>
          <t>n.a.</t>
        </is>
      </c>
      <c r="V103" s="18" t="inlineStr">
        <is>
          <t>fail</t>
        </is>
      </c>
      <c r="W103" s="16" t="inlineStr">
        <is>
          <t>warn</t>
        </is>
      </c>
      <c r="X103" s="14" t="inlineStr">
        <is>
          <t>pass</t>
        </is>
      </c>
      <c r="Y103" s="15" t="inlineStr">
        <is>
          <t>not_checked</t>
        </is>
      </c>
      <c r="Z103" s="15" t="inlineStr">
        <is>
          <t>not_checked</t>
        </is>
      </c>
      <c r="AA103" s="15" t="inlineStr">
        <is>
          <t>not_checked</t>
        </is>
      </c>
      <c r="AB103" s="15" t="inlineStr">
        <is>
          <t>not_checked</t>
        </is>
      </c>
      <c r="AC103" s="15" t="inlineStr">
        <is>
          <t>not_checked</t>
        </is>
      </c>
      <c r="AD103" s="14" t="inlineStr">
        <is>
          <t>pass</t>
        </is>
      </c>
      <c r="AE103" s="16" t="inlineStr">
        <is>
          <t>warn</t>
        </is>
      </c>
      <c r="AF103" s="15" t="inlineStr">
        <is>
          <t>not_checked</t>
        </is>
      </c>
      <c r="AG103" s="15" t="inlineStr">
        <is>
          <t>not_checked</t>
        </is>
      </c>
      <c r="AH103" s="15" t="inlineStr">
        <is>
          <t>not_checked</t>
        </is>
      </c>
      <c r="AI103" s="15" t="inlineStr">
        <is>
          <t>n.a.</t>
        </is>
      </c>
      <c r="AJ103" s="15" t="inlineStr">
        <is>
          <t>n.a.</t>
        </is>
      </c>
      <c r="AK103" s="4" t="inlineStr">
        <is>
          <t>machine_metadata;persistent_id(warn);coverage(warn)</t>
        </is>
      </c>
      <c r="AL103" s="17" t="inlineStr">
        <is>
          <t>https://www.fao.org/aquastat/en/</t>
        </is>
      </c>
      <c r="AM103" s="4" t="inlineStr">
        <is>
          <t>global_fao_aquastat</t>
        </is>
      </c>
    </row>
    <row r="104">
      <c r="A104" s="4" t="inlineStr">
        <is>
          <t>Bathing Water Directive - Status of bathing water (WISE)</t>
        </is>
      </c>
      <c r="B104" s="19" t="inlineStr">
        <is>
          <t>Silver</t>
        </is>
      </c>
      <c r="C104" s="4" t="n">
        <v>94</v>
      </c>
      <c r="D104" s="4" t="inlineStr">
        <is>
          <t>environment</t>
        </is>
      </c>
      <c r="E104" s="4" t="inlineStr">
        <is>
          <t>degraded</t>
        </is>
      </c>
      <c r="F104" s="4" t="inlineStr">
        <is>
          <t>unknown</t>
        </is>
      </c>
      <c r="G104" s="4" t="inlineStr">
        <is>
          <t>point</t>
        </is>
      </c>
      <c r="H104" s="4" t="inlineStr">
        <is>
          <t>Needs a count/distance step</t>
        </is>
      </c>
      <c r="I104" s="4" t="n">
        <v>3</v>
      </c>
      <c r="J104" s="4" t="inlineStr"/>
      <c r="K104" s="4" t="inlineStr">
        <is>
          <t>Curated</t>
        </is>
      </c>
      <c r="L104" s="4" t="n">
        <v>2025</v>
      </c>
      <c r="M104" s="4" t="inlineStr">
        <is>
          <t>open</t>
        </is>
      </c>
      <c r="N104" s="4" t="inlineStr">
        <is>
          <t>2026-10-22</t>
        </is>
      </c>
      <c r="O104" s="14" t="inlineStr">
        <is>
          <t>pass</t>
        </is>
      </c>
      <c r="P104" s="14" t="inlineStr">
        <is>
          <t>pass</t>
        </is>
      </c>
      <c r="Q104" s="14" t="inlineStr">
        <is>
          <t>pass</t>
        </is>
      </c>
      <c r="R104" s="14" t="inlineStr">
        <is>
          <t>pass</t>
        </is>
      </c>
      <c r="S104" s="14" t="inlineStr">
        <is>
          <t>pass</t>
        </is>
      </c>
      <c r="T104" s="15" t="inlineStr">
        <is>
          <t>n.a.</t>
        </is>
      </c>
      <c r="U104" s="15" t="inlineStr">
        <is>
          <t>n.a.</t>
        </is>
      </c>
      <c r="V104" s="18" t="inlineStr">
        <is>
          <t>fail</t>
        </is>
      </c>
      <c r="W104" s="14" t="inlineStr">
        <is>
          <t>pass</t>
        </is>
      </c>
      <c r="X104" s="14" t="inlineStr">
        <is>
          <t>pass</t>
        </is>
      </c>
      <c r="Y104" s="15" t="inlineStr">
        <is>
          <t>not_checked</t>
        </is>
      </c>
      <c r="Z104" s="14" t="inlineStr">
        <is>
          <t>pass</t>
        </is>
      </c>
      <c r="AA104" s="14" t="inlineStr">
        <is>
          <t>pass</t>
        </is>
      </c>
      <c r="AB104" s="16" t="inlineStr">
        <is>
          <t>warn</t>
        </is>
      </c>
      <c r="AC104" s="14" t="inlineStr">
        <is>
          <t>pass</t>
        </is>
      </c>
      <c r="AD104" s="14" t="inlineStr">
        <is>
          <t>pass</t>
        </is>
      </c>
      <c r="AE104" s="16" t="inlineStr">
        <is>
          <t>warn</t>
        </is>
      </c>
      <c r="AF104" s="14" t="inlineStr">
        <is>
          <t>pass</t>
        </is>
      </c>
      <c r="AG104" s="15" t="inlineStr">
        <is>
          <t>not_checked</t>
        </is>
      </c>
      <c r="AH104" s="16" t="inlineStr">
        <is>
          <t>warn</t>
        </is>
      </c>
      <c r="AI104" s="15" t="inlineStr">
        <is>
          <t>n.a.</t>
        </is>
      </c>
      <c r="AJ104" s="15" t="inlineStr">
        <is>
          <t>n.a.</t>
        </is>
      </c>
      <c r="AK104" s="4" t="inlineStr">
        <is>
          <t>machine_metadata;cadence(warn);coverage(warn);format_gaia(warn)</t>
        </is>
      </c>
      <c r="AL104" s="17" t="inlineStr">
        <is>
          <t>https://www.eea.europa.eu/data-and-maps/data/bathing-water-directive-status-of-bathing-water-10/bathing-water-directive-status/excel-format-zip</t>
        </is>
      </c>
      <c r="AM104" s="4" t="inlineStr">
        <is>
          <t>eu_eea_bathing_water</t>
        </is>
      </c>
    </row>
    <row r="105">
      <c r="A105" s="4" t="inlineStr">
        <is>
          <t>Breathe London</t>
        </is>
      </c>
      <c r="B105" s="19" t="inlineStr">
        <is>
          <t>Silver</t>
        </is>
      </c>
      <c r="C105" s="4" t="n">
        <v>90</v>
      </c>
      <c r="D105" s="4" t="inlineStr">
        <is>
          <t>environment</t>
        </is>
      </c>
      <c r="E105" s="4" t="inlineStr">
        <is>
          <t>healthy</t>
        </is>
      </c>
      <c r="F105" s="4" t="inlineStr">
        <is>
          <t>open</t>
        </is>
      </c>
      <c r="G105" s="4" t="inlineStr">
        <is>
          <t>point</t>
        </is>
      </c>
      <c r="H105" s="4" t="inlineStr">
        <is>
          <t>Needs a count/distance step</t>
        </is>
      </c>
      <c r="I105" s="4" t="n">
        <v>3</v>
      </c>
      <c r="J105" s="4" t="inlineStr"/>
      <c r="K105" s="4" t="inlineStr">
        <is>
          <t>Curated</t>
        </is>
      </c>
      <c r="L105" s="4" t="n">
        <v>2026</v>
      </c>
      <c r="M105" s="4" t="inlineStr">
        <is>
          <t>registration</t>
        </is>
      </c>
      <c r="N105" s="4" t="inlineStr">
        <is>
          <t>2026-10-22</t>
        </is>
      </c>
      <c r="O105" s="14" t="inlineStr">
        <is>
          <t>pass</t>
        </is>
      </c>
      <c r="P105" s="14" t="inlineStr">
        <is>
          <t>pass</t>
        </is>
      </c>
      <c r="Q105" s="14" t="inlineStr">
        <is>
          <t>pass</t>
        </is>
      </c>
      <c r="R105" s="14" t="inlineStr">
        <is>
          <t>pass</t>
        </is>
      </c>
      <c r="S105" s="14" t="inlineStr">
        <is>
          <t>pass</t>
        </is>
      </c>
      <c r="T105" s="15" t="inlineStr">
        <is>
          <t>n.a.</t>
        </is>
      </c>
      <c r="U105" s="15" t="inlineStr">
        <is>
          <t>n.a.</t>
        </is>
      </c>
      <c r="V105" s="16" t="inlineStr">
        <is>
          <t>warn</t>
        </is>
      </c>
      <c r="W105" s="16" t="inlineStr">
        <is>
          <t>warn</t>
        </is>
      </c>
      <c r="X105" s="14" t="inlineStr">
        <is>
          <t>pass</t>
        </is>
      </c>
      <c r="Y105" s="14" t="inlineStr">
        <is>
          <t>pass</t>
        </is>
      </c>
      <c r="Z105" s="16" t="inlineStr">
        <is>
          <t>warn</t>
        </is>
      </c>
      <c r="AA105" s="14" t="inlineStr">
        <is>
          <t>pass</t>
        </is>
      </c>
      <c r="AB105" s="16" t="inlineStr">
        <is>
          <t>warn</t>
        </is>
      </c>
      <c r="AC105" s="15" t="inlineStr">
        <is>
          <t>not_checked</t>
        </is>
      </c>
      <c r="AD105" s="14" t="inlineStr">
        <is>
          <t>pass</t>
        </is>
      </c>
      <c r="AE105" s="14" t="inlineStr">
        <is>
          <t>pass</t>
        </is>
      </c>
      <c r="AF105" s="16" t="inlineStr">
        <is>
          <t>warn</t>
        </is>
      </c>
      <c r="AG105" s="14" t="inlineStr">
        <is>
          <t>pass</t>
        </is>
      </c>
      <c r="AH105" s="16" t="inlineStr">
        <is>
          <t>warn</t>
        </is>
      </c>
      <c r="AI105" s="15" t="inlineStr">
        <is>
          <t>n.a.</t>
        </is>
      </c>
      <c r="AJ105" s="15" t="inlineStr">
        <is>
          <t>n.a.</t>
        </is>
      </c>
      <c r="AK105" s="4" t="inlineStr">
        <is>
          <t>machine_metadata(warn);persistent_id(warn);temporal(warn);cadence(warn);access(warn);format_gaia(warn)</t>
        </is>
      </c>
      <c r="AL105" s="17" t="inlineStr">
        <is>
          <t>https://www.breathelondon.org/</t>
        </is>
      </c>
      <c r="AM105" s="4" t="inlineStr">
        <is>
          <t>gb_breathe_london</t>
        </is>
      </c>
    </row>
    <row r="106">
      <c r="A106" s="4" t="inlineStr">
        <is>
          <t>CACES Land Use Regression (LUR) air pollution estimates (O3, CO, SO2, NO2, PM10, PM2.5, PNC, COA, HOA, BC)</t>
        </is>
      </c>
      <c r="B106" s="19" t="inlineStr">
        <is>
          <t>Silver</t>
        </is>
      </c>
      <c r="C106" s="4" t="n">
        <v>91</v>
      </c>
      <c r="D106" s="4" t="inlineStr">
        <is>
          <t>environment</t>
        </is>
      </c>
      <c r="E106" s="4" t="inlineStr">
        <is>
          <t>healthy</t>
        </is>
      </c>
      <c r="F106" s="4" t="inlineStr">
        <is>
          <t>non-commercial</t>
        </is>
      </c>
      <c r="G106" s="4" t="inlineStr">
        <is>
          <t>block_group</t>
        </is>
      </c>
      <c r="H106" s="4" t="inlineStr">
        <is>
          <t>Joins today</t>
        </is>
      </c>
      <c r="I106" s="4" t="n">
        <v>3</v>
      </c>
      <c r="J106" s="4" t="inlineStr"/>
      <c r="K106" s="4" t="inlineStr">
        <is>
          <t>Curated</t>
        </is>
      </c>
      <c r="L106" s="4" t="n">
        <v>2020</v>
      </c>
      <c r="M106" s="4" t="inlineStr">
        <is>
          <t>open</t>
        </is>
      </c>
      <c r="N106" s="4" t="inlineStr">
        <is>
          <t>2026-10-22</t>
        </is>
      </c>
      <c r="O106" s="14" t="inlineStr">
        <is>
          <t>pass</t>
        </is>
      </c>
      <c r="P106" s="14" t="inlineStr">
        <is>
          <t>pass</t>
        </is>
      </c>
      <c r="Q106" s="14" t="inlineStr">
        <is>
          <t>pass</t>
        </is>
      </c>
      <c r="R106" s="14" t="inlineStr">
        <is>
          <t>pass</t>
        </is>
      </c>
      <c r="S106" s="14" t="inlineStr">
        <is>
          <t>pass</t>
        </is>
      </c>
      <c r="T106" s="14" t="inlineStr">
        <is>
          <t>pass</t>
        </is>
      </c>
      <c r="U106" s="16" t="inlineStr">
        <is>
          <t>warn</t>
        </is>
      </c>
      <c r="V106" s="16" t="inlineStr">
        <is>
          <t>warn</t>
        </is>
      </c>
      <c r="W106" s="14" t="inlineStr">
        <is>
          <t>pass</t>
        </is>
      </c>
      <c r="X106" s="14" t="inlineStr">
        <is>
          <t>pass</t>
        </is>
      </c>
      <c r="Y106" s="16" t="inlineStr">
        <is>
          <t>warn</t>
        </is>
      </c>
      <c r="Z106" s="14" t="inlineStr">
        <is>
          <t>pass</t>
        </is>
      </c>
      <c r="AA106" s="14" t="inlineStr">
        <is>
          <t>pass</t>
        </is>
      </c>
      <c r="AB106" s="15" t="inlineStr">
        <is>
          <t>not_checked</t>
        </is>
      </c>
      <c r="AC106" s="14" t="inlineStr">
        <is>
          <t>pass</t>
        </is>
      </c>
      <c r="AD106" s="14" t="inlineStr">
        <is>
          <t>pass</t>
        </is>
      </c>
      <c r="AE106" s="14" t="inlineStr">
        <is>
          <t>pass</t>
        </is>
      </c>
      <c r="AF106" s="14" t="inlineStr">
        <is>
          <t>pass</t>
        </is>
      </c>
      <c r="AG106" s="14" t="inlineStr">
        <is>
          <t>pass</t>
        </is>
      </c>
      <c r="AH106" s="16" t="inlineStr">
        <is>
          <t>warn</t>
        </is>
      </c>
      <c r="AI106" s="15" t="inlineStr">
        <is>
          <t>n.a.</t>
        </is>
      </c>
      <c r="AJ106" s="15" t="inlineStr">
        <is>
          <t>n.a.</t>
        </is>
      </c>
      <c r="AK106" s="4" t="inlineStr">
        <is>
          <t>format_match(warn);machine_metadata(warn);license(warn);format_gaia(warn)</t>
        </is>
      </c>
      <c r="AL106" s="17" t="inlineStr">
        <is>
          <t>https://www.caces.us/data</t>
        </is>
      </c>
      <c r="AM106" s="4" t="inlineStr">
        <is>
          <t>us_cmu_caces_lur</t>
        </is>
      </c>
    </row>
    <row r="107">
      <c r="A107" s="4" t="inlineStr">
        <is>
          <t>CACES Reduced Complexity Models (AP2, EASIUR, InMAP ISRM)</t>
        </is>
      </c>
      <c r="B107" s="19" t="inlineStr">
        <is>
          <t>Silver</t>
        </is>
      </c>
      <c r="C107" s="4" t="n">
        <v>76</v>
      </c>
      <c r="D107" s="4" t="inlineStr">
        <is>
          <t>environment</t>
        </is>
      </c>
      <c r="E107" s="4" t="inlineStr">
        <is>
          <t>healthy</t>
        </is>
      </c>
      <c r="F107" s="4" t="inlineStr">
        <is>
          <t>non-commercial</t>
        </is>
      </c>
      <c r="G107" s="4" t="inlineStr">
        <is>
          <t>county</t>
        </is>
      </c>
      <c r="H107" s="4" t="inlineStr">
        <is>
          <t>Needs raster support</t>
        </is>
      </c>
      <c r="I107" s="4" t="n">
        <v>3</v>
      </c>
      <c r="J107" s="4" t="inlineStr"/>
      <c r="K107" s="4" t="inlineStr">
        <is>
          <t>Curated</t>
        </is>
      </c>
      <c r="L107" s="4" t="n">
        <v>2014</v>
      </c>
      <c r="M107" s="4" t="inlineStr">
        <is>
          <t>open</t>
        </is>
      </c>
      <c r="N107" s="4" t="inlineStr">
        <is>
          <t>2026-10-22</t>
        </is>
      </c>
      <c r="O107" s="14" t="inlineStr">
        <is>
          <t>pass</t>
        </is>
      </c>
      <c r="P107" s="14" t="inlineStr">
        <is>
          <t>pass</t>
        </is>
      </c>
      <c r="Q107" s="14" t="inlineStr">
        <is>
          <t>pass</t>
        </is>
      </c>
      <c r="R107" s="14" t="inlineStr">
        <is>
          <t>pass</t>
        </is>
      </c>
      <c r="S107" s="14" t="inlineStr">
        <is>
          <t>pass</t>
        </is>
      </c>
      <c r="T107" s="15" t="inlineStr">
        <is>
          <t>n.a.</t>
        </is>
      </c>
      <c r="U107" s="15" t="inlineStr">
        <is>
          <t>n.a.</t>
        </is>
      </c>
      <c r="V107" s="16" t="inlineStr">
        <is>
          <t>warn</t>
        </is>
      </c>
      <c r="W107" s="14" t="inlineStr">
        <is>
          <t>pass</t>
        </is>
      </c>
      <c r="X107" s="14" t="inlineStr">
        <is>
          <t>pass</t>
        </is>
      </c>
      <c r="Y107" s="16" t="inlineStr">
        <is>
          <t>warn</t>
        </is>
      </c>
      <c r="Z107" s="14" t="inlineStr">
        <is>
          <t>pass</t>
        </is>
      </c>
      <c r="AA107" s="16" t="inlineStr">
        <is>
          <t>warn</t>
        </is>
      </c>
      <c r="AB107" s="15" t="inlineStr">
        <is>
          <t>not_checked</t>
        </is>
      </c>
      <c r="AC107" s="15" t="inlineStr">
        <is>
          <t>not_checked</t>
        </is>
      </c>
      <c r="AD107" s="16" t="inlineStr">
        <is>
          <t>warn</t>
        </is>
      </c>
      <c r="AE107" s="14" t="inlineStr">
        <is>
          <t>pass</t>
        </is>
      </c>
      <c r="AF107" s="14" t="inlineStr">
        <is>
          <t>pass</t>
        </is>
      </c>
      <c r="AG107" s="16" t="inlineStr">
        <is>
          <t>warn</t>
        </is>
      </c>
      <c r="AH107" s="15" t="inlineStr">
        <is>
          <t>not_checked</t>
        </is>
      </c>
      <c r="AI107" s="15" t="inlineStr">
        <is>
          <t>n.a.</t>
        </is>
      </c>
      <c r="AJ107" s="15" t="inlineStr">
        <is>
          <t>n.a.</t>
        </is>
      </c>
      <c r="AK107" s="4" t="inlineStr">
        <is>
          <t>machine_metadata(warn);license(warn);recency(warn);unit(warn);join_key(warn)</t>
        </is>
      </c>
      <c r="AL107" s="17" t="inlineStr">
        <is>
          <t>https://www.caces.us/data</t>
        </is>
      </c>
      <c r="AM107" s="4" t="inlineStr">
        <is>
          <t>us_cmu_caces_rcm</t>
        </is>
      </c>
    </row>
    <row r="108">
      <c r="A108" s="4" t="inlineStr">
        <is>
          <t>CAMS European air quality reanalyses</t>
        </is>
      </c>
      <c r="B108" s="19" t="inlineStr">
        <is>
          <t>Silver</t>
        </is>
      </c>
      <c r="C108" s="4" t="n">
        <v>95</v>
      </c>
      <c r="D108" s="4" t="inlineStr">
        <is>
          <t>environment</t>
        </is>
      </c>
      <c r="E108" s="4" t="inlineStr">
        <is>
          <t>healthy</t>
        </is>
      </c>
      <c r="F108" s="4" t="inlineStr">
        <is>
          <t>open</t>
        </is>
      </c>
      <c r="G108" s="4" t="inlineStr">
        <is>
          <t>grid_0.1deg</t>
        </is>
      </c>
      <c r="H108" s="4" t="inlineStr">
        <is>
          <t>Needs raster support</t>
        </is>
      </c>
      <c r="I108" s="4" t="n">
        <v>3</v>
      </c>
      <c r="J108" s="4" t="inlineStr"/>
      <c r="K108" s="4" t="inlineStr">
        <is>
          <t>Curated</t>
        </is>
      </c>
      <c r="L108" s="4" t="n">
        <v>2025</v>
      </c>
      <c r="M108" s="4" t="inlineStr">
        <is>
          <t>registration</t>
        </is>
      </c>
      <c r="N108" s="4" t="inlineStr">
        <is>
          <t>2026-10-22</t>
        </is>
      </c>
      <c r="O108" s="14" t="inlineStr">
        <is>
          <t>pass</t>
        </is>
      </c>
      <c r="P108" s="14" t="inlineStr">
        <is>
          <t>pass</t>
        </is>
      </c>
      <c r="Q108" s="14" t="inlineStr">
        <is>
          <t>pass</t>
        </is>
      </c>
      <c r="R108" s="14" t="inlineStr">
        <is>
          <t>pass</t>
        </is>
      </c>
      <c r="S108" s="14" t="inlineStr">
        <is>
          <t>pass</t>
        </is>
      </c>
      <c r="T108" s="14" t="inlineStr">
        <is>
          <t>pass</t>
        </is>
      </c>
      <c r="U108" s="16" t="inlineStr">
        <is>
          <t>warn</t>
        </is>
      </c>
      <c r="V108" s="14" t="inlineStr">
        <is>
          <t>pass</t>
        </is>
      </c>
      <c r="W108" s="14" t="inlineStr">
        <is>
          <t>pass</t>
        </is>
      </c>
      <c r="X108" s="14" t="inlineStr">
        <is>
          <t>pass</t>
        </is>
      </c>
      <c r="Y108" s="14" t="inlineStr">
        <is>
          <t>pass</t>
        </is>
      </c>
      <c r="Z108" s="14" t="inlineStr">
        <is>
          <t>pass</t>
        </is>
      </c>
      <c r="AA108" s="14" t="inlineStr">
        <is>
          <t>pass</t>
        </is>
      </c>
      <c r="AB108" s="14" t="inlineStr">
        <is>
          <t>pass</t>
        </is>
      </c>
      <c r="AC108" s="16" t="inlineStr">
        <is>
          <t>warn</t>
        </is>
      </c>
      <c r="AD108" s="14" t="inlineStr">
        <is>
          <t>pass</t>
        </is>
      </c>
      <c r="AE108" s="14" t="inlineStr">
        <is>
          <t>pass</t>
        </is>
      </c>
      <c r="AF108" s="16" t="inlineStr">
        <is>
          <t>warn</t>
        </is>
      </c>
      <c r="AG108" s="14" t="inlineStr">
        <is>
          <t>pass</t>
        </is>
      </c>
      <c r="AH108" s="14" t="inlineStr">
        <is>
          <t>pass</t>
        </is>
      </c>
      <c r="AI108" s="15" t="inlineStr">
        <is>
          <t>n.a.</t>
        </is>
      </c>
      <c r="AJ108" s="15" t="inlineStr">
        <is>
          <t>n.a.</t>
        </is>
      </c>
      <c r="AK108" s="4" t="inlineStr">
        <is>
          <t>format_match(warn);version(warn);access(warn)</t>
        </is>
      </c>
      <c r="AL108" s="17" t="inlineStr">
        <is>
          <t>https://ads.atmosphere.copernicus.eu/datasets/cams-europe-air-quality-reanalyses?tab=overview</t>
        </is>
      </c>
      <c r="AM108" s="4" t="inlineStr">
        <is>
          <t>eu_copernicus_cams_european_aq_reanalysis</t>
        </is>
      </c>
    </row>
    <row r="109">
      <c r="A109" s="4" t="inlineStr">
        <is>
          <t>CAMS global reanalysis (EAC4)</t>
        </is>
      </c>
      <c r="B109" s="19" t="inlineStr">
        <is>
          <t>Silver</t>
        </is>
      </c>
      <c r="C109" s="4" t="n">
        <v>95</v>
      </c>
      <c r="D109" s="4" t="inlineStr">
        <is>
          <t>environment</t>
        </is>
      </c>
      <c r="E109" s="4" t="inlineStr">
        <is>
          <t>healthy</t>
        </is>
      </c>
      <c r="F109" s="4" t="inlineStr">
        <is>
          <t>open</t>
        </is>
      </c>
      <c r="G109" s="4" t="inlineStr">
        <is>
          <t>grid_0.75deg</t>
        </is>
      </c>
      <c r="H109" s="4" t="inlineStr">
        <is>
          <t>Needs raster support</t>
        </is>
      </c>
      <c r="I109" s="4" t="n">
        <v>3</v>
      </c>
      <c r="J109" s="4" t="inlineStr"/>
      <c r="K109" s="4" t="inlineStr">
        <is>
          <t>Curated</t>
        </is>
      </c>
      <c r="L109" s="4" t="n">
        <v>2025</v>
      </c>
      <c r="M109" s="4" t="inlineStr">
        <is>
          <t>registration</t>
        </is>
      </c>
      <c r="N109" s="4" t="inlineStr">
        <is>
          <t>2026-10-22</t>
        </is>
      </c>
      <c r="O109" s="14" t="inlineStr">
        <is>
          <t>pass</t>
        </is>
      </c>
      <c r="P109" s="14" t="inlineStr">
        <is>
          <t>pass</t>
        </is>
      </c>
      <c r="Q109" s="14" t="inlineStr">
        <is>
          <t>pass</t>
        </is>
      </c>
      <c r="R109" s="14" t="inlineStr">
        <is>
          <t>pass</t>
        </is>
      </c>
      <c r="S109" s="14" t="inlineStr">
        <is>
          <t>pass</t>
        </is>
      </c>
      <c r="T109" s="14" t="inlineStr">
        <is>
          <t>pass</t>
        </is>
      </c>
      <c r="U109" s="16" t="inlineStr">
        <is>
          <t>warn</t>
        </is>
      </c>
      <c r="V109" s="14" t="inlineStr">
        <is>
          <t>pass</t>
        </is>
      </c>
      <c r="W109" s="14" t="inlineStr">
        <is>
          <t>pass</t>
        </is>
      </c>
      <c r="X109" s="14" t="inlineStr">
        <is>
          <t>pass</t>
        </is>
      </c>
      <c r="Y109" s="14" t="inlineStr">
        <is>
          <t>pass</t>
        </is>
      </c>
      <c r="Z109" s="14" t="inlineStr">
        <is>
          <t>pass</t>
        </is>
      </c>
      <c r="AA109" s="14" t="inlineStr">
        <is>
          <t>pass</t>
        </is>
      </c>
      <c r="AB109" s="14" t="inlineStr">
        <is>
          <t>pass</t>
        </is>
      </c>
      <c r="AC109" s="14" t="inlineStr">
        <is>
          <t>pass</t>
        </is>
      </c>
      <c r="AD109" s="14" t="inlineStr">
        <is>
          <t>pass</t>
        </is>
      </c>
      <c r="AE109" s="14" t="inlineStr">
        <is>
          <t>pass</t>
        </is>
      </c>
      <c r="AF109" s="16" t="inlineStr">
        <is>
          <t>warn</t>
        </is>
      </c>
      <c r="AG109" s="14" t="inlineStr">
        <is>
          <t>pass</t>
        </is>
      </c>
      <c r="AH109" s="14" t="inlineStr">
        <is>
          <t>pass</t>
        </is>
      </c>
      <c r="AI109" s="15" t="inlineStr">
        <is>
          <t>n.a.</t>
        </is>
      </c>
      <c r="AJ109" s="15" t="inlineStr">
        <is>
          <t>n.a.</t>
        </is>
      </c>
      <c r="AK109" s="4" t="inlineStr">
        <is>
          <t>format_match(warn);access(warn)</t>
        </is>
      </c>
      <c r="AL109" s="17" t="inlineStr">
        <is>
          <t>https://ads.atmosphere.copernicus.eu/datasets/cams-global-reanalysis-eac4?tab=overview</t>
        </is>
      </c>
      <c r="AM109" s="4" t="inlineStr">
        <is>
          <t>global_copernicus_cams_eac4</t>
        </is>
      </c>
    </row>
    <row r="110">
      <c r="A110" s="4" t="inlineStr">
        <is>
          <t>Clean Air Markets Program Data (CAMPD) - power plant emissions (CEMS hourly, daily, annual)</t>
        </is>
      </c>
      <c r="B110" s="19" t="inlineStr">
        <is>
          <t>Silver</t>
        </is>
      </c>
      <c r="C110" s="4" t="n">
        <v>90</v>
      </c>
      <c r="D110" s="4" t="inlineStr">
        <is>
          <t>environment</t>
        </is>
      </c>
      <c r="E110" s="4" t="inlineStr">
        <is>
          <t>healthy</t>
        </is>
      </c>
      <c r="F110" s="4" t="inlineStr">
        <is>
          <t>unknown</t>
        </is>
      </c>
      <c r="G110" s="4" t="inlineStr">
        <is>
          <t>point (facility/unit)</t>
        </is>
      </c>
      <c r="H110" s="4" t="inlineStr">
        <is>
          <t>Needs a count/distance step</t>
        </is>
      </c>
      <c r="I110" s="4" t="n">
        <v>3</v>
      </c>
      <c r="J110" s="4" t="inlineStr"/>
      <c r="K110" s="4" t="inlineStr">
        <is>
          <t>Curated</t>
        </is>
      </c>
      <c r="L110" s="4" t="n">
        <v>2026</v>
      </c>
      <c r="M110" s="4" t="inlineStr">
        <is>
          <t>open</t>
        </is>
      </c>
      <c r="N110" s="4" t="inlineStr">
        <is>
          <t>2026-10-28</t>
        </is>
      </c>
      <c r="O110" s="14" t="inlineStr">
        <is>
          <t>pass</t>
        </is>
      </c>
      <c r="P110" s="14" t="inlineStr">
        <is>
          <t>pass</t>
        </is>
      </c>
      <c r="Q110" s="14" t="inlineStr">
        <is>
          <t>pass</t>
        </is>
      </c>
      <c r="R110" s="14" t="inlineStr">
        <is>
          <t>pass</t>
        </is>
      </c>
      <c r="S110" s="14" t="inlineStr">
        <is>
          <t>pass</t>
        </is>
      </c>
      <c r="T110" s="14" t="inlineStr">
        <is>
          <t>pass</t>
        </is>
      </c>
      <c r="U110" s="14" t="inlineStr">
        <is>
          <t>pass</t>
        </is>
      </c>
      <c r="V110" s="16" t="inlineStr">
        <is>
          <t>warn</t>
        </is>
      </c>
      <c r="W110" s="16" t="inlineStr">
        <is>
          <t>warn</t>
        </is>
      </c>
      <c r="X110" s="14" t="inlineStr">
        <is>
          <t>pass</t>
        </is>
      </c>
      <c r="Y110" s="16" t="inlineStr">
        <is>
          <t>warn</t>
        </is>
      </c>
      <c r="Z110" s="14" t="inlineStr">
        <is>
          <t>pass</t>
        </is>
      </c>
      <c r="AA110" s="14" t="inlineStr">
        <is>
          <t>pass</t>
        </is>
      </c>
      <c r="AB110" s="15" t="inlineStr">
        <is>
          <t>not_checked</t>
        </is>
      </c>
      <c r="AC110" s="15" t="inlineStr">
        <is>
          <t>not_checked</t>
        </is>
      </c>
      <c r="AD110" s="14" t="inlineStr">
        <is>
          <t>pass</t>
        </is>
      </c>
      <c r="AE110" s="15" t="inlineStr">
        <is>
          <t>not_checked</t>
        </is>
      </c>
      <c r="AF110" s="14" t="inlineStr">
        <is>
          <t>pass</t>
        </is>
      </c>
      <c r="AG110" s="15" t="inlineStr">
        <is>
          <t>not_checked</t>
        </is>
      </c>
      <c r="AH110" s="14" t="inlineStr">
        <is>
          <t>pass</t>
        </is>
      </c>
      <c r="AI110" s="15" t="inlineStr">
        <is>
          <t>n.a.</t>
        </is>
      </c>
      <c r="AJ110" s="15" t="inlineStr">
        <is>
          <t>n.a.</t>
        </is>
      </c>
      <c r="AK110" s="4" t="inlineStr">
        <is>
          <t>machine_metadata(warn);persistent_id(warn);license(warn)</t>
        </is>
      </c>
      <c r="AL110" s="17" t="inlineStr">
        <is>
          <t>https://campd.epa.gov/</t>
        </is>
      </c>
      <c r="AM110" s="4" t="inlineStr">
        <is>
          <t>us_epa_campd_power_plant_emissions</t>
        </is>
      </c>
    </row>
    <row r="111">
      <c r="A111" s="4" t="inlineStr">
        <is>
          <t>Copernicus DEM - Global and European Digital Elevation Model (GLO-30, GLO-90, EEA-10)</t>
        </is>
      </c>
      <c r="B111" s="19" t="inlineStr">
        <is>
          <t>Silver</t>
        </is>
      </c>
      <c r="C111" s="4" t="n">
        <v>93</v>
      </c>
      <c r="D111" s="4" t="inlineStr">
        <is>
          <t>environment</t>
        </is>
      </c>
      <c r="E111" s="4" t="inlineStr">
        <is>
          <t>degraded</t>
        </is>
      </c>
      <c r="F111" s="4" t="inlineStr">
        <is>
          <t>attribution</t>
        </is>
      </c>
      <c r="G111" s="4" t="inlineStr">
        <is>
          <t>grid_30m</t>
        </is>
      </c>
      <c r="H111" s="4" t="inlineStr">
        <is>
          <t>Needs raster support</t>
        </is>
      </c>
      <c r="I111" s="4" t="n">
        <v>3</v>
      </c>
      <c r="J111" s="4" t="inlineStr"/>
      <c r="K111" s="4" t="inlineStr">
        <is>
          <t>Curated</t>
        </is>
      </c>
      <c r="L111" s="4" t="n">
        <v>2024</v>
      </c>
      <c r="M111" s="4" t="inlineStr">
        <is>
          <t>registration</t>
        </is>
      </c>
      <c r="N111" s="4" t="inlineStr">
        <is>
          <t>2026-10-22</t>
        </is>
      </c>
      <c r="O111" s="14" t="inlineStr">
        <is>
          <t>pass</t>
        </is>
      </c>
      <c r="P111" s="14" t="inlineStr">
        <is>
          <t>pass</t>
        </is>
      </c>
      <c r="Q111" s="14" t="inlineStr">
        <is>
          <t>pass</t>
        </is>
      </c>
      <c r="R111" s="14" t="inlineStr">
        <is>
          <t>pass</t>
        </is>
      </c>
      <c r="S111" s="14" t="inlineStr">
        <is>
          <t>pass</t>
        </is>
      </c>
      <c r="T111" s="18" t="inlineStr">
        <is>
          <t>fail</t>
        </is>
      </c>
      <c r="U111" s="15" t="inlineStr">
        <is>
          <t>n.a.</t>
        </is>
      </c>
      <c r="V111" s="16" t="inlineStr">
        <is>
          <t>warn</t>
        </is>
      </c>
      <c r="W111" s="14" t="inlineStr">
        <is>
          <t>pass</t>
        </is>
      </c>
      <c r="X111" s="14" t="inlineStr">
        <is>
          <t>pass</t>
        </is>
      </c>
      <c r="Y111" s="14" t="inlineStr">
        <is>
          <t>pass</t>
        </is>
      </c>
      <c r="Z111" s="14" t="inlineStr">
        <is>
          <t>pass</t>
        </is>
      </c>
      <c r="AA111" s="14" t="inlineStr">
        <is>
          <t>pass</t>
        </is>
      </c>
      <c r="AB111" s="16" t="inlineStr">
        <is>
          <t>warn</t>
        </is>
      </c>
      <c r="AC111" s="14" t="inlineStr">
        <is>
          <t>pass</t>
        </is>
      </c>
      <c r="AD111" s="14" t="inlineStr">
        <is>
          <t>pass</t>
        </is>
      </c>
      <c r="AE111" s="14" t="inlineStr">
        <is>
          <t>pass</t>
        </is>
      </c>
      <c r="AF111" s="16" t="inlineStr">
        <is>
          <t>warn</t>
        </is>
      </c>
      <c r="AG111" s="14" t="inlineStr">
        <is>
          <t>pass</t>
        </is>
      </c>
      <c r="AH111" s="14" t="inlineStr">
        <is>
          <t>pass</t>
        </is>
      </c>
      <c r="AI111" s="15" t="inlineStr">
        <is>
          <t>n.a.</t>
        </is>
      </c>
      <c r="AJ111" s="15" t="inlineStr">
        <is>
          <t>n.a.</t>
        </is>
      </c>
      <c r="AK111" s="4" t="inlineStr">
        <is>
          <t>access_url;machine_metadata(warn);cadence(warn);access(warn)</t>
        </is>
      </c>
      <c r="AL111" s="17" t="inlineStr">
        <is>
          <t>https://dataspace.copernicus.eu/explore-data/data-collections/copernicus-contributing-missions/collections-description/COP-DEM</t>
        </is>
      </c>
      <c r="AM111" s="4" t="inlineStr">
        <is>
          <t>global_copernicus_dem_glo30_glo90</t>
        </is>
      </c>
    </row>
    <row r="112">
      <c r="A112" s="4" t="inlineStr">
        <is>
          <t>CORINE Land Cover (CLC)</t>
        </is>
      </c>
      <c r="B112" s="19" t="inlineStr">
        <is>
          <t>Silver</t>
        </is>
      </c>
      <c r="C112" s="4" t="n">
        <v>83</v>
      </c>
      <c r="D112" s="4" t="inlineStr">
        <is>
          <t>environment</t>
        </is>
      </c>
      <c r="E112" s="4" t="inlineStr">
        <is>
          <t>degraded</t>
        </is>
      </c>
      <c r="F112" s="4" t="inlineStr">
        <is>
          <t>unknown</t>
        </is>
      </c>
      <c r="G112" s="4" t="inlineStr">
        <is>
          <t>grid_100m</t>
        </is>
      </c>
      <c r="H112" s="4" t="inlineStr">
        <is>
          <t>Needs raster support</t>
        </is>
      </c>
      <c r="I112" s="4" t="n">
        <v>3</v>
      </c>
      <c r="J112" s="4" t="inlineStr"/>
      <c r="K112" s="4" t="inlineStr">
        <is>
          <t>Curated</t>
        </is>
      </c>
      <c r="L112" s="4" t="n">
        <v>2018</v>
      </c>
      <c r="M112" s="4" t="inlineStr">
        <is>
          <t>registration</t>
        </is>
      </c>
      <c r="N112" s="4" t="inlineStr">
        <is>
          <t>2026-10-22</t>
        </is>
      </c>
      <c r="O112" s="14" t="inlineStr">
        <is>
          <t>pass</t>
        </is>
      </c>
      <c r="P112" s="14" t="inlineStr">
        <is>
          <t>pass</t>
        </is>
      </c>
      <c r="Q112" s="14" t="inlineStr">
        <is>
          <t>pass</t>
        </is>
      </c>
      <c r="R112" s="14" t="inlineStr">
        <is>
          <t>pass</t>
        </is>
      </c>
      <c r="S112" s="14" t="inlineStr">
        <is>
          <t>pass</t>
        </is>
      </c>
      <c r="T112" s="18" t="inlineStr">
        <is>
          <t>fail</t>
        </is>
      </c>
      <c r="U112" s="15" t="inlineStr">
        <is>
          <t>n.a.</t>
        </is>
      </c>
      <c r="V112" s="16" t="inlineStr">
        <is>
          <t>warn</t>
        </is>
      </c>
      <c r="W112" s="16" t="inlineStr">
        <is>
          <t>warn</t>
        </is>
      </c>
      <c r="X112" s="14" t="inlineStr">
        <is>
          <t>pass</t>
        </is>
      </c>
      <c r="Y112" s="15" t="inlineStr">
        <is>
          <t>not_checked</t>
        </is>
      </c>
      <c r="Z112" s="16" t="inlineStr">
        <is>
          <t>warn</t>
        </is>
      </c>
      <c r="AA112" s="16" t="inlineStr">
        <is>
          <t>warn</t>
        </is>
      </c>
      <c r="AB112" s="14" t="inlineStr">
        <is>
          <t>pass</t>
        </is>
      </c>
      <c r="AC112" s="15" t="inlineStr">
        <is>
          <t>not_checked</t>
        </is>
      </c>
      <c r="AD112" s="15" t="inlineStr">
        <is>
          <t>not_checked</t>
        </is>
      </c>
      <c r="AE112" s="16" t="inlineStr">
        <is>
          <t>warn</t>
        </is>
      </c>
      <c r="AF112" s="15" t="inlineStr">
        <is>
          <t>not_checked</t>
        </is>
      </c>
      <c r="AG112" s="15" t="inlineStr">
        <is>
          <t>not_checked</t>
        </is>
      </c>
      <c r="AH112" s="15" t="inlineStr">
        <is>
          <t>not_checked</t>
        </is>
      </c>
      <c r="AI112" s="15" t="inlineStr">
        <is>
          <t>n.a.</t>
        </is>
      </c>
      <c r="AJ112" s="15" t="inlineStr">
        <is>
          <t>n.a.</t>
        </is>
      </c>
      <c r="AK112" s="4" t="inlineStr">
        <is>
          <t>access_url;machine_metadata(warn);persistent_id(warn);temporal(warn);recency(warn);coverage(warn)</t>
        </is>
      </c>
      <c r="AL112" s="17" t="inlineStr">
        <is>
          <t>https://land.copernicus.eu/en/products/corine-land-cover</t>
        </is>
      </c>
      <c r="AM112" s="4" t="inlineStr">
        <is>
          <t>eu_copernicus_corine_land_cover</t>
        </is>
      </c>
    </row>
    <row r="113">
      <c r="A113" s="4" t="inlineStr">
        <is>
          <t>Daily 8-Hour Maximum and Annual O3 Concentrations for the Contiguous United States, 1-km Grids, Version 1.10 (2000-2016)</t>
        </is>
      </c>
      <c r="B113" s="19" t="inlineStr">
        <is>
          <t>Silver</t>
        </is>
      </c>
      <c r="C113" s="4" t="n">
        <v>96</v>
      </c>
      <c r="D113" s="4" t="inlineStr">
        <is>
          <t>environment</t>
        </is>
      </c>
      <c r="E113" s="4" t="inlineStr">
        <is>
          <t>healthy</t>
        </is>
      </c>
      <c r="F113" s="4" t="inlineStr">
        <is>
          <t>open</t>
        </is>
      </c>
      <c r="G113" s="4" t="inlineStr">
        <is>
          <t>grid_1km</t>
        </is>
      </c>
      <c r="H113" s="4" t="inlineStr">
        <is>
          <t>Needs raster support</t>
        </is>
      </c>
      <c r="I113" s="4" t="n">
        <v>3</v>
      </c>
      <c r="J113" s="4" t="inlineStr"/>
      <c r="K113" s="4" t="inlineStr">
        <is>
          <t>Curated</t>
        </is>
      </c>
      <c r="L113" s="4" t="n">
        <v>2016</v>
      </c>
      <c r="M113" s="4" t="inlineStr">
        <is>
          <t>registration</t>
        </is>
      </c>
      <c r="N113" s="4" t="inlineStr">
        <is>
          <t>2026-10-22</t>
        </is>
      </c>
      <c r="O113" s="14" t="inlineStr">
        <is>
          <t>pass</t>
        </is>
      </c>
      <c r="P113" s="14" t="inlineStr">
        <is>
          <t>pass</t>
        </is>
      </c>
      <c r="Q113" s="14" t="inlineStr">
        <is>
          <t>pass</t>
        </is>
      </c>
      <c r="R113" s="14" t="inlineStr">
        <is>
          <t>pass</t>
        </is>
      </c>
      <c r="S113" s="14" t="inlineStr">
        <is>
          <t>pass</t>
        </is>
      </c>
      <c r="T113" s="14" t="inlineStr">
        <is>
          <t>pass</t>
        </is>
      </c>
      <c r="U113" s="16" t="inlineStr">
        <is>
          <t>warn</t>
        </is>
      </c>
      <c r="V113" s="14" t="inlineStr">
        <is>
          <t>pass</t>
        </is>
      </c>
      <c r="W113" s="14" t="inlineStr">
        <is>
          <t>pass</t>
        </is>
      </c>
      <c r="X113" s="14" t="inlineStr">
        <is>
          <t>pass</t>
        </is>
      </c>
      <c r="Y113" s="14" t="inlineStr">
        <is>
          <t>pass</t>
        </is>
      </c>
      <c r="Z113" s="14" t="inlineStr">
        <is>
          <t>pass</t>
        </is>
      </c>
      <c r="AA113" s="16" t="inlineStr">
        <is>
          <t>warn</t>
        </is>
      </c>
      <c r="AB113" s="16" t="inlineStr">
        <is>
          <t>warn</t>
        </is>
      </c>
      <c r="AC113" s="14" t="inlineStr">
        <is>
          <t>pass</t>
        </is>
      </c>
      <c r="AD113" s="14" t="inlineStr">
        <is>
          <t>pass</t>
        </is>
      </c>
      <c r="AE113" s="14" t="inlineStr">
        <is>
          <t>pass</t>
        </is>
      </c>
      <c r="AF113" s="15" t="inlineStr">
        <is>
          <t>not_checked</t>
        </is>
      </c>
      <c r="AG113" s="14" t="inlineStr">
        <is>
          <t>pass</t>
        </is>
      </c>
      <c r="AH113" s="14" t="inlineStr">
        <is>
          <t>pass</t>
        </is>
      </c>
      <c r="AI113" s="15" t="inlineStr">
        <is>
          <t>n.a.</t>
        </is>
      </c>
      <c r="AJ113" s="15" t="inlineStr">
        <is>
          <t>n.a.</t>
        </is>
      </c>
      <c r="AK113" s="4" t="inlineStr">
        <is>
          <t>format_match(warn);recency(warn);cadence(warn)</t>
        </is>
      </c>
      <c r="AL113" s="17" t="inlineStr">
        <is>
          <t>https://www.earthdata.nasa.gov/data/catalog/esdis-ciesin-sedac-aqdh-dao3-us-1km-1.10-1.10</t>
        </is>
      </c>
      <c r="AM113" s="4" t="inlineStr">
        <is>
          <t>us_sedac_di_o3_1km</t>
        </is>
      </c>
    </row>
    <row r="114">
      <c r="A114" s="4" t="inlineStr">
        <is>
          <t>Daily and Annual NO2 Concentrations for the Contiguous United States, 1-km Grids, Version 1.10 (2000-2016)</t>
        </is>
      </c>
      <c r="B114" s="19" t="inlineStr">
        <is>
          <t>Silver</t>
        </is>
      </c>
      <c r="C114" s="4" t="n">
        <v>96</v>
      </c>
      <c r="D114" s="4" t="inlineStr">
        <is>
          <t>environment</t>
        </is>
      </c>
      <c r="E114" s="4" t="inlineStr">
        <is>
          <t>healthy</t>
        </is>
      </c>
      <c r="F114" s="4" t="inlineStr">
        <is>
          <t>open</t>
        </is>
      </c>
      <c r="G114" s="4" t="inlineStr">
        <is>
          <t>grid_1km</t>
        </is>
      </c>
      <c r="H114" s="4" t="inlineStr">
        <is>
          <t>Needs raster support</t>
        </is>
      </c>
      <c r="I114" s="4" t="n">
        <v>3</v>
      </c>
      <c r="J114" s="4" t="inlineStr"/>
      <c r="K114" s="4" t="inlineStr">
        <is>
          <t>Curated</t>
        </is>
      </c>
      <c r="L114" s="4" t="n">
        <v>2016</v>
      </c>
      <c r="M114" s="4" t="inlineStr">
        <is>
          <t>registration</t>
        </is>
      </c>
      <c r="N114" s="4" t="inlineStr">
        <is>
          <t>2026-10-22</t>
        </is>
      </c>
      <c r="O114" s="14" t="inlineStr">
        <is>
          <t>pass</t>
        </is>
      </c>
      <c r="P114" s="14" t="inlineStr">
        <is>
          <t>pass</t>
        </is>
      </c>
      <c r="Q114" s="14" t="inlineStr">
        <is>
          <t>pass</t>
        </is>
      </c>
      <c r="R114" s="14" t="inlineStr">
        <is>
          <t>pass</t>
        </is>
      </c>
      <c r="S114" s="14" t="inlineStr">
        <is>
          <t>pass</t>
        </is>
      </c>
      <c r="T114" s="14" t="inlineStr">
        <is>
          <t>pass</t>
        </is>
      </c>
      <c r="U114" s="16" t="inlineStr">
        <is>
          <t>warn</t>
        </is>
      </c>
      <c r="V114" s="14" t="inlineStr">
        <is>
          <t>pass</t>
        </is>
      </c>
      <c r="W114" s="14" t="inlineStr">
        <is>
          <t>pass</t>
        </is>
      </c>
      <c r="X114" s="14" t="inlineStr">
        <is>
          <t>pass</t>
        </is>
      </c>
      <c r="Y114" s="14" t="inlineStr">
        <is>
          <t>pass</t>
        </is>
      </c>
      <c r="Z114" s="14" t="inlineStr">
        <is>
          <t>pass</t>
        </is>
      </c>
      <c r="AA114" s="16" t="inlineStr">
        <is>
          <t>warn</t>
        </is>
      </c>
      <c r="AB114" s="16" t="inlineStr">
        <is>
          <t>warn</t>
        </is>
      </c>
      <c r="AC114" s="14" t="inlineStr">
        <is>
          <t>pass</t>
        </is>
      </c>
      <c r="AD114" s="14" t="inlineStr">
        <is>
          <t>pass</t>
        </is>
      </c>
      <c r="AE114" s="14" t="inlineStr">
        <is>
          <t>pass</t>
        </is>
      </c>
      <c r="AF114" s="15" t="inlineStr">
        <is>
          <t>not_checked</t>
        </is>
      </c>
      <c r="AG114" s="14" t="inlineStr">
        <is>
          <t>pass</t>
        </is>
      </c>
      <c r="AH114" s="14" t="inlineStr">
        <is>
          <t>pass</t>
        </is>
      </c>
      <c r="AI114" s="15" t="inlineStr">
        <is>
          <t>n.a.</t>
        </is>
      </c>
      <c r="AJ114" s="15" t="inlineStr">
        <is>
          <t>n.a.</t>
        </is>
      </c>
      <c r="AK114" s="4" t="inlineStr">
        <is>
          <t>format_match(warn);recency(warn);cadence(warn)</t>
        </is>
      </c>
      <c r="AL114" s="17" t="inlineStr">
        <is>
          <t>https://www.earthdata.nasa.gov/data/catalog/esdis-ciesin-sedac-aqdh-dano2-us-1km-1.10-1.10</t>
        </is>
      </c>
      <c r="AM114" s="4" t="inlineStr">
        <is>
          <t>us_sedac_di_no2_1km</t>
        </is>
      </c>
    </row>
    <row r="115">
      <c r="A115" s="4" t="inlineStr">
        <is>
          <t>Daily and Annual PM2.5 Concentrations for the Contiguous United States, 1-km Grids, Version 1.10 (2000-2016)</t>
        </is>
      </c>
      <c r="B115" s="19" t="inlineStr">
        <is>
          <t>Silver</t>
        </is>
      </c>
      <c r="C115" s="4" t="n">
        <v>96</v>
      </c>
      <c r="D115" s="4" t="inlineStr">
        <is>
          <t>environment</t>
        </is>
      </c>
      <c r="E115" s="4" t="inlineStr">
        <is>
          <t>healthy</t>
        </is>
      </c>
      <c r="F115" s="4" t="inlineStr">
        <is>
          <t>open</t>
        </is>
      </c>
      <c r="G115" s="4" t="inlineStr">
        <is>
          <t>grid_1km</t>
        </is>
      </c>
      <c r="H115" s="4" t="inlineStr">
        <is>
          <t>Needs raster support</t>
        </is>
      </c>
      <c r="I115" s="4" t="n">
        <v>3</v>
      </c>
      <c r="J115" s="4" t="inlineStr"/>
      <c r="K115" s="4" t="inlineStr">
        <is>
          <t>Curated</t>
        </is>
      </c>
      <c r="L115" s="4" t="n">
        <v>2016</v>
      </c>
      <c r="M115" s="4" t="inlineStr">
        <is>
          <t>registration</t>
        </is>
      </c>
      <c r="N115" s="4" t="inlineStr">
        <is>
          <t>2026-10-22</t>
        </is>
      </c>
      <c r="O115" s="14" t="inlineStr">
        <is>
          <t>pass</t>
        </is>
      </c>
      <c r="P115" s="14" t="inlineStr">
        <is>
          <t>pass</t>
        </is>
      </c>
      <c r="Q115" s="14" t="inlineStr">
        <is>
          <t>pass</t>
        </is>
      </c>
      <c r="R115" s="14" t="inlineStr">
        <is>
          <t>pass</t>
        </is>
      </c>
      <c r="S115" s="14" t="inlineStr">
        <is>
          <t>pass</t>
        </is>
      </c>
      <c r="T115" s="14" t="inlineStr">
        <is>
          <t>pass</t>
        </is>
      </c>
      <c r="U115" s="16" t="inlineStr">
        <is>
          <t>warn</t>
        </is>
      </c>
      <c r="V115" s="14" t="inlineStr">
        <is>
          <t>pass</t>
        </is>
      </c>
      <c r="W115" s="14" t="inlineStr">
        <is>
          <t>pass</t>
        </is>
      </c>
      <c r="X115" s="14" t="inlineStr">
        <is>
          <t>pass</t>
        </is>
      </c>
      <c r="Y115" s="14" t="inlineStr">
        <is>
          <t>pass</t>
        </is>
      </c>
      <c r="Z115" s="14" t="inlineStr">
        <is>
          <t>pass</t>
        </is>
      </c>
      <c r="AA115" s="16" t="inlineStr">
        <is>
          <t>warn</t>
        </is>
      </c>
      <c r="AB115" s="16" t="inlineStr">
        <is>
          <t>warn</t>
        </is>
      </c>
      <c r="AC115" s="14" t="inlineStr">
        <is>
          <t>pass</t>
        </is>
      </c>
      <c r="AD115" s="14" t="inlineStr">
        <is>
          <t>pass</t>
        </is>
      </c>
      <c r="AE115" s="14" t="inlineStr">
        <is>
          <t>pass</t>
        </is>
      </c>
      <c r="AF115" s="15" t="inlineStr">
        <is>
          <t>not_checked</t>
        </is>
      </c>
      <c r="AG115" s="14" t="inlineStr">
        <is>
          <t>pass</t>
        </is>
      </c>
      <c r="AH115" s="14" t="inlineStr">
        <is>
          <t>pass</t>
        </is>
      </c>
      <c r="AI115" s="15" t="inlineStr">
        <is>
          <t>n.a.</t>
        </is>
      </c>
      <c r="AJ115" s="15" t="inlineStr">
        <is>
          <t>n.a.</t>
        </is>
      </c>
      <c r="AK115" s="4" t="inlineStr">
        <is>
          <t>format_match(warn);recency(warn);cadence(warn)</t>
        </is>
      </c>
      <c r="AL115" s="17" t="inlineStr">
        <is>
          <t>https://www.earthdata.nasa.gov/data/catalog/esdis-ciesin-sedac-aqdh-dapm25-us-1km-1.10-1.10</t>
        </is>
      </c>
      <c r="AM115" s="4" t="inlineStr">
        <is>
          <t>us_sedac_di_pm25_1km</t>
        </is>
      </c>
    </row>
    <row r="116">
      <c r="A116" s="4" t="inlineStr">
        <is>
          <t>Daily Census Tract-Level Ozone Concentrations (2001-2016 series)</t>
        </is>
      </c>
      <c r="B116" s="19" t="inlineStr">
        <is>
          <t>Silver</t>
        </is>
      </c>
      <c r="C116" s="4" t="n">
        <v>82</v>
      </c>
      <c r="D116" s="4" t="inlineStr">
        <is>
          <t>environment</t>
        </is>
      </c>
      <c r="E116" s="4" t="inlineStr">
        <is>
          <t>healthy</t>
        </is>
      </c>
      <c r="F116" s="4" t="inlineStr">
        <is>
          <t>attribution</t>
        </is>
      </c>
      <c r="G116" s="4" t="inlineStr">
        <is>
          <t>tract</t>
        </is>
      </c>
      <c r="H116" s="4" t="inlineStr">
        <is>
          <t>Joins today</t>
        </is>
      </c>
      <c r="I116" s="4" t="n">
        <v>3</v>
      </c>
      <c r="J116" s="4" t="inlineStr"/>
      <c r="K116" s="4" t="inlineStr">
        <is>
          <t>Curated</t>
        </is>
      </c>
      <c r="L116" s="4" t="n">
        <v>2015</v>
      </c>
      <c r="M116" s="4" t="inlineStr">
        <is>
          <t>open</t>
        </is>
      </c>
      <c r="N116" s="4" t="inlineStr">
        <is>
          <t>2026-10-22</t>
        </is>
      </c>
      <c r="O116" s="14" t="inlineStr">
        <is>
          <t>pass</t>
        </is>
      </c>
      <c r="P116" s="14" t="inlineStr">
        <is>
          <t>pass</t>
        </is>
      </c>
      <c r="Q116" s="14" t="inlineStr">
        <is>
          <t>pass</t>
        </is>
      </c>
      <c r="R116" s="14" t="inlineStr">
        <is>
          <t>pass</t>
        </is>
      </c>
      <c r="S116" s="14" t="inlineStr">
        <is>
          <t>pass</t>
        </is>
      </c>
      <c r="T116" s="14" t="inlineStr">
        <is>
          <t>pass</t>
        </is>
      </c>
      <c r="U116" s="16" t="inlineStr">
        <is>
          <t>warn</t>
        </is>
      </c>
      <c r="V116" s="14" t="inlineStr">
        <is>
          <t>pass</t>
        </is>
      </c>
      <c r="W116" s="16" t="inlineStr">
        <is>
          <t>warn</t>
        </is>
      </c>
      <c r="X116" s="18" t="inlineStr">
        <is>
          <t>fail</t>
        </is>
      </c>
      <c r="Y116" s="16" t="inlineStr">
        <is>
          <t>warn</t>
        </is>
      </c>
      <c r="Z116" s="16" t="inlineStr">
        <is>
          <t>warn</t>
        </is>
      </c>
      <c r="AA116" s="16" t="inlineStr">
        <is>
          <t>warn</t>
        </is>
      </c>
      <c r="AB116" s="15" t="inlineStr">
        <is>
          <t>not_checked</t>
        </is>
      </c>
      <c r="AC116" s="16" t="inlineStr">
        <is>
          <t>warn</t>
        </is>
      </c>
      <c r="AD116" s="14" t="inlineStr">
        <is>
          <t>pass</t>
        </is>
      </c>
      <c r="AE116" s="16" t="inlineStr">
        <is>
          <t>warn</t>
        </is>
      </c>
      <c r="AF116" s="14" t="inlineStr">
        <is>
          <t>pass</t>
        </is>
      </c>
      <c r="AG116" s="16" t="inlineStr">
        <is>
          <t>warn</t>
        </is>
      </c>
      <c r="AH116" s="16" t="inlineStr">
        <is>
          <t>warn</t>
        </is>
      </c>
      <c r="AI116" s="15" t="inlineStr">
        <is>
          <t>n.a.</t>
        </is>
      </c>
      <c r="AJ116" s="15" t="inlineStr">
        <is>
          <t>n.a.</t>
        </is>
      </c>
      <c r="AK116" s="4" t="inlineStr">
        <is>
          <t>archived;format_match(warn);persistent_id(warn);license(warn);temporal(warn);recency(warn);version(warn);coverage(warn);join_key(warn);format_gaia(warn)</t>
        </is>
      </c>
      <c r="AL116" s="17" t="inlineStr">
        <is>
          <t>https://data.amerigeoss.org/dataset/daily-census-tract-level-ozone-concentrations-2011-2015</t>
        </is>
      </c>
      <c r="AM116" s="4" t="inlineStr">
        <is>
          <t>us_cdc_daily_tract_ozone</t>
        </is>
      </c>
    </row>
    <row r="117">
      <c r="A117" s="4" t="inlineStr">
        <is>
          <t>Daily County-Level PM2.5 Concentrations, 2001-2022</t>
        </is>
      </c>
      <c r="B117" s="19" t="inlineStr">
        <is>
          <t>Silver</t>
        </is>
      </c>
      <c r="C117" s="4" t="n">
        <v>100</v>
      </c>
      <c r="D117" s="4" t="inlineStr">
        <is>
          <t>environment</t>
        </is>
      </c>
      <c r="E117" s="4" t="inlineStr">
        <is>
          <t>healthy</t>
        </is>
      </c>
      <c r="F117" s="4" t="inlineStr">
        <is>
          <t>open</t>
        </is>
      </c>
      <c r="G117" s="4" t="inlineStr">
        <is>
          <t>county</t>
        </is>
      </c>
      <c r="H117" s="4" t="inlineStr">
        <is>
          <t>Joins today</t>
        </is>
      </c>
      <c r="I117" s="4" t="n">
        <v>3</v>
      </c>
      <c r="J117" s="4" t="inlineStr">
        <is>
          <t>us_2014_2019_monthly_pm25_by_county_cdc</t>
        </is>
      </c>
      <c r="K117" s="4" t="inlineStr">
        <is>
          <t>Curated</t>
        </is>
      </c>
      <c r="L117" s="4" t="n">
        <v>2022</v>
      </c>
      <c r="M117" s="4" t="inlineStr">
        <is>
          <t>registration</t>
        </is>
      </c>
      <c r="N117" s="4" t="inlineStr">
        <is>
          <t>2026-10-22</t>
        </is>
      </c>
      <c r="O117" s="14" t="inlineStr">
        <is>
          <t>pass</t>
        </is>
      </c>
      <c r="P117" s="14" t="inlineStr">
        <is>
          <t>pass</t>
        </is>
      </c>
      <c r="Q117" s="14" t="inlineStr">
        <is>
          <t>pass</t>
        </is>
      </c>
      <c r="R117" s="14" t="inlineStr">
        <is>
          <t>pass</t>
        </is>
      </c>
      <c r="S117" s="14" t="inlineStr">
        <is>
          <t>pass</t>
        </is>
      </c>
      <c r="T117" s="14" t="inlineStr">
        <is>
          <t>pass</t>
        </is>
      </c>
      <c r="U117" s="14" t="inlineStr">
        <is>
          <t>pass</t>
        </is>
      </c>
      <c r="V117" s="14" t="inlineStr">
        <is>
          <t>pass</t>
        </is>
      </c>
      <c r="W117" s="16" t="inlineStr">
        <is>
          <t>warn</t>
        </is>
      </c>
      <c r="X117" s="18" t="inlineStr">
        <is>
          <t>fail</t>
        </is>
      </c>
      <c r="Y117" s="14" t="inlineStr">
        <is>
          <t>pass</t>
        </is>
      </c>
      <c r="Z117" s="14" t="inlineStr">
        <is>
          <t>pass</t>
        </is>
      </c>
      <c r="AA117" s="14" t="inlineStr">
        <is>
          <t>pass</t>
        </is>
      </c>
      <c r="AB117" s="14" t="inlineStr">
        <is>
          <t>pass</t>
        </is>
      </c>
      <c r="AC117" s="16" t="inlineStr">
        <is>
          <t>warn</t>
        </is>
      </c>
      <c r="AD117" s="14" t="inlineStr">
        <is>
          <t>pass</t>
        </is>
      </c>
      <c r="AE117" s="14" t="inlineStr">
        <is>
          <t>pass</t>
        </is>
      </c>
      <c r="AF117" s="15" t="inlineStr">
        <is>
          <t>not_checked</t>
        </is>
      </c>
      <c r="AG117" s="14" t="inlineStr">
        <is>
          <t>pass</t>
        </is>
      </c>
      <c r="AH117" s="15" t="inlineStr">
        <is>
          <t>not_checked</t>
        </is>
      </c>
      <c r="AI117" s="14" t="inlineStr">
        <is>
          <t>pass</t>
        </is>
      </c>
      <c r="AJ117" s="14" t="inlineStr">
        <is>
          <t>pass</t>
        </is>
      </c>
      <c r="AK117" s="4" t="inlineStr">
        <is>
          <t>archived;persistent_id(warn);version(warn)</t>
        </is>
      </c>
      <c r="AL117" s="17" t="inlineStr">
        <is>
          <t>https://data.cdc.gov/Environmental-Health-Toxicology/Daily-County-Level-PM2-5-Concentrations-2001-2022/53mz-4zqd/about_data</t>
        </is>
      </c>
      <c r="AM117" s="4" t="inlineStr">
        <is>
          <t>us_cdc_daily_county_pm25_2001_2022</t>
        </is>
      </c>
    </row>
    <row r="118">
      <c r="A118" s="4" t="inlineStr">
        <is>
          <t>ESA WorldCover 10 m global land cover (2020 v100, 2021 v200)</t>
        </is>
      </c>
      <c r="B118" s="19" t="inlineStr">
        <is>
          <t>Silver</t>
        </is>
      </c>
      <c r="C118" s="4" t="n">
        <v>91</v>
      </c>
      <c r="D118" s="4" t="inlineStr">
        <is>
          <t>environment</t>
        </is>
      </c>
      <c r="E118" s="4" t="inlineStr">
        <is>
          <t>degraded</t>
        </is>
      </c>
      <c r="F118" s="4" t="inlineStr">
        <is>
          <t>open</t>
        </is>
      </c>
      <c r="G118" s="4" t="inlineStr">
        <is>
          <t>grid_10m</t>
        </is>
      </c>
      <c r="H118" s="4" t="inlineStr">
        <is>
          <t>Needs raster support</t>
        </is>
      </c>
      <c r="I118" s="4" t="n">
        <v>3</v>
      </c>
      <c r="J118" s="4" t="inlineStr"/>
      <c r="K118" s="4" t="inlineStr">
        <is>
          <t>Curated</t>
        </is>
      </c>
      <c r="L118" s="4" t="n">
        <v>2021</v>
      </c>
      <c r="M118" s="4" t="inlineStr">
        <is>
          <t>open</t>
        </is>
      </c>
      <c r="N118" s="4" t="inlineStr">
        <is>
          <t>2026-10-22</t>
        </is>
      </c>
      <c r="O118" s="14" t="inlineStr">
        <is>
          <t>pass</t>
        </is>
      </c>
      <c r="P118" s="14" t="inlineStr">
        <is>
          <t>pass</t>
        </is>
      </c>
      <c r="Q118" s="14" t="inlineStr">
        <is>
          <t>pass</t>
        </is>
      </c>
      <c r="R118" s="16" t="inlineStr">
        <is>
          <t>warn</t>
        </is>
      </c>
      <c r="S118" s="14" t="inlineStr">
        <is>
          <t>pass</t>
        </is>
      </c>
      <c r="T118" s="14" t="inlineStr">
        <is>
          <t>pass</t>
        </is>
      </c>
      <c r="U118" s="16" t="inlineStr">
        <is>
          <t>warn</t>
        </is>
      </c>
      <c r="V118" s="18" t="inlineStr">
        <is>
          <t>fail</t>
        </is>
      </c>
      <c r="W118" s="16" t="inlineStr">
        <is>
          <t>warn</t>
        </is>
      </c>
      <c r="X118" s="14" t="inlineStr">
        <is>
          <t>pass</t>
        </is>
      </c>
      <c r="Y118" s="14" t="inlineStr">
        <is>
          <t>pass</t>
        </is>
      </c>
      <c r="Z118" s="14" t="inlineStr">
        <is>
          <t>pass</t>
        </is>
      </c>
      <c r="AA118" s="14" t="inlineStr">
        <is>
          <t>pass</t>
        </is>
      </c>
      <c r="AB118" s="16" t="inlineStr">
        <is>
          <t>warn</t>
        </is>
      </c>
      <c r="AC118" s="14" t="inlineStr">
        <is>
          <t>pass</t>
        </is>
      </c>
      <c r="AD118" s="14" t="inlineStr">
        <is>
          <t>pass</t>
        </is>
      </c>
      <c r="AE118" s="14" t="inlineStr">
        <is>
          <t>pass</t>
        </is>
      </c>
      <c r="AF118" s="14" t="inlineStr">
        <is>
          <t>pass</t>
        </is>
      </c>
      <c r="AG118" s="14" t="inlineStr">
        <is>
          <t>pass</t>
        </is>
      </c>
      <c r="AH118" s="14" t="inlineStr">
        <is>
          <t>pass</t>
        </is>
      </c>
      <c r="AI118" s="15" t="inlineStr">
        <is>
          <t>n.a.</t>
        </is>
      </c>
      <c r="AJ118" s="15" t="inlineStr">
        <is>
          <t>n.a.</t>
        </is>
      </c>
      <c r="AK118" s="4" t="inlineStr">
        <is>
          <t>machine_metadata;soft404(warn);format_match(warn);persistent_id(warn);cadence(warn)</t>
        </is>
      </c>
      <c r="AL118" s="17" t="inlineStr">
        <is>
          <t>https://esa-worldcover.org/en</t>
        </is>
      </c>
      <c r="AM118" s="4" t="inlineStr">
        <is>
          <t>global_esa_worldcover</t>
        </is>
      </c>
    </row>
    <row r="119">
      <c r="A119" s="4" t="inlineStr">
        <is>
          <t>Exposome Maps / Exposome Data Platform (version 0.5)</t>
        </is>
      </c>
      <c r="B119" s="19" t="inlineStr">
        <is>
          <t>Silver</t>
        </is>
      </c>
      <c r="C119" s="4" t="n">
        <v>84</v>
      </c>
      <c r="D119" s="4" t="inlineStr">
        <is>
          <t>environment</t>
        </is>
      </c>
      <c r="E119" s="4" t="inlineStr">
        <is>
          <t>healthy</t>
        </is>
      </c>
      <c r="F119" s="4" t="inlineStr">
        <is>
          <t>unknown</t>
        </is>
      </c>
      <c r="G119" s="4" t="inlineStr">
        <is>
          <t>grid_</t>
        </is>
      </c>
      <c r="H119" s="4" t="inlineStr">
        <is>
          <t>Needs raster support</t>
        </is>
      </c>
      <c r="I119" s="4" t="n">
        <v>3</v>
      </c>
      <c r="J119" s="4" t="inlineStr"/>
      <c r="K119" s="4" t="inlineStr">
        <is>
          <t>Curated</t>
        </is>
      </c>
      <c r="L119" s="4" t="n">
        <v>2023</v>
      </c>
      <c r="M119" s="4" t="inlineStr">
        <is>
          <t>unknown</t>
        </is>
      </c>
      <c r="N119" s="4" t="inlineStr">
        <is>
          <t>2026-10-22</t>
        </is>
      </c>
      <c r="O119" s="14" t="inlineStr">
        <is>
          <t>pass</t>
        </is>
      </c>
      <c r="P119" s="14" t="inlineStr">
        <is>
          <t>pass</t>
        </is>
      </c>
      <c r="Q119" s="14" t="inlineStr">
        <is>
          <t>pass</t>
        </is>
      </c>
      <c r="R119" s="14" t="inlineStr">
        <is>
          <t>pass</t>
        </is>
      </c>
      <c r="S119" s="14" t="inlineStr">
        <is>
          <t>pass</t>
        </is>
      </c>
      <c r="T119" s="15" t="inlineStr">
        <is>
          <t>n.a.</t>
        </is>
      </c>
      <c r="U119" s="15" t="inlineStr">
        <is>
          <t>n.a.</t>
        </is>
      </c>
      <c r="V119" s="16" t="inlineStr">
        <is>
          <t>warn</t>
        </is>
      </c>
      <c r="W119" s="16" t="inlineStr">
        <is>
          <t>warn</t>
        </is>
      </c>
      <c r="X119" s="14" t="inlineStr">
        <is>
          <t>pass</t>
        </is>
      </c>
      <c r="Y119" s="15" t="inlineStr">
        <is>
          <t>not_checked</t>
        </is>
      </c>
      <c r="Z119" s="16" t="inlineStr">
        <is>
          <t>warn</t>
        </is>
      </c>
      <c r="AA119" s="14" t="inlineStr">
        <is>
          <t>pass</t>
        </is>
      </c>
      <c r="AB119" s="15" t="inlineStr">
        <is>
          <t>not_checked</t>
        </is>
      </c>
      <c r="AC119" s="14" t="inlineStr">
        <is>
          <t>pass</t>
        </is>
      </c>
      <c r="AD119" s="15" t="inlineStr">
        <is>
          <t>not_checked</t>
        </is>
      </c>
      <c r="AE119" s="16" t="inlineStr">
        <is>
          <t>warn</t>
        </is>
      </c>
      <c r="AF119" s="16" t="inlineStr">
        <is>
          <t>warn</t>
        </is>
      </c>
      <c r="AG119" s="15" t="inlineStr">
        <is>
          <t>not_checked</t>
        </is>
      </c>
      <c r="AH119" s="15" t="inlineStr">
        <is>
          <t>not_checked</t>
        </is>
      </c>
      <c r="AI119" s="15" t="inlineStr">
        <is>
          <t>n.a.</t>
        </is>
      </c>
      <c r="AJ119" s="15" t="inlineStr">
        <is>
          <t>n.a.</t>
        </is>
      </c>
      <c r="AK119" s="4" t="inlineStr">
        <is>
          <t>machine_metadata(warn);persistent_id(warn);temporal(warn);coverage(warn);access(warn)</t>
        </is>
      </c>
      <c r="AL119" s="17" t="inlineStr">
        <is>
          <t>https://www.uu.nl/en/research/life-sciences/collaborate/hubs/utrecht-exposome-hub/tools</t>
        </is>
      </c>
      <c r="AM119" s="4" t="inlineStr">
        <is>
          <t>eu_expanse_exposome_maps</t>
        </is>
      </c>
    </row>
    <row r="120">
      <c r="A120" s="4" t="inlineStr">
        <is>
          <t>Fused Air Quality Surfaces Using Downscaling (FAQSD) daily PM2.5 and ozone at census tract centroids</t>
        </is>
      </c>
      <c r="B120" s="19" t="inlineStr">
        <is>
          <t>Silver</t>
        </is>
      </c>
      <c r="C120" s="4" t="n">
        <v>84</v>
      </c>
      <c r="D120" s="4" t="inlineStr">
        <is>
          <t>environment</t>
        </is>
      </c>
      <c r="E120" s="4" t="inlineStr">
        <is>
          <t>healthy</t>
        </is>
      </c>
      <c r="F120" s="4" t="inlineStr">
        <is>
          <t>unknown</t>
        </is>
      </c>
      <c r="G120" s="4" t="inlineStr">
        <is>
          <t>point (2010 US Census tract centroids, 11-digit FIPS); inputs grid_12km (36 km for 2002-2006)</t>
        </is>
      </c>
      <c r="H120" s="4" t="inlineStr">
        <is>
          <t>Needs raster support</t>
        </is>
      </c>
      <c r="I120" s="4" t="n">
        <v>3</v>
      </c>
      <c r="J120" s="4" t="inlineStr"/>
      <c r="K120" s="4" t="inlineStr">
        <is>
          <t>Curated</t>
        </is>
      </c>
      <c r="L120" s="4" t="n">
        <v>2022</v>
      </c>
      <c r="M120" s="4" t="inlineStr">
        <is>
          <t>open</t>
        </is>
      </c>
      <c r="N120" s="4" t="inlineStr">
        <is>
          <t>2026-10-22</t>
        </is>
      </c>
      <c r="O120" s="14" t="inlineStr">
        <is>
          <t>pass</t>
        </is>
      </c>
      <c r="P120" s="14" t="inlineStr">
        <is>
          <t>pass</t>
        </is>
      </c>
      <c r="Q120" s="14" t="inlineStr">
        <is>
          <t>pass</t>
        </is>
      </c>
      <c r="R120" s="14" t="inlineStr">
        <is>
          <t>pass</t>
        </is>
      </c>
      <c r="S120" s="14" t="inlineStr">
        <is>
          <t>pass</t>
        </is>
      </c>
      <c r="T120" s="14" t="inlineStr">
        <is>
          <t>pass</t>
        </is>
      </c>
      <c r="U120" s="16" t="inlineStr">
        <is>
          <t>warn</t>
        </is>
      </c>
      <c r="V120" s="16" t="inlineStr">
        <is>
          <t>warn</t>
        </is>
      </c>
      <c r="W120" s="16" t="inlineStr">
        <is>
          <t>warn</t>
        </is>
      </c>
      <c r="X120" s="14" t="inlineStr">
        <is>
          <t>pass</t>
        </is>
      </c>
      <c r="Y120" s="16" t="inlineStr">
        <is>
          <t>warn</t>
        </is>
      </c>
      <c r="Z120" s="14" t="inlineStr">
        <is>
          <t>pass</t>
        </is>
      </c>
      <c r="AA120" s="14" t="inlineStr">
        <is>
          <t>pass</t>
        </is>
      </c>
      <c r="AB120" s="14" t="inlineStr">
        <is>
          <t>pass</t>
        </is>
      </c>
      <c r="AC120" s="16" t="inlineStr">
        <is>
          <t>warn</t>
        </is>
      </c>
      <c r="AD120" s="16" t="inlineStr">
        <is>
          <t>warn</t>
        </is>
      </c>
      <c r="AE120" s="14" t="inlineStr">
        <is>
          <t>pass</t>
        </is>
      </c>
      <c r="AF120" s="14" t="inlineStr">
        <is>
          <t>pass</t>
        </is>
      </c>
      <c r="AG120" s="14" t="inlineStr">
        <is>
          <t>pass</t>
        </is>
      </c>
      <c r="AH120" s="14" t="inlineStr">
        <is>
          <t>pass</t>
        </is>
      </c>
      <c r="AI120" s="15" t="inlineStr">
        <is>
          <t>n.a.</t>
        </is>
      </c>
      <c r="AJ120" s="15" t="inlineStr">
        <is>
          <t>n.a.</t>
        </is>
      </c>
      <c r="AK120" s="4" t="inlineStr">
        <is>
          <t>format_match(warn);machine_metadata(warn);persistent_id(warn);license(warn);version(warn);unit(warn)</t>
        </is>
      </c>
      <c r="AL120" s="17" t="inlineStr">
        <is>
          <t>https://www.epa.gov/hesc/rsig-related-downloadable-data-files</t>
        </is>
      </c>
      <c r="AM120" s="4" t="inlineStr">
        <is>
          <t>us_epa_faqsd</t>
        </is>
      </c>
    </row>
    <row r="121">
      <c r="A121" s="4" t="inlineStr">
        <is>
          <t>Global Reservoir and Dam Database (GRanD), v1.01 / v1.1 (SEDAC); v1.3 at Global Dam Watch</t>
        </is>
      </c>
      <c r="B121" s="19" t="inlineStr">
        <is>
          <t>Silver</t>
        </is>
      </c>
      <c r="C121" s="4" t="n">
        <v>85</v>
      </c>
      <c r="D121" s="4" t="inlineStr">
        <is>
          <t>environment</t>
        </is>
      </c>
      <c r="E121" s="4" t="inlineStr">
        <is>
          <t>healthy</t>
        </is>
      </c>
      <c r="F121" s="4" t="inlineStr">
        <is>
          <t>open</t>
        </is>
      </c>
      <c r="G121" s="4" t="inlineStr">
        <is>
          <t>polygon</t>
        </is>
      </c>
      <c r="H121" s="4" t="inlineStr">
        <is>
          <t>Needs a count/distance step</t>
        </is>
      </c>
      <c r="I121" s="4" t="n">
        <v>3</v>
      </c>
      <c r="J121" s="4" t="inlineStr"/>
      <c r="K121" s="4" t="inlineStr">
        <is>
          <t>Curated</t>
        </is>
      </c>
      <c r="L121" s="4" t="n">
        <v>2011</v>
      </c>
      <c r="M121" s="4" t="inlineStr">
        <is>
          <t>registration</t>
        </is>
      </c>
      <c r="N121" s="4" t="inlineStr">
        <is>
          <t>2026-10-22</t>
        </is>
      </c>
      <c r="O121" s="14" t="inlineStr">
        <is>
          <t>pass</t>
        </is>
      </c>
      <c r="P121" s="14" t="inlineStr">
        <is>
          <t>pass</t>
        </is>
      </c>
      <c r="Q121" s="14" t="inlineStr">
        <is>
          <t>pass</t>
        </is>
      </c>
      <c r="R121" s="14" t="inlineStr">
        <is>
          <t>pass</t>
        </is>
      </c>
      <c r="S121" s="14" t="inlineStr">
        <is>
          <t>pass</t>
        </is>
      </c>
      <c r="T121" s="14" t="inlineStr">
        <is>
          <t>pass</t>
        </is>
      </c>
      <c r="U121" s="16" t="inlineStr">
        <is>
          <t>warn</t>
        </is>
      </c>
      <c r="V121" s="14" t="inlineStr">
        <is>
          <t>pass</t>
        </is>
      </c>
      <c r="W121" s="14" t="inlineStr">
        <is>
          <t>pass</t>
        </is>
      </c>
      <c r="X121" s="14" t="inlineStr">
        <is>
          <t>pass</t>
        </is>
      </c>
      <c r="Y121" s="14" t="inlineStr">
        <is>
          <t>pass</t>
        </is>
      </c>
      <c r="Z121" s="14" t="inlineStr">
        <is>
          <t>pass</t>
        </is>
      </c>
      <c r="AA121" s="16" t="inlineStr">
        <is>
          <t>warn</t>
        </is>
      </c>
      <c r="AB121" s="16" t="inlineStr">
        <is>
          <t>warn</t>
        </is>
      </c>
      <c r="AC121" s="14" t="inlineStr">
        <is>
          <t>pass</t>
        </is>
      </c>
      <c r="AD121" s="16" t="inlineStr">
        <is>
          <t>warn</t>
        </is>
      </c>
      <c r="AE121" s="14" t="inlineStr">
        <is>
          <t>pass</t>
        </is>
      </c>
      <c r="AF121" s="16" t="inlineStr">
        <is>
          <t>warn</t>
        </is>
      </c>
      <c r="AG121" s="14" t="inlineStr">
        <is>
          <t>pass</t>
        </is>
      </c>
      <c r="AH121" s="14" t="inlineStr">
        <is>
          <t>pass</t>
        </is>
      </c>
      <c r="AI121" s="15" t="inlineStr">
        <is>
          <t>n.a.</t>
        </is>
      </c>
      <c r="AJ121" s="15" t="inlineStr">
        <is>
          <t>n.a.</t>
        </is>
      </c>
      <c r="AK121" s="4" t="inlineStr">
        <is>
          <t>format_match(warn);recency(warn);cadence(warn);unit(warn);access(warn)</t>
        </is>
      </c>
      <c r="AL121" s="17" t="inlineStr">
        <is>
          <t>https://doi.org/10.7927/H4N877QK</t>
        </is>
      </c>
      <c r="AM121" s="4" t="inlineStr">
        <is>
          <t>global_sedac_grand_v1</t>
        </is>
      </c>
    </row>
    <row r="122">
      <c r="A122" s="4" t="inlineStr">
        <is>
          <t>HAQAST Sentinel-5P TROPOMI Nitrogen Dioxide (NO2) CONUS Monthly Level 3 0.01 x 0.01 Degree Gridded Data V2.4</t>
        </is>
      </c>
      <c r="B122" s="19" t="inlineStr">
        <is>
          <t>Silver</t>
        </is>
      </c>
      <c r="C122" s="4" t="n">
        <v>95</v>
      </c>
      <c r="D122" s="4" t="inlineStr">
        <is>
          <t>environment</t>
        </is>
      </c>
      <c r="E122" s="4" t="inlineStr">
        <is>
          <t>healthy</t>
        </is>
      </c>
      <c r="F122" s="4" t="inlineStr">
        <is>
          <t>open</t>
        </is>
      </c>
      <c r="G122" s="4" t="inlineStr">
        <is>
          <t>grid_0.01deg</t>
        </is>
      </c>
      <c r="H122" s="4" t="inlineStr">
        <is>
          <t>Needs raster support</t>
        </is>
      </c>
      <c r="I122" s="4" t="n">
        <v>3</v>
      </c>
      <c r="J122" s="4" t="inlineStr"/>
      <c r="K122" s="4" t="inlineStr">
        <is>
          <t>Curated</t>
        </is>
      </c>
      <c r="L122" s="4" t="n">
        <v>2026</v>
      </c>
      <c r="M122" s="4" t="inlineStr">
        <is>
          <t>unknown</t>
        </is>
      </c>
      <c r="N122" s="4" t="inlineStr">
        <is>
          <t>2026-10-22</t>
        </is>
      </c>
      <c r="O122" s="14" t="inlineStr">
        <is>
          <t>pass</t>
        </is>
      </c>
      <c r="P122" s="14" t="inlineStr">
        <is>
          <t>pass</t>
        </is>
      </c>
      <c r="Q122" s="14" t="inlineStr">
        <is>
          <t>pass</t>
        </is>
      </c>
      <c r="R122" s="14" t="inlineStr">
        <is>
          <t>pass</t>
        </is>
      </c>
      <c r="S122" s="14" t="inlineStr">
        <is>
          <t>pass</t>
        </is>
      </c>
      <c r="T122" s="14" t="inlineStr">
        <is>
          <t>pass</t>
        </is>
      </c>
      <c r="U122" s="16" t="inlineStr">
        <is>
          <t>warn</t>
        </is>
      </c>
      <c r="V122" s="14" t="inlineStr">
        <is>
          <t>pass</t>
        </is>
      </c>
      <c r="W122" s="14" t="inlineStr">
        <is>
          <t>pass</t>
        </is>
      </c>
      <c r="X122" s="14" t="inlineStr">
        <is>
          <t>pass</t>
        </is>
      </c>
      <c r="Y122" s="14" t="inlineStr">
        <is>
          <t>pass</t>
        </is>
      </c>
      <c r="Z122" s="14" t="inlineStr">
        <is>
          <t>pass</t>
        </is>
      </c>
      <c r="AA122" s="14" t="inlineStr">
        <is>
          <t>pass</t>
        </is>
      </c>
      <c r="AB122" s="16" t="inlineStr">
        <is>
          <t>warn</t>
        </is>
      </c>
      <c r="AC122" s="14" t="inlineStr">
        <is>
          <t>pass</t>
        </is>
      </c>
      <c r="AD122" s="14" t="inlineStr">
        <is>
          <t>pass</t>
        </is>
      </c>
      <c r="AE122" s="14" t="inlineStr">
        <is>
          <t>pass</t>
        </is>
      </c>
      <c r="AF122" s="16" t="inlineStr">
        <is>
          <t>warn</t>
        </is>
      </c>
      <c r="AG122" s="14" t="inlineStr">
        <is>
          <t>pass</t>
        </is>
      </c>
      <c r="AH122" s="16" t="inlineStr">
        <is>
          <t>warn</t>
        </is>
      </c>
      <c r="AI122" s="15" t="inlineStr">
        <is>
          <t>n.a.</t>
        </is>
      </c>
      <c r="AJ122" s="15" t="inlineStr">
        <is>
          <t>n.a.</t>
        </is>
      </c>
      <c r="AK122" s="4" t="inlineStr">
        <is>
          <t>format_match(warn);cadence(warn);access(warn);format_gaia(warn)</t>
        </is>
      </c>
      <c r="AL122" s="17" t="inlineStr">
        <is>
          <t>https://www.earthdata.nasa.gov/data/catalog/ges-disc-haq-tropomi-no2-conus-m-l3-2.4</t>
        </is>
      </c>
      <c r="AM122" s="4" t="inlineStr">
        <is>
          <t>us_nasa_haqast_tropomi_no2_conus_monthly</t>
        </is>
      </c>
    </row>
    <row r="123">
      <c r="A123" s="4" t="inlineStr">
        <is>
          <t>HLS Landsat Operational Land Imager Surface Reflectance and TOA Brightness Daily Global 30m v2.0 (HLSL30)</t>
        </is>
      </c>
      <c r="B123" s="19" t="inlineStr">
        <is>
          <t>Silver</t>
        </is>
      </c>
      <c r="C123" s="4" t="n">
        <v>95</v>
      </c>
      <c r="D123" s="4" t="inlineStr">
        <is>
          <t>environment</t>
        </is>
      </c>
      <c r="E123" s="4" t="inlineStr">
        <is>
          <t>healthy</t>
        </is>
      </c>
      <c r="F123" s="4" t="inlineStr">
        <is>
          <t>open</t>
        </is>
      </c>
      <c r="G123" s="4" t="inlineStr">
        <is>
          <t>grid_30m</t>
        </is>
      </c>
      <c r="H123" s="4" t="inlineStr">
        <is>
          <t>Needs raster support</t>
        </is>
      </c>
      <c r="I123" s="4" t="n">
        <v>3</v>
      </c>
      <c r="J123" s="4" t="inlineStr"/>
      <c r="K123" s="4" t="inlineStr">
        <is>
          <t>Curated</t>
        </is>
      </c>
      <c r="L123" s="4" t="n">
        <v>2026</v>
      </c>
      <c r="M123" s="4" t="inlineStr">
        <is>
          <t>unknown</t>
        </is>
      </c>
      <c r="N123" s="4" t="inlineStr">
        <is>
          <t>2026-10-22</t>
        </is>
      </c>
      <c r="O123" s="14" t="inlineStr">
        <is>
          <t>pass</t>
        </is>
      </c>
      <c r="P123" s="14" t="inlineStr">
        <is>
          <t>pass</t>
        </is>
      </c>
      <c r="Q123" s="14" t="inlineStr">
        <is>
          <t>pass</t>
        </is>
      </c>
      <c r="R123" s="14" t="inlineStr">
        <is>
          <t>pass</t>
        </is>
      </c>
      <c r="S123" s="14" t="inlineStr">
        <is>
          <t>pass</t>
        </is>
      </c>
      <c r="T123" s="14" t="inlineStr">
        <is>
          <t>pass</t>
        </is>
      </c>
      <c r="U123" s="14" t="inlineStr">
        <is>
          <t>pass</t>
        </is>
      </c>
      <c r="V123" s="14" t="inlineStr">
        <is>
          <t>pass</t>
        </is>
      </c>
      <c r="W123" s="14" t="inlineStr">
        <is>
          <t>pass</t>
        </is>
      </c>
      <c r="X123" s="14" t="inlineStr">
        <is>
          <t>pass</t>
        </is>
      </c>
      <c r="Y123" s="14" t="inlineStr">
        <is>
          <t>pass</t>
        </is>
      </c>
      <c r="Z123" s="14" t="inlineStr">
        <is>
          <t>pass</t>
        </is>
      </c>
      <c r="AA123" s="14" t="inlineStr">
        <is>
          <t>pass</t>
        </is>
      </c>
      <c r="AB123" s="16" t="inlineStr">
        <is>
          <t>warn</t>
        </is>
      </c>
      <c r="AC123" s="14" t="inlineStr">
        <is>
          <t>pass</t>
        </is>
      </c>
      <c r="AD123" s="14" t="inlineStr">
        <is>
          <t>pass</t>
        </is>
      </c>
      <c r="AE123" s="14" t="inlineStr">
        <is>
          <t>pass</t>
        </is>
      </c>
      <c r="AF123" s="16" t="inlineStr">
        <is>
          <t>warn</t>
        </is>
      </c>
      <c r="AG123" s="14" t="inlineStr">
        <is>
          <t>pass</t>
        </is>
      </c>
      <c r="AH123" s="14" t="inlineStr">
        <is>
          <t>pass</t>
        </is>
      </c>
      <c r="AI123" s="15" t="inlineStr">
        <is>
          <t>n.a.</t>
        </is>
      </c>
      <c r="AJ123" s="15" t="inlineStr">
        <is>
          <t>n.a.</t>
        </is>
      </c>
      <c r="AK123" s="4" t="inlineStr">
        <is>
          <t>cadence(warn);access(warn)</t>
        </is>
      </c>
      <c r="AL123" s="17" t="inlineStr">
        <is>
          <t>https://www.earthdata.nasa.gov/data/catalog/lpcloud-hlsl30-2.0</t>
        </is>
      </c>
      <c r="AM123" s="4" t="inlineStr">
        <is>
          <t>global_nasa_hlsl30_v002</t>
        </is>
      </c>
    </row>
    <row r="124">
      <c r="A124" s="4" t="inlineStr">
        <is>
          <t>HydroSHEDS products: HydroSHEDS core (v1, v2), HydroBASINS, HydroRIVERS, HydroLAKES, HydroATLAS (BasinATLAS/RiverATLAS/LakeATLAS), GLWD v2</t>
        </is>
      </c>
      <c r="B124" s="19" t="inlineStr">
        <is>
          <t>Silver</t>
        </is>
      </c>
      <c r="C124" s="4" t="n">
        <v>95</v>
      </c>
      <c r="D124" s="4" t="inlineStr">
        <is>
          <t>environment</t>
        </is>
      </c>
      <c r="E124" s="4" t="inlineStr">
        <is>
          <t>degraded</t>
        </is>
      </c>
      <c r="F124" s="4" t="inlineStr">
        <is>
          <t>open</t>
        </is>
      </c>
      <c r="G124" s="4" t="inlineStr">
        <is>
          <t>grid_3arcsec</t>
        </is>
      </c>
      <c r="H124" s="4" t="inlineStr">
        <is>
          <t>Needs raster support</t>
        </is>
      </c>
      <c r="I124" s="4" t="n">
        <v>3</v>
      </c>
      <c r="J124" s="4" t="inlineStr"/>
      <c r="K124" s="4" t="inlineStr">
        <is>
          <t>Curated</t>
        </is>
      </c>
      <c r="L124" s="4" t="n">
        <v>2024</v>
      </c>
      <c r="M124" s="4" t="inlineStr">
        <is>
          <t>open</t>
        </is>
      </c>
      <c r="N124" s="4" t="inlineStr">
        <is>
          <t>2026-10-22</t>
        </is>
      </c>
      <c r="O124" s="14" t="inlineStr">
        <is>
          <t>pass</t>
        </is>
      </c>
      <c r="P124" s="14" t="inlineStr">
        <is>
          <t>pass</t>
        </is>
      </c>
      <c r="Q124" s="14" t="inlineStr">
        <is>
          <t>pass</t>
        </is>
      </c>
      <c r="R124" s="14" t="inlineStr">
        <is>
          <t>pass</t>
        </is>
      </c>
      <c r="S124" s="14" t="inlineStr">
        <is>
          <t>pass</t>
        </is>
      </c>
      <c r="T124" s="18" t="inlineStr">
        <is>
          <t>fail</t>
        </is>
      </c>
      <c r="U124" s="15" t="inlineStr">
        <is>
          <t>n.a.</t>
        </is>
      </c>
      <c r="V124" s="14" t="inlineStr">
        <is>
          <t>pass</t>
        </is>
      </c>
      <c r="W124" s="16" t="inlineStr">
        <is>
          <t>warn</t>
        </is>
      </c>
      <c r="X124" s="14" t="inlineStr">
        <is>
          <t>pass</t>
        </is>
      </c>
      <c r="Y124" s="14" t="inlineStr">
        <is>
          <t>pass</t>
        </is>
      </c>
      <c r="Z124" s="15" t="inlineStr">
        <is>
          <t>not_checked</t>
        </is>
      </c>
      <c r="AA124" s="15" t="inlineStr">
        <is>
          <t>not_checked</t>
        </is>
      </c>
      <c r="AB124" s="16" t="inlineStr">
        <is>
          <t>warn</t>
        </is>
      </c>
      <c r="AC124" s="14" t="inlineStr">
        <is>
          <t>pass</t>
        </is>
      </c>
      <c r="AD124" s="14" t="inlineStr">
        <is>
          <t>pass</t>
        </is>
      </c>
      <c r="AE124" s="16" t="inlineStr">
        <is>
          <t>warn</t>
        </is>
      </c>
      <c r="AF124" s="14" t="inlineStr">
        <is>
          <t>pass</t>
        </is>
      </c>
      <c r="AG124" s="16" t="inlineStr">
        <is>
          <t>warn</t>
        </is>
      </c>
      <c r="AH124" s="15" t="inlineStr">
        <is>
          <t>not_checked</t>
        </is>
      </c>
      <c r="AI124" s="15" t="inlineStr">
        <is>
          <t>n.a.</t>
        </is>
      </c>
      <c r="AJ124" s="15" t="inlineStr">
        <is>
          <t>n.a.</t>
        </is>
      </c>
      <c r="AK124" s="4" t="inlineStr">
        <is>
          <t>access_url;persistent_id(warn);cadence(warn);coverage(warn);join_key(warn)</t>
        </is>
      </c>
      <c r="AL124" s="17" t="inlineStr">
        <is>
          <t>https://www.hydrosheds.org/products</t>
        </is>
      </c>
      <c r="AM124" s="4" t="inlineStr">
        <is>
          <t>global_hydrosheds</t>
        </is>
      </c>
    </row>
    <row r="125">
      <c r="A125" s="4" t="inlineStr">
        <is>
          <t>Landsat Collection 2 (Level-1; Level-2 Surface Reflectance and Surface Temperature; U.S. ARD)</t>
        </is>
      </c>
      <c r="B125" s="19" t="inlineStr">
        <is>
          <t>Silver</t>
        </is>
      </c>
      <c r="C125" s="4" t="n">
        <v>92</v>
      </c>
      <c r="D125" s="4" t="inlineStr">
        <is>
          <t>environment</t>
        </is>
      </c>
      <c r="E125" s="4" t="inlineStr">
        <is>
          <t>degraded</t>
        </is>
      </c>
      <c r="F125" s="4" t="inlineStr">
        <is>
          <t>open</t>
        </is>
      </c>
      <c r="G125" s="4" t="inlineStr">
        <is>
          <t>grid_30m</t>
        </is>
      </c>
      <c r="H125" s="4" t="inlineStr">
        <is>
          <t>Needs raster support</t>
        </is>
      </c>
      <c r="I125" s="4" t="n">
        <v>3</v>
      </c>
      <c r="J125" s="4" t="inlineStr"/>
      <c r="K125" s="4" t="inlineStr">
        <is>
          <t>Curated</t>
        </is>
      </c>
      <c r="L125" s="4" t="n">
        <v>2026</v>
      </c>
      <c r="M125" s="4" t="inlineStr">
        <is>
          <t>unknown</t>
        </is>
      </c>
      <c r="N125" s="4" t="inlineStr">
        <is>
          <t>2026-10-22</t>
        </is>
      </c>
      <c r="O125" s="14" t="inlineStr">
        <is>
          <t>pass</t>
        </is>
      </c>
      <c r="P125" s="14" t="inlineStr">
        <is>
          <t>pass</t>
        </is>
      </c>
      <c r="Q125" s="14" t="inlineStr">
        <is>
          <t>pass</t>
        </is>
      </c>
      <c r="R125" s="14" t="inlineStr">
        <is>
          <t>pass</t>
        </is>
      </c>
      <c r="S125" s="14" t="inlineStr">
        <is>
          <t>pass</t>
        </is>
      </c>
      <c r="T125" s="18" t="inlineStr">
        <is>
          <t>fail</t>
        </is>
      </c>
      <c r="U125" s="15" t="inlineStr">
        <is>
          <t>n.a.</t>
        </is>
      </c>
      <c r="V125" s="16" t="inlineStr">
        <is>
          <t>warn</t>
        </is>
      </c>
      <c r="W125" s="14" t="inlineStr">
        <is>
          <t>pass</t>
        </is>
      </c>
      <c r="X125" s="14" t="inlineStr">
        <is>
          <t>pass</t>
        </is>
      </c>
      <c r="Y125" s="14" t="inlineStr">
        <is>
          <t>pass</t>
        </is>
      </c>
      <c r="Z125" s="14" t="inlineStr">
        <is>
          <t>pass</t>
        </is>
      </c>
      <c r="AA125" s="14" t="inlineStr">
        <is>
          <t>pass</t>
        </is>
      </c>
      <c r="AB125" s="14" t="inlineStr">
        <is>
          <t>pass</t>
        </is>
      </c>
      <c r="AC125" s="14" t="inlineStr">
        <is>
          <t>pass</t>
        </is>
      </c>
      <c r="AD125" s="15" t="inlineStr">
        <is>
          <t>not_checked</t>
        </is>
      </c>
      <c r="AE125" s="14" t="inlineStr">
        <is>
          <t>pass</t>
        </is>
      </c>
      <c r="AF125" s="16" t="inlineStr">
        <is>
          <t>warn</t>
        </is>
      </c>
      <c r="AG125" s="14" t="inlineStr">
        <is>
          <t>pass</t>
        </is>
      </c>
      <c r="AH125" s="14" t="inlineStr">
        <is>
          <t>pass</t>
        </is>
      </c>
      <c r="AI125" s="15" t="inlineStr">
        <is>
          <t>n.a.</t>
        </is>
      </c>
      <c r="AJ125" s="15" t="inlineStr">
        <is>
          <t>n.a.</t>
        </is>
      </c>
      <c r="AK125" s="4" t="inlineStr">
        <is>
          <t>access_url;machine_metadata(warn);access(warn)</t>
        </is>
      </c>
      <c r="AL125" s="17" t="inlineStr">
        <is>
          <t>https://www.usgs.gov/landsat-missions/landsat-collection-2</t>
        </is>
      </c>
      <c r="AM125" s="4" t="inlineStr">
        <is>
          <t>global_usgs_landsat_collection2</t>
        </is>
      </c>
    </row>
    <row r="126">
      <c r="A126" s="4" t="inlineStr">
        <is>
          <t>MODIS/Terra Land Surface Temperature/Emissivity 8-Day L3 Global 1km SIN Grid V061 (MOD11A2)</t>
        </is>
      </c>
      <c r="B126" s="19" t="inlineStr">
        <is>
          <t>Silver</t>
        </is>
      </c>
      <c r="C126" s="4" t="n">
        <v>100</v>
      </c>
      <c r="D126" s="4" t="inlineStr">
        <is>
          <t>environment</t>
        </is>
      </c>
      <c r="E126" s="4" t="inlineStr">
        <is>
          <t>healthy</t>
        </is>
      </c>
      <c r="F126" s="4" t="inlineStr">
        <is>
          <t>open</t>
        </is>
      </c>
      <c r="G126" s="4" t="inlineStr">
        <is>
          <t>grid_1km</t>
        </is>
      </c>
      <c r="H126" s="4" t="inlineStr">
        <is>
          <t>Needs raster support</t>
        </is>
      </c>
      <c r="I126" s="4" t="n">
        <v>3</v>
      </c>
      <c r="J126" s="4" t="inlineStr"/>
      <c r="K126" s="4" t="inlineStr">
        <is>
          <t>Curated</t>
        </is>
      </c>
      <c r="L126" s="4" t="n">
        <v>2026</v>
      </c>
      <c r="M126" s="4" t="inlineStr">
        <is>
          <t>registration</t>
        </is>
      </c>
      <c r="N126" s="4" t="inlineStr">
        <is>
          <t>2026-10-22</t>
        </is>
      </c>
      <c r="O126" s="14" t="inlineStr">
        <is>
          <t>pass</t>
        </is>
      </c>
      <c r="P126" s="14" t="inlineStr">
        <is>
          <t>pass</t>
        </is>
      </c>
      <c r="Q126" s="14" t="inlineStr">
        <is>
          <t>pass</t>
        </is>
      </c>
      <c r="R126" s="14" t="inlineStr">
        <is>
          <t>pass</t>
        </is>
      </c>
      <c r="S126" s="14" t="inlineStr">
        <is>
          <t>pass</t>
        </is>
      </c>
      <c r="T126" s="14" t="inlineStr">
        <is>
          <t>pass</t>
        </is>
      </c>
      <c r="U126" s="16" t="inlineStr">
        <is>
          <t>warn</t>
        </is>
      </c>
      <c r="V126" s="14" t="inlineStr">
        <is>
          <t>pass</t>
        </is>
      </c>
      <c r="W126" s="14" t="inlineStr">
        <is>
          <t>pass</t>
        </is>
      </c>
      <c r="X126" s="14" t="inlineStr">
        <is>
          <t>pass</t>
        </is>
      </c>
      <c r="Y126" s="14" t="inlineStr">
        <is>
          <t>pass</t>
        </is>
      </c>
      <c r="Z126" s="14" t="inlineStr">
        <is>
          <t>pass</t>
        </is>
      </c>
      <c r="AA126" s="14" t="inlineStr">
        <is>
          <t>pass</t>
        </is>
      </c>
      <c r="AB126" s="16" t="inlineStr">
        <is>
          <t>warn</t>
        </is>
      </c>
      <c r="AC126" s="14" t="inlineStr">
        <is>
          <t>pass</t>
        </is>
      </c>
      <c r="AD126" s="14" t="inlineStr">
        <is>
          <t>pass</t>
        </is>
      </c>
      <c r="AE126" s="14" t="inlineStr">
        <is>
          <t>pass</t>
        </is>
      </c>
      <c r="AF126" s="15" t="inlineStr">
        <is>
          <t>not_checked</t>
        </is>
      </c>
      <c r="AG126" s="14" t="inlineStr">
        <is>
          <t>pass</t>
        </is>
      </c>
      <c r="AH126" s="16" t="inlineStr">
        <is>
          <t>warn</t>
        </is>
      </c>
      <c r="AI126" s="15" t="inlineStr">
        <is>
          <t>n.a.</t>
        </is>
      </c>
      <c r="AJ126" s="15" t="inlineStr">
        <is>
          <t>n.a.</t>
        </is>
      </c>
      <c r="AK126" s="4" t="inlineStr">
        <is>
          <t>format_match(warn);cadence(warn);format_gaia(warn)</t>
        </is>
      </c>
      <c r="AL126" s="17" t="inlineStr">
        <is>
          <t>https://www.earthdata.nasa.gov/data/catalog/lpcloud-mod11a2-061</t>
        </is>
      </c>
      <c r="AM126" s="4" t="inlineStr">
        <is>
          <t>global_nasa_mod11a2_v061</t>
        </is>
      </c>
    </row>
    <row r="127">
      <c r="A127" s="4" t="inlineStr">
        <is>
          <t>MODIS/Terra Snow Cover Daily L3 Global 500m SIN Grid, Version 61 (MOD10A1)</t>
        </is>
      </c>
      <c r="B127" s="19" t="inlineStr">
        <is>
          <t>Silver</t>
        </is>
      </c>
      <c r="C127" s="4" t="n">
        <v>95</v>
      </c>
      <c r="D127" s="4" t="inlineStr">
        <is>
          <t>environment</t>
        </is>
      </c>
      <c r="E127" s="4" t="inlineStr">
        <is>
          <t>healthy</t>
        </is>
      </c>
      <c r="F127" s="4" t="inlineStr">
        <is>
          <t>attribution</t>
        </is>
      </c>
      <c r="G127" s="4" t="inlineStr">
        <is>
          <t>grid_500m</t>
        </is>
      </c>
      <c r="H127" s="4" t="inlineStr">
        <is>
          <t>Needs raster support</t>
        </is>
      </c>
      <c r="I127" s="4" t="n">
        <v>3</v>
      </c>
      <c r="J127" s="4" t="inlineStr"/>
      <c r="K127" s="4" t="inlineStr">
        <is>
          <t>Curated</t>
        </is>
      </c>
      <c r="L127" s="4" t="n">
        <v>2026</v>
      </c>
      <c r="M127" s="4" t="inlineStr">
        <is>
          <t>registration</t>
        </is>
      </c>
      <c r="N127" s="4" t="inlineStr">
        <is>
          <t>2026-10-22</t>
        </is>
      </c>
      <c r="O127" s="14" t="inlineStr">
        <is>
          <t>pass</t>
        </is>
      </c>
      <c r="P127" s="14" t="inlineStr">
        <is>
          <t>pass</t>
        </is>
      </c>
      <c r="Q127" s="14" t="inlineStr">
        <is>
          <t>pass</t>
        </is>
      </c>
      <c r="R127" s="14" t="inlineStr">
        <is>
          <t>pass</t>
        </is>
      </c>
      <c r="S127" s="14" t="inlineStr">
        <is>
          <t>pass</t>
        </is>
      </c>
      <c r="T127" s="14" t="inlineStr">
        <is>
          <t>pass</t>
        </is>
      </c>
      <c r="U127" s="16" t="inlineStr">
        <is>
          <t>warn</t>
        </is>
      </c>
      <c r="V127" s="14" t="inlineStr">
        <is>
          <t>pass</t>
        </is>
      </c>
      <c r="W127" s="14" t="inlineStr">
        <is>
          <t>pass</t>
        </is>
      </c>
      <c r="X127" s="14" t="inlineStr">
        <is>
          <t>pass</t>
        </is>
      </c>
      <c r="Y127" s="14" t="inlineStr">
        <is>
          <t>pass</t>
        </is>
      </c>
      <c r="Z127" s="14" t="inlineStr">
        <is>
          <t>pass</t>
        </is>
      </c>
      <c r="AA127" s="14" t="inlineStr">
        <is>
          <t>pass</t>
        </is>
      </c>
      <c r="AB127" s="16" t="inlineStr">
        <is>
          <t>warn</t>
        </is>
      </c>
      <c r="AC127" s="14" t="inlineStr">
        <is>
          <t>pass</t>
        </is>
      </c>
      <c r="AD127" s="14" t="inlineStr">
        <is>
          <t>pass</t>
        </is>
      </c>
      <c r="AE127" s="14" t="inlineStr">
        <is>
          <t>pass</t>
        </is>
      </c>
      <c r="AF127" s="16" t="inlineStr">
        <is>
          <t>warn</t>
        </is>
      </c>
      <c r="AG127" s="14" t="inlineStr">
        <is>
          <t>pass</t>
        </is>
      </c>
      <c r="AH127" s="16" t="inlineStr">
        <is>
          <t>warn</t>
        </is>
      </c>
      <c r="AI127" s="15" t="inlineStr">
        <is>
          <t>n.a.</t>
        </is>
      </c>
      <c r="AJ127" s="15" t="inlineStr">
        <is>
          <t>n.a.</t>
        </is>
      </c>
      <c r="AK127" s="4" t="inlineStr">
        <is>
          <t>format_match(warn);cadence(warn);access(warn);format_gaia(warn)</t>
        </is>
      </c>
      <c r="AL127" s="17" t="inlineStr">
        <is>
          <t>https://nsidc.org/data/mod10a1/versions/61</t>
        </is>
      </c>
      <c r="AM127" s="4" t="inlineStr">
        <is>
          <t>global_nasa_mod10a1_v061</t>
        </is>
      </c>
    </row>
    <row r="128">
      <c r="A128" s="4" t="inlineStr">
        <is>
          <t>MODIS/Terra Vegetation Indices 16-Day L3 Global 1km SIN Grid V061 (MOD13A2)</t>
        </is>
      </c>
      <c r="B128" s="19" t="inlineStr">
        <is>
          <t>Silver</t>
        </is>
      </c>
      <c r="C128" s="4" t="n">
        <v>100</v>
      </c>
      <c r="D128" s="4" t="inlineStr">
        <is>
          <t>environment</t>
        </is>
      </c>
      <c r="E128" s="4" t="inlineStr">
        <is>
          <t>healthy</t>
        </is>
      </c>
      <c r="F128" s="4" t="inlineStr">
        <is>
          <t>open</t>
        </is>
      </c>
      <c r="G128" s="4" t="inlineStr">
        <is>
          <t>grid_1km</t>
        </is>
      </c>
      <c r="H128" s="4" t="inlineStr">
        <is>
          <t>Needs raster support</t>
        </is>
      </c>
      <c r="I128" s="4" t="n">
        <v>3</v>
      </c>
      <c r="J128" s="4" t="inlineStr"/>
      <c r="K128" s="4" t="inlineStr">
        <is>
          <t>Curated</t>
        </is>
      </c>
      <c r="L128" s="4" t="n">
        <v>2026</v>
      </c>
      <c r="M128" s="4" t="inlineStr">
        <is>
          <t>registration</t>
        </is>
      </c>
      <c r="N128" s="4" t="inlineStr">
        <is>
          <t>2026-10-22</t>
        </is>
      </c>
      <c r="O128" s="14" t="inlineStr">
        <is>
          <t>pass</t>
        </is>
      </c>
      <c r="P128" s="14" t="inlineStr">
        <is>
          <t>pass</t>
        </is>
      </c>
      <c r="Q128" s="14" t="inlineStr">
        <is>
          <t>pass</t>
        </is>
      </c>
      <c r="R128" s="14" t="inlineStr">
        <is>
          <t>pass</t>
        </is>
      </c>
      <c r="S128" s="14" t="inlineStr">
        <is>
          <t>pass</t>
        </is>
      </c>
      <c r="T128" s="14" t="inlineStr">
        <is>
          <t>pass</t>
        </is>
      </c>
      <c r="U128" s="16" t="inlineStr">
        <is>
          <t>warn</t>
        </is>
      </c>
      <c r="V128" s="14" t="inlineStr">
        <is>
          <t>pass</t>
        </is>
      </c>
      <c r="W128" s="14" t="inlineStr">
        <is>
          <t>pass</t>
        </is>
      </c>
      <c r="X128" s="14" t="inlineStr">
        <is>
          <t>pass</t>
        </is>
      </c>
      <c r="Y128" s="14" t="inlineStr">
        <is>
          <t>pass</t>
        </is>
      </c>
      <c r="Z128" s="14" t="inlineStr">
        <is>
          <t>pass</t>
        </is>
      </c>
      <c r="AA128" s="14" t="inlineStr">
        <is>
          <t>pass</t>
        </is>
      </c>
      <c r="AB128" s="16" t="inlineStr">
        <is>
          <t>warn</t>
        </is>
      </c>
      <c r="AC128" s="14" t="inlineStr">
        <is>
          <t>pass</t>
        </is>
      </c>
      <c r="AD128" s="14" t="inlineStr">
        <is>
          <t>pass</t>
        </is>
      </c>
      <c r="AE128" s="14" t="inlineStr">
        <is>
          <t>pass</t>
        </is>
      </c>
      <c r="AF128" s="15" t="inlineStr">
        <is>
          <t>not_checked</t>
        </is>
      </c>
      <c r="AG128" s="14" t="inlineStr">
        <is>
          <t>pass</t>
        </is>
      </c>
      <c r="AH128" s="16" t="inlineStr">
        <is>
          <t>warn</t>
        </is>
      </c>
      <c r="AI128" s="15" t="inlineStr">
        <is>
          <t>n.a.</t>
        </is>
      </c>
      <c r="AJ128" s="15" t="inlineStr">
        <is>
          <t>n.a.</t>
        </is>
      </c>
      <c r="AK128" s="4" t="inlineStr">
        <is>
          <t>format_match(warn);cadence(warn);format_gaia(warn)</t>
        </is>
      </c>
      <c r="AL128" s="17" t="inlineStr">
        <is>
          <t>https://www.earthdata.nasa.gov/data/catalog/lpcloud-mod13a2-061</t>
        </is>
      </c>
      <c r="AM128" s="4" t="inlineStr">
        <is>
          <t>global_nasa_mod13a2_v061</t>
        </is>
      </c>
    </row>
    <row r="129">
      <c r="A129" s="4" t="inlineStr">
        <is>
          <t>MODIS/Terra+Aqua Land Aerosol Optical Depth Daily L2G Global 1km SIN Grid V061 (MCD19A2, MAIAC)</t>
        </is>
      </c>
      <c r="B129" s="19" t="inlineStr">
        <is>
          <t>Silver</t>
        </is>
      </c>
      <c r="C129" s="4" t="n">
        <v>100</v>
      </c>
      <c r="D129" s="4" t="inlineStr">
        <is>
          <t>environment</t>
        </is>
      </c>
      <c r="E129" s="4" t="inlineStr">
        <is>
          <t>healthy</t>
        </is>
      </c>
      <c r="F129" s="4" t="inlineStr">
        <is>
          <t>open</t>
        </is>
      </c>
      <c r="G129" s="4" t="inlineStr">
        <is>
          <t>grid_1km</t>
        </is>
      </c>
      <c r="H129" s="4" t="inlineStr">
        <is>
          <t>Needs raster support</t>
        </is>
      </c>
      <c r="I129" s="4" t="n">
        <v>3</v>
      </c>
      <c r="J129" s="4" t="inlineStr"/>
      <c r="K129" s="4" t="inlineStr">
        <is>
          <t>Curated</t>
        </is>
      </c>
      <c r="L129" s="4" t="n">
        <v>2026</v>
      </c>
      <c r="M129" s="4" t="inlineStr">
        <is>
          <t>registration</t>
        </is>
      </c>
      <c r="N129" s="4" t="inlineStr">
        <is>
          <t>2026-10-22</t>
        </is>
      </c>
      <c r="O129" s="14" t="inlineStr">
        <is>
          <t>pass</t>
        </is>
      </c>
      <c r="P129" s="14" t="inlineStr">
        <is>
          <t>pass</t>
        </is>
      </c>
      <c r="Q129" s="14" t="inlineStr">
        <is>
          <t>pass</t>
        </is>
      </c>
      <c r="R129" s="14" t="inlineStr">
        <is>
          <t>pass</t>
        </is>
      </c>
      <c r="S129" s="14" t="inlineStr">
        <is>
          <t>pass</t>
        </is>
      </c>
      <c r="T129" s="14" t="inlineStr">
        <is>
          <t>pass</t>
        </is>
      </c>
      <c r="U129" s="16" t="inlineStr">
        <is>
          <t>warn</t>
        </is>
      </c>
      <c r="V129" s="14" t="inlineStr">
        <is>
          <t>pass</t>
        </is>
      </c>
      <c r="W129" s="14" t="inlineStr">
        <is>
          <t>pass</t>
        </is>
      </c>
      <c r="X129" s="14" t="inlineStr">
        <is>
          <t>pass</t>
        </is>
      </c>
      <c r="Y129" s="14" t="inlineStr">
        <is>
          <t>pass</t>
        </is>
      </c>
      <c r="Z129" s="14" t="inlineStr">
        <is>
          <t>pass</t>
        </is>
      </c>
      <c r="AA129" s="14" t="inlineStr">
        <is>
          <t>pass</t>
        </is>
      </c>
      <c r="AB129" s="16" t="inlineStr">
        <is>
          <t>warn</t>
        </is>
      </c>
      <c r="AC129" s="14" t="inlineStr">
        <is>
          <t>pass</t>
        </is>
      </c>
      <c r="AD129" s="14" t="inlineStr">
        <is>
          <t>pass</t>
        </is>
      </c>
      <c r="AE129" s="14" t="inlineStr">
        <is>
          <t>pass</t>
        </is>
      </c>
      <c r="AF129" s="15" t="inlineStr">
        <is>
          <t>not_checked</t>
        </is>
      </c>
      <c r="AG129" s="14" t="inlineStr">
        <is>
          <t>pass</t>
        </is>
      </c>
      <c r="AH129" s="16" t="inlineStr">
        <is>
          <t>warn</t>
        </is>
      </c>
      <c r="AI129" s="15" t="inlineStr">
        <is>
          <t>n.a.</t>
        </is>
      </c>
      <c r="AJ129" s="15" t="inlineStr">
        <is>
          <t>n.a.</t>
        </is>
      </c>
      <c r="AK129" s="4" t="inlineStr">
        <is>
          <t>format_match(warn);cadence(warn);format_gaia(warn)</t>
        </is>
      </c>
      <c r="AL129" s="17" t="inlineStr">
        <is>
          <t>https://www.earthdata.nasa.gov/data/catalog/lpcloud-mcd19a2-061</t>
        </is>
      </c>
      <c r="AM129" s="4" t="inlineStr">
        <is>
          <t>global_nasa_modis_mcd19a2_aod</t>
        </is>
      </c>
    </row>
    <row r="130">
      <c r="A130" s="4" t="inlineStr">
        <is>
          <t>MODIS/Terra+Aqua Land Cover Type Yearly L3 Global 500m SIN Grid V061 (MCD12Q1)</t>
        </is>
      </c>
      <c r="B130" s="19" t="inlineStr">
        <is>
          <t>Silver</t>
        </is>
      </c>
      <c r="C130" s="4" t="n">
        <v>100</v>
      </c>
      <c r="D130" s="4" t="inlineStr">
        <is>
          <t>environment</t>
        </is>
      </c>
      <c r="E130" s="4" t="inlineStr">
        <is>
          <t>healthy</t>
        </is>
      </c>
      <c r="F130" s="4" t="inlineStr">
        <is>
          <t>open</t>
        </is>
      </c>
      <c r="G130" s="4" t="inlineStr">
        <is>
          <t>grid_500m</t>
        </is>
      </c>
      <c r="H130" s="4" t="inlineStr">
        <is>
          <t>Needs raster support</t>
        </is>
      </c>
      <c r="I130" s="4" t="n">
        <v>3</v>
      </c>
      <c r="J130" s="4" t="inlineStr"/>
      <c r="K130" s="4" t="inlineStr">
        <is>
          <t>Curated</t>
        </is>
      </c>
      <c r="L130" s="4" t="n">
        <v>2026</v>
      </c>
      <c r="M130" s="4" t="inlineStr">
        <is>
          <t>registration</t>
        </is>
      </c>
      <c r="N130" s="4" t="inlineStr">
        <is>
          <t>2026-10-22</t>
        </is>
      </c>
      <c r="O130" s="14" t="inlineStr">
        <is>
          <t>pass</t>
        </is>
      </c>
      <c r="P130" s="14" t="inlineStr">
        <is>
          <t>pass</t>
        </is>
      </c>
      <c r="Q130" s="14" t="inlineStr">
        <is>
          <t>pass</t>
        </is>
      </c>
      <c r="R130" s="14" t="inlineStr">
        <is>
          <t>pass</t>
        </is>
      </c>
      <c r="S130" s="14" t="inlineStr">
        <is>
          <t>pass</t>
        </is>
      </c>
      <c r="T130" s="14" t="inlineStr">
        <is>
          <t>pass</t>
        </is>
      </c>
      <c r="U130" s="16" t="inlineStr">
        <is>
          <t>warn</t>
        </is>
      </c>
      <c r="V130" s="14" t="inlineStr">
        <is>
          <t>pass</t>
        </is>
      </c>
      <c r="W130" s="14" t="inlineStr">
        <is>
          <t>pass</t>
        </is>
      </c>
      <c r="X130" s="14" t="inlineStr">
        <is>
          <t>pass</t>
        </is>
      </c>
      <c r="Y130" s="14" t="inlineStr">
        <is>
          <t>pass</t>
        </is>
      </c>
      <c r="Z130" s="14" t="inlineStr">
        <is>
          <t>pass</t>
        </is>
      </c>
      <c r="AA130" s="14" t="inlineStr">
        <is>
          <t>pass</t>
        </is>
      </c>
      <c r="AB130" s="16" t="inlineStr">
        <is>
          <t>warn</t>
        </is>
      </c>
      <c r="AC130" s="14" t="inlineStr">
        <is>
          <t>pass</t>
        </is>
      </c>
      <c r="AD130" s="14" t="inlineStr">
        <is>
          <t>pass</t>
        </is>
      </c>
      <c r="AE130" s="14" t="inlineStr">
        <is>
          <t>pass</t>
        </is>
      </c>
      <c r="AF130" s="15" t="inlineStr">
        <is>
          <t>not_checked</t>
        </is>
      </c>
      <c r="AG130" s="14" t="inlineStr">
        <is>
          <t>pass</t>
        </is>
      </c>
      <c r="AH130" s="16" t="inlineStr">
        <is>
          <t>warn</t>
        </is>
      </c>
      <c r="AI130" s="15" t="inlineStr">
        <is>
          <t>n.a.</t>
        </is>
      </c>
      <c r="AJ130" s="15" t="inlineStr">
        <is>
          <t>n.a.</t>
        </is>
      </c>
      <c r="AK130" s="4" t="inlineStr">
        <is>
          <t>format_match(warn);cadence(warn);format_gaia(warn)</t>
        </is>
      </c>
      <c r="AL130" s="17" t="inlineStr">
        <is>
          <t>https://www.earthdata.nasa.gov/data/catalog/lpcloud-mcd12q1-061</t>
        </is>
      </c>
      <c r="AM130" s="4" t="inlineStr">
        <is>
          <t>global_nasa_mcd12q1_v061</t>
        </is>
      </c>
    </row>
    <row r="131">
      <c r="A131" s="4" t="inlineStr">
        <is>
          <t>NASADEM Merged DEM Global 1 arc second V001 (NASADEM_HGT)</t>
        </is>
      </c>
      <c r="B131" s="19" t="inlineStr">
        <is>
          <t>Silver</t>
        </is>
      </c>
      <c r="C131" s="4" t="n">
        <v>96</v>
      </c>
      <c r="D131" s="4" t="inlineStr">
        <is>
          <t>environment</t>
        </is>
      </c>
      <c r="E131" s="4" t="inlineStr">
        <is>
          <t>healthy</t>
        </is>
      </c>
      <c r="F131" s="4" t="inlineStr">
        <is>
          <t>open</t>
        </is>
      </c>
      <c r="G131" s="4" t="inlineStr">
        <is>
          <t>grid_30m</t>
        </is>
      </c>
      <c r="H131" s="4" t="inlineStr">
        <is>
          <t>Needs raster support</t>
        </is>
      </c>
      <c r="I131" s="4" t="n">
        <v>3</v>
      </c>
      <c r="J131" s="4" t="inlineStr"/>
      <c r="K131" s="4" t="inlineStr">
        <is>
          <t>Curated</t>
        </is>
      </c>
      <c r="L131" s="4" t="n">
        <v>2000</v>
      </c>
      <c r="M131" s="4" t="inlineStr">
        <is>
          <t>registration</t>
        </is>
      </c>
      <c r="N131" s="4" t="inlineStr">
        <is>
          <t>2026-10-22</t>
        </is>
      </c>
      <c r="O131" s="14" t="inlineStr">
        <is>
          <t>pass</t>
        </is>
      </c>
      <c r="P131" s="14" t="inlineStr">
        <is>
          <t>pass</t>
        </is>
      </c>
      <c r="Q131" s="14" t="inlineStr">
        <is>
          <t>pass</t>
        </is>
      </c>
      <c r="R131" s="14" t="inlineStr">
        <is>
          <t>pass</t>
        </is>
      </c>
      <c r="S131" s="14" t="inlineStr">
        <is>
          <t>pass</t>
        </is>
      </c>
      <c r="T131" s="14" t="inlineStr">
        <is>
          <t>pass</t>
        </is>
      </c>
      <c r="U131" s="16" t="inlineStr">
        <is>
          <t>warn</t>
        </is>
      </c>
      <c r="V131" s="14" t="inlineStr">
        <is>
          <t>pass</t>
        </is>
      </c>
      <c r="W131" s="14" t="inlineStr">
        <is>
          <t>pass</t>
        </is>
      </c>
      <c r="X131" s="14" t="inlineStr">
        <is>
          <t>pass</t>
        </is>
      </c>
      <c r="Y131" s="14" t="inlineStr">
        <is>
          <t>pass</t>
        </is>
      </c>
      <c r="Z131" s="14" t="inlineStr">
        <is>
          <t>pass</t>
        </is>
      </c>
      <c r="AA131" s="16" t="inlineStr">
        <is>
          <t>warn</t>
        </is>
      </c>
      <c r="AB131" s="16" t="inlineStr">
        <is>
          <t>warn</t>
        </is>
      </c>
      <c r="AC131" s="14" t="inlineStr">
        <is>
          <t>pass</t>
        </is>
      </c>
      <c r="AD131" s="14" t="inlineStr">
        <is>
          <t>pass</t>
        </is>
      </c>
      <c r="AE131" s="14" t="inlineStr">
        <is>
          <t>pass</t>
        </is>
      </c>
      <c r="AF131" s="15" t="inlineStr">
        <is>
          <t>not_checked</t>
        </is>
      </c>
      <c r="AG131" s="14" t="inlineStr">
        <is>
          <t>pass</t>
        </is>
      </c>
      <c r="AH131" s="16" t="inlineStr">
        <is>
          <t>warn</t>
        </is>
      </c>
      <c r="AI131" s="15" t="inlineStr">
        <is>
          <t>n.a.</t>
        </is>
      </c>
      <c r="AJ131" s="15" t="inlineStr">
        <is>
          <t>n.a.</t>
        </is>
      </c>
      <c r="AK131" s="4" t="inlineStr">
        <is>
          <t>format_match(warn);recency(warn);cadence(warn);format_gaia(warn)</t>
        </is>
      </c>
      <c r="AL131" s="17" t="inlineStr">
        <is>
          <t>https://www.earthdata.nasa.gov/data/catalog/lpcloud-nasadem-hgt-001</t>
        </is>
      </c>
      <c r="AM131" s="4" t="inlineStr">
        <is>
          <t>global_nasa_nasadem</t>
        </is>
      </c>
    </row>
    <row r="132">
      <c r="A132" s="4" t="inlineStr">
        <is>
          <t>National Air Pollution Surveillance (NAPS) Program data</t>
        </is>
      </c>
      <c r="B132" s="19" t="inlineStr">
        <is>
          <t>Silver</t>
        </is>
      </c>
      <c r="C132" s="4" t="n">
        <v>92</v>
      </c>
      <c r="D132" s="4" t="inlineStr">
        <is>
          <t>environment</t>
        </is>
      </c>
      <c r="E132" s="4" t="inlineStr">
        <is>
          <t>healthy</t>
        </is>
      </c>
      <c r="F132" s="4" t="inlineStr">
        <is>
          <t>open</t>
        </is>
      </c>
      <c r="G132" s="4" t="inlineStr">
        <is>
          <t>point</t>
        </is>
      </c>
      <c r="H132" s="4" t="inlineStr">
        <is>
          <t>Needs a count/distance step</t>
        </is>
      </c>
      <c r="I132" s="4" t="n">
        <v>3</v>
      </c>
      <c r="J132" s="4" t="inlineStr"/>
      <c r="K132" s="4" t="inlineStr">
        <is>
          <t>Curated</t>
        </is>
      </c>
      <c r="L132" s="4" t="n">
        <v>2026</v>
      </c>
      <c r="M132" s="4" t="inlineStr">
        <is>
          <t>open</t>
        </is>
      </c>
      <c r="N132" s="4" t="inlineStr">
        <is>
          <t>2026-10-22</t>
        </is>
      </c>
      <c r="O132" s="14" t="inlineStr">
        <is>
          <t>pass</t>
        </is>
      </c>
      <c r="P132" s="14" t="inlineStr">
        <is>
          <t>pass</t>
        </is>
      </c>
      <c r="Q132" s="14" t="inlineStr">
        <is>
          <t>pass</t>
        </is>
      </c>
      <c r="R132" s="14" t="inlineStr">
        <is>
          <t>pass</t>
        </is>
      </c>
      <c r="S132" s="14" t="inlineStr">
        <is>
          <t>pass</t>
        </is>
      </c>
      <c r="T132" s="15" t="inlineStr">
        <is>
          <t>n.a.</t>
        </is>
      </c>
      <c r="U132" s="15" t="inlineStr">
        <is>
          <t>n.a.</t>
        </is>
      </c>
      <c r="V132" s="14" t="inlineStr">
        <is>
          <t>pass</t>
        </is>
      </c>
      <c r="W132" s="16" t="inlineStr">
        <is>
          <t>warn</t>
        </is>
      </c>
      <c r="X132" s="14" t="inlineStr">
        <is>
          <t>pass</t>
        </is>
      </c>
      <c r="Y132" s="14" t="inlineStr">
        <is>
          <t>pass</t>
        </is>
      </c>
      <c r="Z132" s="16" t="inlineStr">
        <is>
          <t>warn</t>
        </is>
      </c>
      <c r="AA132" s="14" t="inlineStr">
        <is>
          <t>pass</t>
        </is>
      </c>
      <c r="AB132" s="14" t="inlineStr">
        <is>
          <t>pass</t>
        </is>
      </c>
      <c r="AC132" s="16" t="inlineStr">
        <is>
          <t>warn</t>
        </is>
      </c>
      <c r="AD132" s="14" t="inlineStr">
        <is>
          <t>pass</t>
        </is>
      </c>
      <c r="AE132" s="14" t="inlineStr">
        <is>
          <t>pass</t>
        </is>
      </c>
      <c r="AF132" s="14" t="inlineStr">
        <is>
          <t>pass</t>
        </is>
      </c>
      <c r="AG132" s="16" t="inlineStr">
        <is>
          <t>warn</t>
        </is>
      </c>
      <c r="AH132" s="16" t="inlineStr">
        <is>
          <t>warn</t>
        </is>
      </c>
      <c r="AI132" s="15" t="inlineStr">
        <is>
          <t>n.a.</t>
        </is>
      </c>
      <c r="AJ132" s="15" t="inlineStr">
        <is>
          <t>n.a.</t>
        </is>
      </c>
      <c r="AK132" s="4" t="inlineStr">
        <is>
          <t>persistent_id(warn);temporal(warn);version(warn);join_key(warn);format_gaia(warn)</t>
        </is>
      </c>
      <c r="AL132" s="17" t="inlineStr">
        <is>
          <t>https://open.canada.ca/data/en/dataset/1b36a356-defd-4813-acea-47bc3abd859b</t>
        </is>
      </c>
      <c r="AM132" s="4" t="inlineStr">
        <is>
          <t>ca_eccc_naps</t>
        </is>
      </c>
    </row>
    <row r="133">
      <c r="A133" s="4" t="inlineStr">
        <is>
          <t>Natura 2000 data - the European network of protected sites</t>
        </is>
      </c>
      <c r="B133" s="19" t="inlineStr">
        <is>
          <t>Silver</t>
        </is>
      </c>
      <c r="C133" s="4" t="n">
        <v>95</v>
      </c>
      <c r="D133" s="4" t="inlineStr">
        <is>
          <t>environment</t>
        </is>
      </c>
      <c r="E133" s="4" t="inlineStr">
        <is>
          <t>degraded</t>
        </is>
      </c>
      <c r="F133" s="4" t="inlineStr">
        <is>
          <t>open</t>
        </is>
      </c>
      <c r="G133" s="4" t="inlineStr">
        <is>
          <t>vector dataset of sites (geometry type not named on pages read)</t>
        </is>
      </c>
      <c r="H133" s="4" t="inlineStr">
        <is>
          <t>Joins today</t>
        </is>
      </c>
      <c r="I133" s="4" t="n">
        <v>3</v>
      </c>
      <c r="J133" s="4" t="inlineStr"/>
      <c r="K133" s="4" t="inlineStr">
        <is>
          <t>Curated</t>
        </is>
      </c>
      <c r="L133" s="4" t="n">
        <v>2024</v>
      </c>
      <c r="M133" s="4" t="inlineStr">
        <is>
          <t>open</t>
        </is>
      </c>
      <c r="N133" s="4" t="inlineStr">
        <is>
          <t>2026-10-22</t>
        </is>
      </c>
      <c r="O133" s="14" t="inlineStr">
        <is>
          <t>pass</t>
        </is>
      </c>
      <c r="P133" s="14" t="inlineStr">
        <is>
          <t>pass</t>
        </is>
      </c>
      <c r="Q133" s="14" t="inlineStr">
        <is>
          <t>pass</t>
        </is>
      </c>
      <c r="R133" s="14" t="inlineStr">
        <is>
          <t>pass</t>
        </is>
      </c>
      <c r="S133" s="14" t="inlineStr">
        <is>
          <t>pass</t>
        </is>
      </c>
      <c r="T133" s="15" t="inlineStr">
        <is>
          <t>n.a.</t>
        </is>
      </c>
      <c r="U133" s="15" t="inlineStr">
        <is>
          <t>n.a.</t>
        </is>
      </c>
      <c r="V133" s="18" t="inlineStr">
        <is>
          <t>fail</t>
        </is>
      </c>
      <c r="W133" s="16" t="inlineStr">
        <is>
          <t>warn</t>
        </is>
      </c>
      <c r="X133" s="14" t="inlineStr">
        <is>
          <t>pass</t>
        </is>
      </c>
      <c r="Y133" s="14" t="inlineStr">
        <is>
          <t>pass</t>
        </is>
      </c>
      <c r="Z133" s="14" t="inlineStr">
        <is>
          <t>pass</t>
        </is>
      </c>
      <c r="AA133" s="14" t="inlineStr">
        <is>
          <t>pass</t>
        </is>
      </c>
      <c r="AB133" s="16" t="inlineStr">
        <is>
          <t>warn</t>
        </is>
      </c>
      <c r="AC133" s="14" t="inlineStr">
        <is>
          <t>pass</t>
        </is>
      </c>
      <c r="AD133" s="15" t="inlineStr">
        <is>
          <t>not_checked</t>
        </is>
      </c>
      <c r="AE133" s="14" t="inlineStr">
        <is>
          <t>pass</t>
        </is>
      </c>
      <c r="AF133" s="14" t="inlineStr">
        <is>
          <t>pass</t>
        </is>
      </c>
      <c r="AG133" s="14" t="inlineStr">
        <is>
          <t>pass</t>
        </is>
      </c>
      <c r="AH133" s="14" t="inlineStr">
        <is>
          <t>pass</t>
        </is>
      </c>
      <c r="AI133" s="15" t="inlineStr">
        <is>
          <t>n.a.</t>
        </is>
      </c>
      <c r="AJ133" s="15" t="inlineStr">
        <is>
          <t>n.a.</t>
        </is>
      </c>
      <c r="AK133" s="4" t="inlineStr">
        <is>
          <t>machine_metadata;persistent_id(warn);cadence(warn)</t>
        </is>
      </c>
      <c r="AL133" s="17" t="inlineStr">
        <is>
          <t>https://www.eea.europa.eu/en/datahub/datahubitem-view/6fc8ad2d-195d-40f4-bdec-576e7d1268e4</t>
        </is>
      </c>
      <c r="AM133" s="4" t="inlineStr">
        <is>
          <t>eu_eea_natura2000</t>
        </is>
      </c>
    </row>
    <row r="134">
      <c r="A134" s="4" t="inlineStr">
        <is>
          <t>Noise data reported under the Environmental Noise Directive (END)</t>
        </is>
      </c>
      <c r="B134" s="19" t="inlineStr">
        <is>
          <t>Silver</t>
        </is>
      </c>
      <c r="C134" s="4" t="n">
        <v>82</v>
      </c>
      <c r="D134" s="4" t="inlineStr">
        <is>
          <t>environment</t>
        </is>
      </c>
      <c r="E134" s="4" t="inlineStr">
        <is>
          <t>degraded</t>
        </is>
      </c>
      <c r="F134" s="4" t="inlineStr">
        <is>
          <t>non-commercial</t>
        </is>
      </c>
      <c r="G134" s="4" t="inlineStr">
        <is>
          <t>polygon</t>
        </is>
      </c>
      <c r="H134" s="4" t="inlineStr">
        <is>
          <t>Needs raster support</t>
        </is>
      </c>
      <c r="I134" s="4" t="n">
        <v>3</v>
      </c>
      <c r="J134" s="4" t="inlineStr"/>
      <c r="K134" s="4" t="inlineStr">
        <is>
          <t>Curated</t>
        </is>
      </c>
      <c r="L134" s="4" t="n">
        <v>2021</v>
      </c>
      <c r="M134" s="4" t="inlineStr">
        <is>
          <t>open</t>
        </is>
      </c>
      <c r="N134" s="4" t="inlineStr">
        <is>
          <t>2026-10-22</t>
        </is>
      </c>
      <c r="O134" s="14" t="inlineStr">
        <is>
          <t>pass</t>
        </is>
      </c>
      <c r="P134" s="14" t="inlineStr">
        <is>
          <t>pass</t>
        </is>
      </c>
      <c r="Q134" s="14" t="inlineStr">
        <is>
          <t>pass</t>
        </is>
      </c>
      <c r="R134" s="14" t="inlineStr">
        <is>
          <t>pass</t>
        </is>
      </c>
      <c r="S134" s="14" t="inlineStr">
        <is>
          <t>pass</t>
        </is>
      </c>
      <c r="T134" s="15" t="inlineStr">
        <is>
          <t>n.a.</t>
        </is>
      </c>
      <c r="U134" s="15" t="inlineStr">
        <is>
          <t>n.a.</t>
        </is>
      </c>
      <c r="V134" s="18" t="inlineStr">
        <is>
          <t>fail</t>
        </is>
      </c>
      <c r="W134" s="16" t="inlineStr">
        <is>
          <t>warn</t>
        </is>
      </c>
      <c r="X134" s="14" t="inlineStr">
        <is>
          <t>pass</t>
        </is>
      </c>
      <c r="Y134" s="16" t="inlineStr">
        <is>
          <t>warn</t>
        </is>
      </c>
      <c r="Z134" s="14" t="inlineStr">
        <is>
          <t>pass</t>
        </is>
      </c>
      <c r="AA134" s="14" t="inlineStr">
        <is>
          <t>pass</t>
        </is>
      </c>
      <c r="AB134" s="14" t="inlineStr">
        <is>
          <t>pass</t>
        </is>
      </c>
      <c r="AC134" s="14" t="inlineStr">
        <is>
          <t>pass</t>
        </is>
      </c>
      <c r="AD134" s="16" t="inlineStr">
        <is>
          <t>warn</t>
        </is>
      </c>
      <c r="AE134" s="14" t="inlineStr">
        <is>
          <t>pass</t>
        </is>
      </c>
      <c r="AF134" s="14" t="inlineStr">
        <is>
          <t>pass</t>
        </is>
      </c>
      <c r="AG134" s="14" t="inlineStr">
        <is>
          <t>pass</t>
        </is>
      </c>
      <c r="AH134" s="14" t="inlineStr">
        <is>
          <t>pass</t>
        </is>
      </c>
      <c r="AI134" s="15" t="inlineStr">
        <is>
          <t>n.a.</t>
        </is>
      </c>
      <c r="AJ134" s="15" t="inlineStr">
        <is>
          <t>n.a.</t>
        </is>
      </c>
      <c r="AK134" s="4" t="inlineStr">
        <is>
          <t>machine_metadata;persistent_id(warn);license(warn);unit(warn)</t>
        </is>
      </c>
      <c r="AL134" s="17" t="inlineStr">
        <is>
          <t>https://www.eea.europa.eu/en/datahub/datahubitem-view/c952f520-8d71-42c9-b74c-b7eb002f939b</t>
        </is>
      </c>
      <c r="AM134" s="4" t="inlineStr">
        <is>
          <t>eu_eea_noise_end</t>
        </is>
      </c>
    </row>
    <row r="135">
      <c r="A135" s="4" t="inlineStr">
        <is>
          <t>Qualité de l'air, de l'eau et potentiel radon par commune française</t>
        </is>
      </c>
      <c r="B135" s="19" t="inlineStr">
        <is>
          <t>Silver</t>
        </is>
      </c>
      <c r="C135" s="4" t="n">
        <v>90</v>
      </c>
      <c r="D135" s="4" t="inlineStr">
        <is>
          <t>environment</t>
        </is>
      </c>
      <c r="E135" s="4" t="inlineStr">
        <is>
          <t>healthy</t>
        </is>
      </c>
      <c r="F135" s="4" t="inlineStr">
        <is>
          <t>open</t>
        </is>
      </c>
      <c r="G135" s="4" t="inlineStr">
        <is>
          <t>admin3 (French commune, code INSEE; ~26,000 communes)</t>
        </is>
      </c>
      <c r="H135" s="4" t="inlineStr">
        <is>
          <t>Joins today</t>
        </is>
      </c>
      <c r="I135" s="4" t="n">
        <v>3</v>
      </c>
      <c r="J135" s="4" t="inlineStr"/>
      <c r="K135" s="4" t="inlineStr">
        <is>
          <t>Catalog lead</t>
        </is>
      </c>
      <c r="L135" s="4" t="n">
        <v>2026</v>
      </c>
      <c r="M135" s="4" t="inlineStr">
        <is>
          <t>open</t>
        </is>
      </c>
      <c r="N135" s="4" t="inlineStr">
        <is>
          <t>2026-10-22</t>
        </is>
      </c>
      <c r="O135" s="14" t="inlineStr">
        <is>
          <t>pass</t>
        </is>
      </c>
      <c r="P135" s="14" t="inlineStr">
        <is>
          <t>pass</t>
        </is>
      </c>
      <c r="Q135" s="14" t="inlineStr">
        <is>
          <t>pass</t>
        </is>
      </c>
      <c r="R135" s="14" t="inlineStr">
        <is>
          <t>pass</t>
        </is>
      </c>
      <c r="S135" s="14" t="inlineStr">
        <is>
          <t>pass</t>
        </is>
      </c>
      <c r="T135" s="15" t="inlineStr">
        <is>
          <t>n.a.</t>
        </is>
      </c>
      <c r="U135" s="15" t="inlineStr">
        <is>
          <t>n.a.</t>
        </is>
      </c>
      <c r="V135" s="14" t="inlineStr">
        <is>
          <t>pass</t>
        </is>
      </c>
      <c r="W135" s="16" t="inlineStr">
        <is>
          <t>warn</t>
        </is>
      </c>
      <c r="X135" s="18" t="inlineStr">
        <is>
          <t>fail</t>
        </is>
      </c>
      <c r="Y135" s="14" t="inlineStr">
        <is>
          <t>pass</t>
        </is>
      </c>
      <c r="Z135" s="16" t="inlineStr">
        <is>
          <t>warn</t>
        </is>
      </c>
      <c r="AA135" s="14" t="inlineStr">
        <is>
          <t>pass</t>
        </is>
      </c>
      <c r="AB135" s="16" t="inlineStr">
        <is>
          <t>warn</t>
        </is>
      </c>
      <c r="AC135" s="16" t="inlineStr">
        <is>
          <t>warn</t>
        </is>
      </c>
      <c r="AD135" s="16" t="inlineStr">
        <is>
          <t>warn</t>
        </is>
      </c>
      <c r="AE135" s="14" t="inlineStr">
        <is>
          <t>pass</t>
        </is>
      </c>
      <c r="AF135" s="14" t="inlineStr">
        <is>
          <t>pass</t>
        </is>
      </c>
      <c r="AG135" s="14" t="inlineStr">
        <is>
          <t>pass</t>
        </is>
      </c>
      <c r="AH135" s="14" t="inlineStr">
        <is>
          <t>pass</t>
        </is>
      </c>
      <c r="AI135" s="15" t="inlineStr">
        <is>
          <t>n.a.</t>
        </is>
      </c>
      <c r="AJ135" s="15" t="inlineStr">
        <is>
          <t>n.a.</t>
        </is>
      </c>
      <c r="AK135" s="4" t="inlineStr">
        <is>
          <t>archived;persistent_id(warn);temporal(warn);cadence(warn);version(warn);unit(warn)</t>
        </is>
      </c>
      <c r="AL135" s="17" t="inlineStr">
        <is>
          <t>https://www.data.gouv.fr/datasets/qualite-de-lair-de-leau-et-potentiel-radon-par-commune-francaise</t>
        </is>
      </c>
      <c r="AM135" s="4" t="inlineStr">
        <is>
          <t>fr_datagouv_qualit_de_l_air_de_l_eau_et_potentiel_radon_par_commune</t>
        </is>
      </c>
    </row>
    <row r="136">
      <c r="A136" s="4" t="inlineStr">
        <is>
          <t>SMAP Enhanced L3 Radiometer Global and Polar Grid Daily 9 km EASE-Grid Soil Moisture, Version 6 (SPL3SMP_E)</t>
        </is>
      </c>
      <c r="B136" s="19" t="inlineStr">
        <is>
          <t>Silver</t>
        </is>
      </c>
      <c r="C136" s="4" t="n">
        <v>89</v>
      </c>
      <c r="D136" s="4" t="inlineStr">
        <is>
          <t>environment</t>
        </is>
      </c>
      <c r="E136" s="4" t="inlineStr">
        <is>
          <t>healthy</t>
        </is>
      </c>
      <c r="F136" s="4" t="inlineStr">
        <is>
          <t>registration</t>
        </is>
      </c>
      <c r="G136" s="4" t="inlineStr">
        <is>
          <t>grid_9km</t>
        </is>
      </c>
      <c r="H136" s="4" t="inlineStr">
        <is>
          <t>Needs raster support</t>
        </is>
      </c>
      <c r="I136" s="4" t="n">
        <v>3</v>
      </c>
      <c r="J136" s="4" t="inlineStr"/>
      <c r="K136" s="4" t="inlineStr">
        <is>
          <t>Curated</t>
        </is>
      </c>
      <c r="L136" s="4" t="n">
        <v>2026</v>
      </c>
      <c r="M136" s="4" t="inlineStr">
        <is>
          <t>registration</t>
        </is>
      </c>
      <c r="N136" s="4" t="inlineStr">
        <is>
          <t>2026-10-22</t>
        </is>
      </c>
      <c r="O136" s="14" t="inlineStr">
        <is>
          <t>pass</t>
        </is>
      </c>
      <c r="P136" s="14" t="inlineStr">
        <is>
          <t>pass</t>
        </is>
      </c>
      <c r="Q136" s="14" t="inlineStr">
        <is>
          <t>pass</t>
        </is>
      </c>
      <c r="R136" s="14" t="inlineStr">
        <is>
          <t>pass</t>
        </is>
      </c>
      <c r="S136" s="14" t="inlineStr">
        <is>
          <t>pass</t>
        </is>
      </c>
      <c r="T136" s="14" t="inlineStr">
        <is>
          <t>pass</t>
        </is>
      </c>
      <c r="U136" s="16" t="inlineStr">
        <is>
          <t>warn</t>
        </is>
      </c>
      <c r="V136" s="14" t="inlineStr">
        <is>
          <t>pass</t>
        </is>
      </c>
      <c r="W136" s="14" t="inlineStr">
        <is>
          <t>pass</t>
        </is>
      </c>
      <c r="X136" s="14" t="inlineStr">
        <is>
          <t>pass</t>
        </is>
      </c>
      <c r="Y136" s="16" t="inlineStr">
        <is>
          <t>warn</t>
        </is>
      </c>
      <c r="Z136" s="14" t="inlineStr">
        <is>
          <t>pass</t>
        </is>
      </c>
      <c r="AA136" s="14" t="inlineStr">
        <is>
          <t>pass</t>
        </is>
      </c>
      <c r="AB136" s="16" t="inlineStr">
        <is>
          <t>warn</t>
        </is>
      </c>
      <c r="AC136" s="14" t="inlineStr">
        <is>
          <t>pass</t>
        </is>
      </c>
      <c r="AD136" s="14" t="inlineStr">
        <is>
          <t>pass</t>
        </is>
      </c>
      <c r="AE136" s="14" t="inlineStr">
        <is>
          <t>pass</t>
        </is>
      </c>
      <c r="AF136" s="16" t="inlineStr">
        <is>
          <t>warn</t>
        </is>
      </c>
      <c r="AG136" s="14" t="inlineStr">
        <is>
          <t>pass</t>
        </is>
      </c>
      <c r="AH136" s="16" t="inlineStr">
        <is>
          <t>warn</t>
        </is>
      </c>
      <c r="AI136" s="15" t="inlineStr">
        <is>
          <t>n.a.</t>
        </is>
      </c>
      <c r="AJ136" s="15" t="inlineStr">
        <is>
          <t>n.a.</t>
        </is>
      </c>
      <c r="AK136" s="4" t="inlineStr">
        <is>
          <t>format_match(warn);license(warn);cadence(warn);access(warn);format_gaia(warn)</t>
        </is>
      </c>
      <c r="AL136" s="17" t="inlineStr">
        <is>
          <t>https://nsidc.org/data/spl3smp_e/versions/6</t>
        </is>
      </c>
      <c r="AM136" s="4" t="inlineStr">
        <is>
          <t>global_nasa_smap_spl3smp_e</t>
        </is>
      </c>
    </row>
    <row r="137">
      <c r="A137" s="4" t="inlineStr">
        <is>
          <t>SoilGrids 250 m global gridded soil information (v2.0, 2020)</t>
        </is>
      </c>
      <c r="B137" s="19" t="inlineStr">
        <is>
          <t>Silver</t>
        </is>
      </c>
      <c r="C137" s="4" t="n">
        <v>97</v>
      </c>
      <c r="D137" s="4" t="inlineStr">
        <is>
          <t>environment</t>
        </is>
      </c>
      <c r="E137" s="4" t="inlineStr">
        <is>
          <t>degraded</t>
        </is>
      </c>
      <c r="F137" s="4" t="inlineStr">
        <is>
          <t>open</t>
        </is>
      </c>
      <c r="G137" s="4" t="inlineStr">
        <is>
          <t>grid_250m</t>
        </is>
      </c>
      <c r="H137" s="4" t="inlineStr">
        <is>
          <t>Needs raster support</t>
        </is>
      </c>
      <c r="I137" s="4" t="n">
        <v>3</v>
      </c>
      <c r="J137" s="4" t="inlineStr"/>
      <c r="K137" s="4" t="inlineStr">
        <is>
          <t>Curated</t>
        </is>
      </c>
      <c r="L137" s="4" t="n">
        <v>2020</v>
      </c>
      <c r="M137" s="4" t="inlineStr">
        <is>
          <t>open</t>
        </is>
      </c>
      <c r="N137" s="4" t="inlineStr">
        <is>
          <t>2026-10-22</t>
        </is>
      </c>
      <c r="O137" s="14" t="inlineStr">
        <is>
          <t>pass</t>
        </is>
      </c>
      <c r="P137" s="14" t="inlineStr">
        <is>
          <t>pass</t>
        </is>
      </c>
      <c r="Q137" s="14" t="inlineStr">
        <is>
          <t>pass</t>
        </is>
      </c>
      <c r="R137" s="14" t="inlineStr">
        <is>
          <t>pass</t>
        </is>
      </c>
      <c r="S137" s="14" t="inlineStr">
        <is>
          <t>pass</t>
        </is>
      </c>
      <c r="T137" s="18" t="inlineStr">
        <is>
          <t>fail</t>
        </is>
      </c>
      <c r="U137" s="15" t="inlineStr">
        <is>
          <t>n.a.</t>
        </is>
      </c>
      <c r="V137" s="16" t="inlineStr">
        <is>
          <t>warn</t>
        </is>
      </c>
      <c r="W137" s="16" t="inlineStr">
        <is>
          <t>warn</t>
        </is>
      </c>
      <c r="X137" s="14" t="inlineStr">
        <is>
          <t>pass</t>
        </is>
      </c>
      <c r="Y137" s="14" t="inlineStr">
        <is>
          <t>pass</t>
        </is>
      </c>
      <c r="Z137" s="15" t="inlineStr">
        <is>
          <t>not_checked</t>
        </is>
      </c>
      <c r="AA137" s="15" t="inlineStr">
        <is>
          <t>not_checked</t>
        </is>
      </c>
      <c r="AB137" s="16" t="inlineStr">
        <is>
          <t>warn</t>
        </is>
      </c>
      <c r="AC137" s="15" t="inlineStr">
        <is>
          <t>not_checked</t>
        </is>
      </c>
      <c r="AD137" s="14" t="inlineStr">
        <is>
          <t>pass</t>
        </is>
      </c>
      <c r="AE137" s="14" t="inlineStr">
        <is>
          <t>pass</t>
        </is>
      </c>
      <c r="AF137" s="14" t="inlineStr">
        <is>
          <t>pass</t>
        </is>
      </c>
      <c r="AG137" s="14" t="inlineStr">
        <is>
          <t>pass</t>
        </is>
      </c>
      <c r="AH137" s="16" t="inlineStr">
        <is>
          <t>warn</t>
        </is>
      </c>
      <c r="AI137" s="15" t="inlineStr">
        <is>
          <t>n.a.</t>
        </is>
      </c>
      <c r="AJ137" s="15" t="inlineStr">
        <is>
          <t>n.a.</t>
        </is>
      </c>
      <c r="AK137" s="4" t="inlineStr">
        <is>
          <t>access_url;machine_metadata(warn);persistent_id(warn);cadence(warn);format_gaia(warn)</t>
        </is>
      </c>
      <c r="AL137" s="17" t="inlineStr">
        <is>
          <t>https://www.isric.org/explore/soilgrids</t>
        </is>
      </c>
      <c r="AM137" s="4" t="inlineStr">
        <is>
          <t>global_isric_soilgrids</t>
        </is>
      </c>
    </row>
    <row r="138">
      <c r="A138" s="4" t="inlineStr">
        <is>
          <t>World Air Quality Index project (WAQI / aqicn.org) real-time AQI API</t>
        </is>
      </c>
      <c r="B138" s="19" t="inlineStr">
        <is>
          <t>Silver</t>
        </is>
      </c>
      <c r="C138" s="4" t="n">
        <v>83</v>
      </c>
      <c r="D138" s="4" t="inlineStr">
        <is>
          <t>environment</t>
        </is>
      </c>
      <c r="E138" s="4" t="inlineStr">
        <is>
          <t>healthy</t>
        </is>
      </c>
      <c r="F138" s="4" t="inlineStr">
        <is>
          <t>non-commercial</t>
        </is>
      </c>
      <c r="G138" s="4" t="inlineStr">
        <is>
          <t>point</t>
        </is>
      </c>
      <c r="H138" s="4" t="inlineStr">
        <is>
          <t>Needs a count/distance step</t>
        </is>
      </c>
      <c r="I138" s="4" t="n">
        <v>3</v>
      </c>
      <c r="J138" s="4" t="inlineStr"/>
      <c r="K138" s="4" t="inlineStr">
        <is>
          <t>Curated</t>
        </is>
      </c>
      <c r="L138" s="4" t="n">
        <v>2026</v>
      </c>
      <c r="M138" s="4" t="inlineStr">
        <is>
          <t>registration</t>
        </is>
      </c>
      <c r="N138" s="4" t="inlineStr">
        <is>
          <t>2026-10-22</t>
        </is>
      </c>
      <c r="O138" s="14" t="inlineStr">
        <is>
          <t>pass</t>
        </is>
      </c>
      <c r="P138" s="14" t="inlineStr">
        <is>
          <t>pass</t>
        </is>
      </c>
      <c r="Q138" s="14" t="inlineStr">
        <is>
          <t>pass</t>
        </is>
      </c>
      <c r="R138" s="14" t="inlineStr">
        <is>
          <t>pass</t>
        </is>
      </c>
      <c r="S138" s="14" t="inlineStr">
        <is>
          <t>pass</t>
        </is>
      </c>
      <c r="T138" s="14" t="inlineStr">
        <is>
          <t>pass</t>
        </is>
      </c>
      <c r="U138" s="16" t="inlineStr">
        <is>
          <t>warn</t>
        </is>
      </c>
      <c r="V138" s="16" t="inlineStr">
        <is>
          <t>warn</t>
        </is>
      </c>
      <c r="W138" s="16" t="inlineStr">
        <is>
          <t>warn</t>
        </is>
      </c>
      <c r="X138" s="14" t="inlineStr">
        <is>
          <t>pass</t>
        </is>
      </c>
      <c r="Y138" s="16" t="inlineStr">
        <is>
          <t>warn</t>
        </is>
      </c>
      <c r="Z138" s="16" t="inlineStr">
        <is>
          <t>warn</t>
        </is>
      </c>
      <c r="AA138" s="14" t="inlineStr">
        <is>
          <t>pass</t>
        </is>
      </c>
      <c r="AB138" s="16" t="inlineStr">
        <is>
          <t>warn</t>
        </is>
      </c>
      <c r="AC138" s="15" t="inlineStr">
        <is>
          <t>not_checked</t>
        </is>
      </c>
      <c r="AD138" s="14" t="inlineStr">
        <is>
          <t>pass</t>
        </is>
      </c>
      <c r="AE138" s="16" t="inlineStr">
        <is>
          <t>warn</t>
        </is>
      </c>
      <c r="AF138" s="16" t="inlineStr">
        <is>
          <t>warn</t>
        </is>
      </c>
      <c r="AG138" s="14" t="inlineStr">
        <is>
          <t>pass</t>
        </is>
      </c>
      <c r="AH138" s="16" t="inlineStr">
        <is>
          <t>warn</t>
        </is>
      </c>
      <c r="AI138" s="15" t="inlineStr">
        <is>
          <t>n.a.</t>
        </is>
      </c>
      <c r="AJ138" s="15" t="inlineStr">
        <is>
          <t>n.a.</t>
        </is>
      </c>
      <c r="AK138" s="4" t="inlineStr">
        <is>
          <t>format_match(warn);machine_metadata(warn);persistent_id(warn);license(warn);temporal(warn);cadence(warn);coverage(warn);access(warn);format_gaia(warn)</t>
        </is>
      </c>
      <c r="AL138" s="17" t="inlineStr">
        <is>
          <t>https://aqicn.org/api/</t>
        </is>
      </c>
      <c r="AM138" s="4" t="inlineStr">
        <is>
          <t>global_waqi_world_air_quality_index</t>
        </is>
      </c>
    </row>
    <row r="139">
      <c r="A139" s="4" t="inlineStr">
        <is>
          <t>NASA Shuttle Radar Topography Mission Global 1 arc second V003 (SRTMGL1)</t>
        </is>
      </c>
      <c r="B139" s="19" t="inlineStr">
        <is>
          <t>Silver</t>
        </is>
      </c>
      <c r="C139" s="4" t="n">
        <v>96</v>
      </c>
      <c r="D139" s="4" t="inlineStr">
        <is>
          <t>environment</t>
        </is>
      </c>
      <c r="E139" s="4" t="inlineStr">
        <is>
          <t>healthy</t>
        </is>
      </c>
      <c r="F139" s="4" t="inlineStr">
        <is>
          <t>open</t>
        </is>
      </c>
      <c r="G139" s="4" t="inlineStr">
        <is>
          <t>grid_30m</t>
        </is>
      </c>
      <c r="H139" s="4" t="inlineStr">
        <is>
          <t>Needs raster support</t>
        </is>
      </c>
      <c r="I139" s="4" t="n">
        <v>1</v>
      </c>
      <c r="J139" s="4" t="inlineStr">
        <is>
          <t>hh_dem_srtm;tz_magu_dem_srtm</t>
        </is>
      </c>
      <c r="K139" s="4" t="inlineStr">
        <is>
          <t>Curated</t>
        </is>
      </c>
      <c r="L139" s="4" t="n">
        <v>2000</v>
      </c>
      <c r="M139" s="4" t="inlineStr">
        <is>
          <t>registration</t>
        </is>
      </c>
      <c r="N139" s="4" t="inlineStr">
        <is>
          <t>2026-10-28</t>
        </is>
      </c>
      <c r="O139" s="14" t="inlineStr">
        <is>
          <t>pass</t>
        </is>
      </c>
      <c r="P139" s="14" t="inlineStr">
        <is>
          <t>pass</t>
        </is>
      </c>
      <c r="Q139" s="14" t="inlineStr">
        <is>
          <t>pass</t>
        </is>
      </c>
      <c r="R139" s="14" t="inlineStr">
        <is>
          <t>pass</t>
        </is>
      </c>
      <c r="S139" s="14" t="inlineStr">
        <is>
          <t>pass</t>
        </is>
      </c>
      <c r="T139" s="14" t="inlineStr">
        <is>
          <t>pass</t>
        </is>
      </c>
      <c r="U139" s="16" t="inlineStr">
        <is>
          <t>warn</t>
        </is>
      </c>
      <c r="V139" s="14" t="inlineStr">
        <is>
          <t>pass</t>
        </is>
      </c>
      <c r="W139" s="14" t="inlineStr">
        <is>
          <t>pass</t>
        </is>
      </c>
      <c r="X139" s="14" t="inlineStr">
        <is>
          <t>pass</t>
        </is>
      </c>
      <c r="Y139" s="14" t="inlineStr">
        <is>
          <t>pass</t>
        </is>
      </c>
      <c r="Z139" s="14" t="inlineStr">
        <is>
          <t>pass</t>
        </is>
      </c>
      <c r="AA139" s="16" t="inlineStr">
        <is>
          <t>warn</t>
        </is>
      </c>
      <c r="AB139" s="14" t="inlineStr">
        <is>
          <t>pass</t>
        </is>
      </c>
      <c r="AC139" s="14" t="inlineStr">
        <is>
          <t>pass</t>
        </is>
      </c>
      <c r="AD139" s="14" t="inlineStr">
        <is>
          <t>pass</t>
        </is>
      </c>
      <c r="AE139" s="14" t="inlineStr">
        <is>
          <t>pass</t>
        </is>
      </c>
      <c r="AF139" s="15" t="inlineStr">
        <is>
          <t>not_checked</t>
        </is>
      </c>
      <c r="AG139" s="14" t="inlineStr">
        <is>
          <t>pass</t>
        </is>
      </c>
      <c r="AH139" s="14" t="inlineStr">
        <is>
          <t>pass</t>
        </is>
      </c>
      <c r="AI139" s="14" t="inlineStr">
        <is>
          <t>pass</t>
        </is>
      </c>
      <c r="AJ139" s="15" t="inlineStr">
        <is>
          <t>not_checked</t>
        </is>
      </c>
      <c r="AK139" s="4" t="inlineStr">
        <is>
          <t>format_match(warn);recency(warn)</t>
        </is>
      </c>
      <c r="AL139" s="17" t="inlineStr">
        <is>
          <t>https://www.earthdata.nasa.gov/data/catalog/lpcloud-srtmgl1-003</t>
        </is>
      </c>
      <c r="AM139" s="4" t="inlineStr">
        <is>
          <t>global_nasa_srtmgl1_v003</t>
        </is>
      </c>
    </row>
    <row r="140">
      <c r="A140" s="4" t="inlineStr">
        <is>
          <t>Modified Retail Food Environment Index (mRFEI)</t>
        </is>
      </c>
      <c r="B140" s="19" t="inlineStr">
        <is>
          <t>Silver</t>
        </is>
      </c>
      <c r="C140" s="4" t="n">
        <v>82</v>
      </c>
      <c r="D140" s="4" t="inlineStr">
        <is>
          <t>food_access</t>
        </is>
      </c>
      <c r="E140" s="4" t="inlineStr">
        <is>
          <t>healthy</t>
        </is>
      </c>
      <c r="F140" s="4" t="inlineStr">
        <is>
          <t>open</t>
        </is>
      </c>
      <c r="G140" s="4" t="inlineStr">
        <is>
          <t>tract</t>
        </is>
      </c>
      <c r="H140" s="4" t="inlineStr">
        <is>
          <t>Joins today</t>
        </is>
      </c>
      <c r="I140" s="4" t="n">
        <v>3</v>
      </c>
      <c r="J140" s="4" t="inlineStr"/>
      <c r="K140" s="4" t="inlineStr">
        <is>
          <t>Curated</t>
        </is>
      </c>
      <c r="L140" s="4" t="n">
        <v>2012</v>
      </c>
      <c r="M140" s="4" t="inlineStr">
        <is>
          <t>open</t>
        </is>
      </c>
      <c r="N140" s="4" t="inlineStr">
        <is>
          <t>2026-10-22</t>
        </is>
      </c>
      <c r="O140" s="14" t="inlineStr">
        <is>
          <t>pass</t>
        </is>
      </c>
      <c r="P140" s="14" t="inlineStr">
        <is>
          <t>pass</t>
        </is>
      </c>
      <c r="Q140" s="14" t="inlineStr">
        <is>
          <t>pass</t>
        </is>
      </c>
      <c r="R140" s="14" t="inlineStr">
        <is>
          <t>pass</t>
        </is>
      </c>
      <c r="S140" s="14" t="inlineStr">
        <is>
          <t>pass</t>
        </is>
      </c>
      <c r="T140" s="15" t="inlineStr">
        <is>
          <t>n.a.</t>
        </is>
      </c>
      <c r="U140" s="15" t="inlineStr">
        <is>
          <t>n.a.</t>
        </is>
      </c>
      <c r="V140" s="16" t="inlineStr">
        <is>
          <t>warn</t>
        </is>
      </c>
      <c r="W140" s="16" t="inlineStr">
        <is>
          <t>warn</t>
        </is>
      </c>
      <c r="X140" s="14" t="inlineStr">
        <is>
          <t>pass</t>
        </is>
      </c>
      <c r="Y140" s="14" t="inlineStr">
        <is>
          <t>pass</t>
        </is>
      </c>
      <c r="Z140" s="16" t="inlineStr">
        <is>
          <t>warn</t>
        </is>
      </c>
      <c r="AA140" s="16" t="inlineStr">
        <is>
          <t>warn</t>
        </is>
      </c>
      <c r="AB140" s="15" t="inlineStr">
        <is>
          <t>not_checked</t>
        </is>
      </c>
      <c r="AC140" s="15" t="inlineStr">
        <is>
          <t>not_checked</t>
        </is>
      </c>
      <c r="AD140" s="14" t="inlineStr">
        <is>
          <t>pass</t>
        </is>
      </c>
      <c r="AE140" s="14" t="inlineStr">
        <is>
          <t>pass</t>
        </is>
      </c>
      <c r="AF140" s="14" t="inlineStr">
        <is>
          <t>pass</t>
        </is>
      </c>
      <c r="AG140" s="18" t="inlineStr">
        <is>
          <t>fail</t>
        </is>
      </c>
      <c r="AH140" s="16" t="inlineStr">
        <is>
          <t>warn</t>
        </is>
      </c>
      <c r="AI140" s="15" t="inlineStr">
        <is>
          <t>n.a.</t>
        </is>
      </c>
      <c r="AJ140" s="15" t="inlineStr">
        <is>
          <t>n.a.</t>
        </is>
      </c>
      <c r="AK140" s="4" t="inlineStr">
        <is>
          <t>join_key;machine_metadata(warn);persistent_id(warn);temporal(warn);recency(warn);format_gaia(warn)</t>
        </is>
      </c>
      <c r="AL140" s="17" t="inlineStr">
        <is>
          <t>https://stacks.cdc.gov/view/cdc/13321</t>
        </is>
      </c>
      <c r="AM140" s="4" t="inlineStr">
        <is>
          <t>us_cdc_mrfei</t>
        </is>
      </c>
    </row>
    <row r="141">
      <c r="A141" s="4" t="inlineStr">
        <is>
          <t>America's Health Rankings</t>
        </is>
      </c>
      <c r="B141" s="19" t="inlineStr">
        <is>
          <t>Silver</t>
        </is>
      </c>
      <c r="C141" s="4" t="n">
        <v>78</v>
      </c>
      <c r="D141" s="4" t="inlineStr">
        <is>
          <t>health_outcome</t>
        </is>
      </c>
      <c r="E141" s="4" t="inlineStr">
        <is>
          <t>healthy</t>
        </is>
      </c>
      <c r="F141" s="4" t="inlineStr">
        <is>
          <t>registration</t>
        </is>
      </c>
      <c r="G141" s="4" t="inlineStr">
        <is>
          <t>admin1</t>
        </is>
      </c>
      <c r="H141" s="4" t="inlineStr">
        <is>
          <t>Joins today</t>
        </is>
      </c>
      <c r="I141" s="4" t="n">
        <v>3</v>
      </c>
      <c r="J141" s="4" t="inlineStr"/>
      <c r="K141" s="4" t="inlineStr">
        <is>
          <t>Curated</t>
        </is>
      </c>
      <c r="L141" s="4" t="n">
        <v>2026</v>
      </c>
      <c r="M141" s="4" t="inlineStr">
        <is>
          <t>registration</t>
        </is>
      </c>
      <c r="N141" s="4" t="inlineStr">
        <is>
          <t>2026-10-22</t>
        </is>
      </c>
      <c r="O141" s="14" t="inlineStr">
        <is>
          <t>pass</t>
        </is>
      </c>
      <c r="P141" s="14" t="inlineStr">
        <is>
          <t>pass</t>
        </is>
      </c>
      <c r="Q141" s="14" t="inlineStr">
        <is>
          <t>pass</t>
        </is>
      </c>
      <c r="R141" s="14" t="inlineStr">
        <is>
          <t>pass</t>
        </is>
      </c>
      <c r="S141" s="14" t="inlineStr">
        <is>
          <t>pass</t>
        </is>
      </c>
      <c r="T141" s="14" t="inlineStr">
        <is>
          <t>pass</t>
        </is>
      </c>
      <c r="U141" s="14" t="inlineStr">
        <is>
          <t>pass</t>
        </is>
      </c>
      <c r="V141" s="16" t="inlineStr">
        <is>
          <t>warn</t>
        </is>
      </c>
      <c r="W141" s="16" t="inlineStr">
        <is>
          <t>warn</t>
        </is>
      </c>
      <c r="X141" s="14" t="inlineStr">
        <is>
          <t>pass</t>
        </is>
      </c>
      <c r="Y141" s="16" t="inlineStr">
        <is>
          <t>warn</t>
        </is>
      </c>
      <c r="Z141" s="16" t="inlineStr">
        <is>
          <t>warn</t>
        </is>
      </c>
      <c r="AA141" s="14" t="inlineStr">
        <is>
          <t>pass</t>
        </is>
      </c>
      <c r="AB141" s="14" t="inlineStr">
        <is>
          <t>pass</t>
        </is>
      </c>
      <c r="AC141" s="16" t="inlineStr">
        <is>
          <t>warn</t>
        </is>
      </c>
      <c r="AD141" s="14" t="inlineStr">
        <is>
          <t>pass</t>
        </is>
      </c>
      <c r="AE141" s="14" t="inlineStr">
        <is>
          <t>pass</t>
        </is>
      </c>
      <c r="AF141" s="16" t="inlineStr">
        <is>
          <t>warn</t>
        </is>
      </c>
      <c r="AG141" s="16" t="inlineStr">
        <is>
          <t>warn</t>
        </is>
      </c>
      <c r="AH141" s="16" t="inlineStr">
        <is>
          <t>warn</t>
        </is>
      </c>
      <c r="AI141" s="15" t="inlineStr">
        <is>
          <t>n.a.</t>
        </is>
      </c>
      <c r="AJ141" s="15" t="inlineStr">
        <is>
          <t>n.a.</t>
        </is>
      </c>
      <c r="AK141" s="4" t="inlineStr">
        <is>
          <t>machine_metadata(warn);persistent_id(warn);license(warn);temporal(warn);version(warn);access(warn);join_key(warn);format_gaia(warn)</t>
        </is>
      </c>
      <c r="AL141" s="17" t="inlineStr">
        <is>
          <t>https://www.americashealthrankings.org/about/methodology/our-reports</t>
        </is>
      </c>
      <c r="AM141" s="4" t="inlineStr">
        <is>
          <t>us_ahr_americas_health_rankings</t>
        </is>
      </c>
    </row>
    <row r="142">
      <c r="A142" s="4" t="inlineStr">
        <is>
          <t>CDC WONDER Underlying Cause of Death (county-level mortality)</t>
        </is>
      </c>
      <c r="B142" s="19" t="inlineStr">
        <is>
          <t>Silver</t>
        </is>
      </c>
      <c r="C142" s="4" t="n">
        <v>90</v>
      </c>
      <c r="D142" s="4" t="inlineStr">
        <is>
          <t>health_outcome</t>
        </is>
      </c>
      <c r="E142" s="4" t="inlineStr">
        <is>
          <t>degraded</t>
        </is>
      </c>
      <c r="F142" s="4" t="inlineStr">
        <is>
          <t>open</t>
        </is>
      </c>
      <c r="G142" s="4" t="inlineStr">
        <is>
          <t>county</t>
        </is>
      </c>
      <c r="H142" s="4" t="inlineStr">
        <is>
          <t>Joins today</t>
        </is>
      </c>
      <c r="I142" s="4" t="n">
        <v>3</v>
      </c>
      <c r="J142" s="4" t="inlineStr"/>
      <c r="K142" s="4" t="inlineStr">
        <is>
          <t>Curated</t>
        </is>
      </c>
      <c r="L142" s="4" t="n">
        <v>2026</v>
      </c>
      <c r="M142" s="4" t="inlineStr">
        <is>
          <t>open</t>
        </is>
      </c>
      <c r="N142" s="4" t="inlineStr">
        <is>
          <t>2026-10-22</t>
        </is>
      </c>
      <c r="O142" s="14" t="inlineStr">
        <is>
          <t>pass</t>
        </is>
      </c>
      <c r="P142" s="14" t="inlineStr">
        <is>
          <t>pass</t>
        </is>
      </c>
      <c r="Q142" s="14" t="inlineStr">
        <is>
          <t>pass</t>
        </is>
      </c>
      <c r="R142" s="14" t="inlineStr">
        <is>
          <t>pass</t>
        </is>
      </c>
      <c r="S142" s="14" t="inlineStr">
        <is>
          <t>pass</t>
        </is>
      </c>
      <c r="T142" s="14" t="inlineStr">
        <is>
          <t>pass</t>
        </is>
      </c>
      <c r="U142" s="14" t="inlineStr">
        <is>
          <t>pass</t>
        </is>
      </c>
      <c r="V142" s="18" t="inlineStr">
        <is>
          <t>fail</t>
        </is>
      </c>
      <c r="W142" s="16" t="inlineStr">
        <is>
          <t>warn</t>
        </is>
      </c>
      <c r="X142" s="14" t="inlineStr">
        <is>
          <t>pass</t>
        </is>
      </c>
      <c r="Y142" s="14" t="inlineStr">
        <is>
          <t>pass</t>
        </is>
      </c>
      <c r="Z142" s="16" t="inlineStr">
        <is>
          <t>warn</t>
        </is>
      </c>
      <c r="AA142" s="14" t="inlineStr">
        <is>
          <t>pass</t>
        </is>
      </c>
      <c r="AB142" s="16" t="inlineStr">
        <is>
          <t>warn</t>
        </is>
      </c>
      <c r="AC142" s="15" t="inlineStr">
        <is>
          <t>not_checked</t>
        </is>
      </c>
      <c r="AD142" s="15" t="inlineStr">
        <is>
          <t>not_checked</t>
        </is>
      </c>
      <c r="AE142" s="16" t="inlineStr">
        <is>
          <t>warn</t>
        </is>
      </c>
      <c r="AF142" s="14" t="inlineStr">
        <is>
          <t>pass</t>
        </is>
      </c>
      <c r="AG142" s="15" t="inlineStr">
        <is>
          <t>not_checked</t>
        </is>
      </c>
      <c r="AH142" s="15" t="inlineStr">
        <is>
          <t>not_checked</t>
        </is>
      </c>
      <c r="AI142" s="15" t="inlineStr">
        <is>
          <t>n.a.</t>
        </is>
      </c>
      <c r="AJ142" s="15" t="inlineStr">
        <is>
          <t>n.a.</t>
        </is>
      </c>
      <c r="AK142" s="4" t="inlineStr">
        <is>
          <t>machine_metadata;persistent_id(warn);temporal(warn);cadence(warn);coverage(warn)</t>
        </is>
      </c>
      <c r="AL142" s="17" t="inlineStr">
        <is>
          <t>https://wonder.cdc.gov/</t>
        </is>
      </c>
      <c r="AM142" s="4" t="inlineStr">
        <is>
          <t>us_cdc_wonder_mortality</t>
        </is>
      </c>
    </row>
    <row r="143">
      <c r="A143" s="4" t="inlineStr">
        <is>
          <t>City Health Dashboard</t>
        </is>
      </c>
      <c r="B143" s="19" t="inlineStr">
        <is>
          <t>Silver</t>
        </is>
      </c>
      <c r="C143" s="4" t="n">
        <v>87</v>
      </c>
      <c r="D143" s="4" t="inlineStr">
        <is>
          <t>health_outcome</t>
        </is>
      </c>
      <c r="E143" s="4" t="inlineStr">
        <is>
          <t>degraded</t>
        </is>
      </c>
      <c r="F143" s="4" t="inlineStr">
        <is>
          <t>attribution</t>
        </is>
      </c>
      <c r="G143" s="4" t="inlineStr">
        <is>
          <t>tract</t>
        </is>
      </c>
      <c r="H143" s="4" t="inlineStr">
        <is>
          <t>Joins today</t>
        </is>
      </c>
      <c r="I143" s="4" t="n">
        <v>3</v>
      </c>
      <c r="J143" s="4" t="inlineStr"/>
      <c r="K143" s="4" t="inlineStr">
        <is>
          <t>Curated</t>
        </is>
      </c>
      <c r="L143" s="4" t="inlineStr"/>
      <c r="M143" s="4" t="inlineStr">
        <is>
          <t>unknown</t>
        </is>
      </c>
      <c r="N143" s="4" t="inlineStr">
        <is>
          <t>2026-10-22</t>
        </is>
      </c>
      <c r="O143" s="14" t="inlineStr">
        <is>
          <t>pass</t>
        </is>
      </c>
      <c r="P143" s="14" t="inlineStr">
        <is>
          <t>pass</t>
        </is>
      </c>
      <c r="Q143" s="14" t="inlineStr">
        <is>
          <t>pass</t>
        </is>
      </c>
      <c r="R143" s="14" t="inlineStr">
        <is>
          <t>pass</t>
        </is>
      </c>
      <c r="S143" s="14" t="inlineStr">
        <is>
          <t>pass</t>
        </is>
      </c>
      <c r="T143" s="14" t="inlineStr">
        <is>
          <t>pass</t>
        </is>
      </c>
      <c r="U143" s="16" t="inlineStr">
        <is>
          <t>warn</t>
        </is>
      </c>
      <c r="V143" s="18" t="inlineStr">
        <is>
          <t>fail</t>
        </is>
      </c>
      <c r="W143" s="16" t="inlineStr">
        <is>
          <t>warn</t>
        </is>
      </c>
      <c r="X143" s="14" t="inlineStr">
        <is>
          <t>pass</t>
        </is>
      </c>
      <c r="Y143" s="14" t="inlineStr">
        <is>
          <t>pass</t>
        </is>
      </c>
      <c r="Z143" s="16" t="inlineStr">
        <is>
          <t>warn</t>
        </is>
      </c>
      <c r="AA143" s="15" t="inlineStr">
        <is>
          <t>not_checked</t>
        </is>
      </c>
      <c r="AB143" s="15" t="inlineStr">
        <is>
          <t>not_checked</t>
        </is>
      </c>
      <c r="AC143" s="16" t="inlineStr">
        <is>
          <t>warn</t>
        </is>
      </c>
      <c r="AD143" s="14" t="inlineStr">
        <is>
          <t>pass</t>
        </is>
      </c>
      <c r="AE143" s="16" t="inlineStr">
        <is>
          <t>warn</t>
        </is>
      </c>
      <c r="AF143" s="14" t="inlineStr">
        <is>
          <t>pass</t>
        </is>
      </c>
      <c r="AG143" s="16" t="inlineStr">
        <is>
          <t>warn</t>
        </is>
      </c>
      <c r="AH143" s="14" t="inlineStr">
        <is>
          <t>pass</t>
        </is>
      </c>
      <c r="AI143" s="15" t="inlineStr">
        <is>
          <t>n.a.</t>
        </is>
      </c>
      <c r="AJ143" s="15" t="inlineStr">
        <is>
          <t>n.a.</t>
        </is>
      </c>
      <c r="AK143" s="4" t="inlineStr">
        <is>
          <t>machine_metadata;format_match(warn);persistent_id(warn);temporal(warn);version(warn);coverage(warn);join_key(warn)</t>
        </is>
      </c>
      <c r="AL143" s="17" t="inlineStr">
        <is>
          <t>https://www.cityhealthdashboard.com/</t>
        </is>
      </c>
      <c r="AM143" s="4" t="inlineStr">
        <is>
          <t>us_nyu_city_health_dashboard</t>
        </is>
      </c>
    </row>
    <row r="144">
      <c r="A144" s="4" t="inlineStr">
        <is>
          <t>County Health Rankings &amp; Roadmaps</t>
        </is>
      </c>
      <c r="B144" s="19" t="inlineStr">
        <is>
          <t>Silver</t>
        </is>
      </c>
      <c r="C144" s="4" t="n">
        <v>86</v>
      </c>
      <c r="D144" s="4" t="inlineStr">
        <is>
          <t>health_outcome</t>
        </is>
      </c>
      <c r="E144" s="4" t="inlineStr">
        <is>
          <t>healthy</t>
        </is>
      </c>
      <c r="F144" s="4" t="inlineStr">
        <is>
          <t>non-commercial</t>
        </is>
      </c>
      <c r="G144" s="4" t="inlineStr">
        <is>
          <t>county</t>
        </is>
      </c>
      <c r="H144" s="4" t="inlineStr">
        <is>
          <t>Joins today</t>
        </is>
      </c>
      <c r="I144" s="4" t="n">
        <v>3</v>
      </c>
      <c r="J144" s="4" t="inlineStr"/>
      <c r="K144" s="4" t="inlineStr">
        <is>
          <t>Curated</t>
        </is>
      </c>
      <c r="L144" s="4" t="n">
        <v>2026</v>
      </c>
      <c r="M144" s="4" t="inlineStr">
        <is>
          <t>open</t>
        </is>
      </c>
      <c r="N144" s="4" t="inlineStr">
        <is>
          <t>2026-10-22</t>
        </is>
      </c>
      <c r="O144" s="14" t="inlineStr">
        <is>
          <t>pass</t>
        </is>
      </c>
      <c r="P144" s="14" t="inlineStr">
        <is>
          <t>pass</t>
        </is>
      </c>
      <c r="Q144" s="14" t="inlineStr">
        <is>
          <t>pass</t>
        </is>
      </c>
      <c r="R144" s="14" t="inlineStr">
        <is>
          <t>pass</t>
        </is>
      </c>
      <c r="S144" s="14" t="inlineStr">
        <is>
          <t>pass</t>
        </is>
      </c>
      <c r="T144" s="14" t="inlineStr">
        <is>
          <t>pass</t>
        </is>
      </c>
      <c r="U144" s="16" t="inlineStr">
        <is>
          <t>warn</t>
        </is>
      </c>
      <c r="V144" s="16" t="inlineStr">
        <is>
          <t>warn</t>
        </is>
      </c>
      <c r="W144" s="16" t="inlineStr">
        <is>
          <t>warn</t>
        </is>
      </c>
      <c r="X144" s="14" t="inlineStr">
        <is>
          <t>pass</t>
        </is>
      </c>
      <c r="Y144" s="16" t="inlineStr">
        <is>
          <t>warn</t>
        </is>
      </c>
      <c r="Z144" s="14" t="inlineStr">
        <is>
          <t>pass</t>
        </is>
      </c>
      <c r="AA144" s="14" t="inlineStr">
        <is>
          <t>pass</t>
        </is>
      </c>
      <c r="AB144" s="16" t="inlineStr">
        <is>
          <t>warn</t>
        </is>
      </c>
      <c r="AC144" s="14" t="inlineStr">
        <is>
          <t>pass</t>
        </is>
      </c>
      <c r="AD144" s="14" t="inlineStr">
        <is>
          <t>pass</t>
        </is>
      </c>
      <c r="AE144" s="14" t="inlineStr">
        <is>
          <t>pass</t>
        </is>
      </c>
      <c r="AF144" s="14" t="inlineStr">
        <is>
          <t>pass</t>
        </is>
      </c>
      <c r="AG144" s="16" t="inlineStr">
        <is>
          <t>warn</t>
        </is>
      </c>
      <c r="AH144" s="16" t="inlineStr">
        <is>
          <t>warn</t>
        </is>
      </c>
      <c r="AI144" s="15" t="inlineStr">
        <is>
          <t>n.a.</t>
        </is>
      </c>
      <c r="AJ144" s="15" t="inlineStr">
        <is>
          <t>n.a.</t>
        </is>
      </c>
      <c r="AK144" s="4" t="inlineStr">
        <is>
          <t>format_match(warn);machine_metadata(warn);persistent_id(warn);license(warn);cadence(warn);join_key(warn);format_gaia(warn)</t>
        </is>
      </c>
      <c r="AL144" s="17" t="inlineStr">
        <is>
          <t>https://www.countyhealthrankings.org/health-data/methodology-and-sources/data-documentation</t>
        </is>
      </c>
      <c r="AM144" s="4" t="inlineStr">
        <is>
          <t>us_chrr_county_health_rankings</t>
        </is>
      </c>
    </row>
    <row r="145">
      <c r="A145" s="4" t="inlineStr">
        <is>
          <t>Dartmouth Atlas of Health Care data</t>
        </is>
      </c>
      <c r="B145" s="19" t="inlineStr">
        <is>
          <t>Silver</t>
        </is>
      </c>
      <c r="C145" s="4" t="n">
        <v>89</v>
      </c>
      <c r="D145" s="4" t="inlineStr">
        <is>
          <t>health_outcome</t>
        </is>
      </c>
      <c r="E145" s="4" t="inlineStr">
        <is>
          <t>healthy</t>
        </is>
      </c>
      <c r="F145" s="4" t="inlineStr">
        <is>
          <t>unknown</t>
        </is>
      </c>
      <c r="G145" s="4" t="inlineStr">
        <is>
          <t>zip</t>
        </is>
      </c>
      <c r="H145" s="4" t="inlineStr">
        <is>
          <t>Joins today</t>
        </is>
      </c>
      <c r="I145" s="4" t="n">
        <v>3</v>
      </c>
      <c r="J145" s="4" t="inlineStr"/>
      <c r="K145" s="4" t="inlineStr">
        <is>
          <t>Curated</t>
        </is>
      </c>
      <c r="L145" s="4" t="n">
        <v>2019</v>
      </c>
      <c r="M145" s="4" t="inlineStr">
        <is>
          <t>open</t>
        </is>
      </c>
      <c r="N145" s="4" t="inlineStr">
        <is>
          <t>2026-10-22</t>
        </is>
      </c>
      <c r="O145" s="14" t="inlineStr">
        <is>
          <t>pass</t>
        </is>
      </c>
      <c r="P145" s="14" t="inlineStr">
        <is>
          <t>pass</t>
        </is>
      </c>
      <c r="Q145" s="14" t="inlineStr">
        <is>
          <t>pass</t>
        </is>
      </c>
      <c r="R145" s="14" t="inlineStr">
        <is>
          <t>pass</t>
        </is>
      </c>
      <c r="S145" s="14" t="inlineStr">
        <is>
          <t>pass</t>
        </is>
      </c>
      <c r="T145" s="14" t="inlineStr">
        <is>
          <t>pass</t>
        </is>
      </c>
      <c r="U145" s="16" t="inlineStr">
        <is>
          <t>warn</t>
        </is>
      </c>
      <c r="V145" s="16" t="inlineStr">
        <is>
          <t>warn</t>
        </is>
      </c>
      <c r="W145" s="16" t="inlineStr">
        <is>
          <t>warn</t>
        </is>
      </c>
      <c r="X145" s="14" t="inlineStr">
        <is>
          <t>pass</t>
        </is>
      </c>
      <c r="Y145" s="15" t="inlineStr">
        <is>
          <t>not_checked</t>
        </is>
      </c>
      <c r="Z145" s="16" t="inlineStr">
        <is>
          <t>warn</t>
        </is>
      </c>
      <c r="AA145" s="16" t="inlineStr">
        <is>
          <t>warn</t>
        </is>
      </c>
      <c r="AB145" s="16" t="inlineStr">
        <is>
          <t>warn</t>
        </is>
      </c>
      <c r="AC145" s="15" t="inlineStr">
        <is>
          <t>not_checked</t>
        </is>
      </c>
      <c r="AD145" s="14" t="inlineStr">
        <is>
          <t>pass</t>
        </is>
      </c>
      <c r="AE145" s="16" t="inlineStr">
        <is>
          <t>warn</t>
        </is>
      </c>
      <c r="AF145" s="14" t="inlineStr">
        <is>
          <t>pass</t>
        </is>
      </c>
      <c r="AG145" s="14" t="inlineStr">
        <is>
          <t>pass</t>
        </is>
      </c>
      <c r="AH145" s="14" t="inlineStr">
        <is>
          <t>pass</t>
        </is>
      </c>
      <c r="AI145" s="15" t="inlineStr">
        <is>
          <t>n.a.</t>
        </is>
      </c>
      <c r="AJ145" s="15" t="inlineStr">
        <is>
          <t>n.a.</t>
        </is>
      </c>
      <c r="AK145" s="4" t="inlineStr">
        <is>
          <t>format_match(warn);machine_metadata(warn);persistent_id(warn);temporal(warn);recency(warn);cadence(warn);coverage(warn)</t>
        </is>
      </c>
      <c r="AL145" s="17" t="inlineStr">
        <is>
          <t>https://data.dartmouthatlas.org/</t>
        </is>
      </c>
      <c r="AM145" s="4" t="inlineStr">
        <is>
          <t>us_dartmouth_atlas</t>
        </is>
      </c>
    </row>
    <row r="146">
      <c r="A146" s="4" t="inlineStr">
        <is>
          <t>Fingertips Public Health Profiles</t>
        </is>
      </c>
      <c r="B146" s="19" t="inlineStr">
        <is>
          <t>Silver</t>
        </is>
      </c>
      <c r="C146" s="4" t="n">
        <v>90</v>
      </c>
      <c r="D146" s="4" t="inlineStr">
        <is>
          <t>health_outcome</t>
        </is>
      </c>
      <c r="E146" s="4" t="inlineStr">
        <is>
          <t>degraded</t>
        </is>
      </c>
      <c r="F146" s="4" t="inlineStr">
        <is>
          <t>open</t>
        </is>
      </c>
      <c r="G146" s="4" t="inlineStr">
        <is>
          <t>unknown</t>
        </is>
      </c>
      <c r="H146" s="4" t="inlineStr">
        <is>
          <t>Unknown</t>
        </is>
      </c>
      <c r="I146" s="4" t="n">
        <v>3</v>
      </c>
      <c r="J146" s="4" t="inlineStr"/>
      <c r="K146" s="4" t="inlineStr">
        <is>
          <t>Curated</t>
        </is>
      </c>
      <c r="L146" s="4" t="n">
        <v>2026</v>
      </c>
      <c r="M146" s="4" t="inlineStr">
        <is>
          <t>open</t>
        </is>
      </c>
      <c r="N146" s="4" t="inlineStr">
        <is>
          <t>2026-10-28</t>
        </is>
      </c>
      <c r="O146" s="14" t="inlineStr">
        <is>
          <t>pass</t>
        </is>
      </c>
      <c r="P146" s="14" t="inlineStr">
        <is>
          <t>pass</t>
        </is>
      </c>
      <c r="Q146" s="14" t="inlineStr">
        <is>
          <t>pass</t>
        </is>
      </c>
      <c r="R146" s="14" t="inlineStr">
        <is>
          <t>pass</t>
        </is>
      </c>
      <c r="S146" s="14" t="inlineStr">
        <is>
          <t>pass</t>
        </is>
      </c>
      <c r="T146" s="14" t="inlineStr">
        <is>
          <t>pass</t>
        </is>
      </c>
      <c r="U146" s="14" t="inlineStr">
        <is>
          <t>pass</t>
        </is>
      </c>
      <c r="V146" s="18" t="inlineStr">
        <is>
          <t>fail</t>
        </is>
      </c>
      <c r="W146" s="16" t="inlineStr">
        <is>
          <t>warn</t>
        </is>
      </c>
      <c r="X146" s="14" t="inlineStr">
        <is>
          <t>pass</t>
        </is>
      </c>
      <c r="Y146" s="14" t="inlineStr">
        <is>
          <t>pass</t>
        </is>
      </c>
      <c r="Z146" s="16" t="inlineStr">
        <is>
          <t>warn</t>
        </is>
      </c>
      <c r="AA146" s="14" t="inlineStr">
        <is>
          <t>pass</t>
        </is>
      </c>
      <c r="AB146" s="16" t="inlineStr">
        <is>
          <t>warn</t>
        </is>
      </c>
      <c r="AC146" s="15" t="inlineStr">
        <is>
          <t>not_checked</t>
        </is>
      </c>
      <c r="AD146" s="15" t="inlineStr">
        <is>
          <t>not_checked</t>
        </is>
      </c>
      <c r="AE146" s="16" t="inlineStr">
        <is>
          <t>warn</t>
        </is>
      </c>
      <c r="AF146" s="14" t="inlineStr">
        <is>
          <t>pass</t>
        </is>
      </c>
      <c r="AG146" s="15" t="inlineStr">
        <is>
          <t>not_checked</t>
        </is>
      </c>
      <c r="AH146" s="16" t="inlineStr">
        <is>
          <t>warn</t>
        </is>
      </c>
      <c r="AI146" s="15" t="inlineStr">
        <is>
          <t>n.a.</t>
        </is>
      </c>
      <c r="AJ146" s="15" t="inlineStr">
        <is>
          <t>n.a.</t>
        </is>
      </c>
      <c r="AK146" s="4" t="inlineStr">
        <is>
          <t>machine_metadata;persistent_id(warn);temporal(warn);cadence(warn);coverage(warn);format_gaia(warn)</t>
        </is>
      </c>
      <c r="AL146" s="17" t="inlineStr">
        <is>
          <t>https://fingertips.phe.org.uk/</t>
        </is>
      </c>
      <c r="AM146" s="4" t="inlineStr">
        <is>
          <t>gb_ohid_fingertips</t>
        </is>
      </c>
    </row>
    <row r="147">
      <c r="A147" s="4" t="inlineStr">
        <is>
          <t>Global Subnational Infant Mortality Rates, Version 2 / 2.01</t>
        </is>
      </c>
      <c r="B147" s="19" t="inlineStr">
        <is>
          <t>Silver</t>
        </is>
      </c>
      <c r="C147" s="4" t="n">
        <v>91</v>
      </c>
      <c r="D147" s="4" t="inlineStr">
        <is>
          <t>health_outcome</t>
        </is>
      </c>
      <c r="E147" s="4" t="inlineStr">
        <is>
          <t>healthy</t>
        </is>
      </c>
      <c r="F147" s="4" t="inlineStr">
        <is>
          <t>open</t>
        </is>
      </c>
      <c r="G147" s="4" t="inlineStr">
        <is>
          <t>grid_1km (30 arc-second grid)</t>
        </is>
      </c>
      <c r="H147" s="4" t="inlineStr">
        <is>
          <t>Needs raster support</t>
        </is>
      </c>
      <c r="I147" s="4" t="n">
        <v>3</v>
      </c>
      <c r="J147" s="4" t="inlineStr"/>
      <c r="K147" s="4" t="inlineStr">
        <is>
          <t>Curated</t>
        </is>
      </c>
      <c r="L147" s="4" t="n">
        <v>2015</v>
      </c>
      <c r="M147" s="4" t="inlineStr">
        <is>
          <t>registration</t>
        </is>
      </c>
      <c r="N147" s="4" t="inlineStr">
        <is>
          <t>2026-10-22</t>
        </is>
      </c>
      <c r="O147" s="14" t="inlineStr">
        <is>
          <t>pass</t>
        </is>
      </c>
      <c r="P147" s="14" t="inlineStr">
        <is>
          <t>pass</t>
        </is>
      </c>
      <c r="Q147" s="14" t="inlineStr">
        <is>
          <t>pass</t>
        </is>
      </c>
      <c r="R147" s="14" t="inlineStr">
        <is>
          <t>pass</t>
        </is>
      </c>
      <c r="S147" s="14" t="inlineStr">
        <is>
          <t>pass</t>
        </is>
      </c>
      <c r="T147" s="14" t="inlineStr">
        <is>
          <t>pass</t>
        </is>
      </c>
      <c r="U147" s="16" t="inlineStr">
        <is>
          <t>warn</t>
        </is>
      </c>
      <c r="V147" s="14" t="inlineStr">
        <is>
          <t>pass</t>
        </is>
      </c>
      <c r="W147" s="14" t="inlineStr">
        <is>
          <t>pass</t>
        </is>
      </c>
      <c r="X147" s="14" t="inlineStr">
        <is>
          <t>pass</t>
        </is>
      </c>
      <c r="Y147" s="14" t="inlineStr">
        <is>
          <t>pass</t>
        </is>
      </c>
      <c r="Z147" s="14" t="inlineStr">
        <is>
          <t>pass</t>
        </is>
      </c>
      <c r="AA147" s="16" t="inlineStr">
        <is>
          <t>warn</t>
        </is>
      </c>
      <c r="AB147" s="16" t="inlineStr">
        <is>
          <t>warn</t>
        </is>
      </c>
      <c r="AC147" s="14" t="inlineStr">
        <is>
          <t>pass</t>
        </is>
      </c>
      <c r="AD147" s="14" t="inlineStr">
        <is>
          <t>pass</t>
        </is>
      </c>
      <c r="AE147" s="14" t="inlineStr">
        <is>
          <t>pass</t>
        </is>
      </c>
      <c r="AF147" s="15" t="inlineStr">
        <is>
          <t>not_checked</t>
        </is>
      </c>
      <c r="AG147" s="16" t="inlineStr">
        <is>
          <t>warn</t>
        </is>
      </c>
      <c r="AH147" s="14" t="inlineStr">
        <is>
          <t>pass</t>
        </is>
      </c>
      <c r="AI147" s="15" t="inlineStr">
        <is>
          <t>n.a.</t>
        </is>
      </c>
      <c r="AJ147" s="15" t="inlineStr">
        <is>
          <t>n.a.</t>
        </is>
      </c>
      <c r="AK147" s="4" t="inlineStr">
        <is>
          <t>format_match(warn);recency(warn);cadence(warn);join_key(warn)</t>
        </is>
      </c>
      <c r="AL147" s="17" t="inlineStr">
        <is>
          <t>https://www.earthdata.nasa.gov/data/catalog/esdis-ciesin-sedac-pmp-imr-v2-2.0</t>
        </is>
      </c>
      <c r="AM147" s="4" t="inlineStr">
        <is>
          <t>global_sedac_infant_mortality_v2</t>
        </is>
      </c>
    </row>
    <row r="148">
      <c r="A148" s="4" t="inlineStr">
        <is>
          <t>Health Facilities in Mekong Countries 2020</t>
        </is>
      </c>
      <c r="B148" s="19" t="inlineStr">
        <is>
          <t>Silver</t>
        </is>
      </c>
      <c r="C148" s="4" t="n">
        <v>100</v>
      </c>
      <c r="D148" s="4" t="inlineStr">
        <is>
          <t>health_outcome</t>
        </is>
      </c>
      <c r="E148" s="4" t="inlineStr">
        <is>
          <t>healthy</t>
        </is>
      </c>
      <c r="F148" s="4" t="inlineStr">
        <is>
          <t>open</t>
        </is>
      </c>
      <c r="G148" s="4" t="inlineStr">
        <is>
          <t>point</t>
        </is>
      </c>
      <c r="H148" s="4" t="inlineStr">
        <is>
          <t>Needs a count/distance step</t>
        </is>
      </c>
      <c r="I148" s="4" t="n">
        <v>3</v>
      </c>
      <c r="J148" s="4" t="inlineStr"/>
      <c r="K148" s="4" t="inlineStr">
        <is>
          <t>Catalog lead</t>
        </is>
      </c>
      <c r="L148" s="4" t="n">
        <v>2020</v>
      </c>
      <c r="M148" s="4" t="inlineStr">
        <is>
          <t>open</t>
        </is>
      </c>
      <c r="N148" s="4" t="inlineStr">
        <is>
          <t>2026-10-22</t>
        </is>
      </c>
      <c r="O148" s="14" t="inlineStr">
        <is>
          <t>pass</t>
        </is>
      </c>
      <c r="P148" s="14" t="inlineStr">
        <is>
          <t>pass</t>
        </is>
      </c>
      <c r="Q148" s="14" t="inlineStr">
        <is>
          <t>pass</t>
        </is>
      </c>
      <c r="R148" s="14" t="inlineStr">
        <is>
          <t>pass</t>
        </is>
      </c>
      <c r="S148" s="14" t="inlineStr">
        <is>
          <t>pass</t>
        </is>
      </c>
      <c r="T148" s="14" t="inlineStr">
        <is>
          <t>pass</t>
        </is>
      </c>
      <c r="U148" s="14" t="inlineStr">
        <is>
          <t>pass</t>
        </is>
      </c>
      <c r="V148" s="14" t="inlineStr">
        <is>
          <t>pass</t>
        </is>
      </c>
      <c r="W148" s="16" t="inlineStr">
        <is>
          <t>warn</t>
        </is>
      </c>
      <c r="X148" s="16" t="inlineStr">
        <is>
          <t>warn</t>
        </is>
      </c>
      <c r="Y148" s="14" t="inlineStr">
        <is>
          <t>pass</t>
        </is>
      </c>
      <c r="Z148" s="14" t="inlineStr">
        <is>
          <t>pass</t>
        </is>
      </c>
      <c r="AA148" s="14" t="inlineStr">
        <is>
          <t>pass</t>
        </is>
      </c>
      <c r="AB148" s="15" t="inlineStr">
        <is>
          <t>not_checked</t>
        </is>
      </c>
      <c r="AC148" s="16" t="inlineStr">
        <is>
          <t>warn</t>
        </is>
      </c>
      <c r="AD148" s="15" t="inlineStr">
        <is>
          <t>not_checked</t>
        </is>
      </c>
      <c r="AE148" s="14" t="inlineStr">
        <is>
          <t>pass</t>
        </is>
      </c>
      <c r="AF148" s="14" t="inlineStr">
        <is>
          <t>pass</t>
        </is>
      </c>
      <c r="AG148" s="14" t="inlineStr">
        <is>
          <t>pass</t>
        </is>
      </c>
      <c r="AH148" s="14" t="inlineStr">
        <is>
          <t>pass</t>
        </is>
      </c>
      <c r="AI148" s="15" t="inlineStr">
        <is>
          <t>n.a.</t>
        </is>
      </c>
      <c r="AJ148" s="15" t="inlineStr">
        <is>
          <t>n.a.</t>
        </is>
      </c>
      <c r="AK148" s="4" t="inlineStr">
        <is>
          <t>persistent_id(warn);archived(warn);version(warn)</t>
        </is>
      </c>
      <c r="AL148" s="17" t="inlineStr">
        <is>
          <t>https://data.opendevelopmentmekong.net/dataset/health-facilities-in-mekong-countries-2020</t>
        </is>
      </c>
      <c r="AM148" s="4" t="inlineStr">
        <is>
          <t>mekong_odm_health_facilities_in_mekong_countries_2020</t>
        </is>
      </c>
    </row>
    <row r="149">
      <c r="A149" s="4" t="inlineStr">
        <is>
          <t>Integrated African Health Observatory (iAHO)</t>
        </is>
      </c>
      <c r="B149" s="19" t="inlineStr">
        <is>
          <t>Silver</t>
        </is>
      </c>
      <c r="C149" s="4" t="n">
        <v>92</v>
      </c>
      <c r="D149" s="4" t="inlineStr">
        <is>
          <t>health_outcome</t>
        </is>
      </c>
      <c r="E149" s="4" t="inlineStr">
        <is>
          <t>degraded</t>
        </is>
      </c>
      <c r="F149" s="4" t="inlineStr">
        <is>
          <t>unknown</t>
        </is>
      </c>
      <c r="G149" s="4" t="inlineStr">
        <is>
          <t>country</t>
        </is>
      </c>
      <c r="H149" s="4" t="inlineStr">
        <is>
          <t>Not linkable as listed</t>
        </is>
      </c>
      <c r="I149" s="4" t="n">
        <v>3</v>
      </c>
      <c r="J149" s="4" t="inlineStr"/>
      <c r="K149" s="4" t="inlineStr">
        <is>
          <t>Curated</t>
        </is>
      </c>
      <c r="L149" s="4" t="inlineStr"/>
      <c r="M149" s="4" t="inlineStr">
        <is>
          <t>open</t>
        </is>
      </c>
      <c r="N149" s="4" t="inlineStr">
        <is>
          <t>2026-10-28</t>
        </is>
      </c>
      <c r="O149" s="14" t="inlineStr">
        <is>
          <t>pass</t>
        </is>
      </c>
      <c r="P149" s="14" t="inlineStr">
        <is>
          <t>pass</t>
        </is>
      </c>
      <c r="Q149" s="14" t="inlineStr">
        <is>
          <t>pass</t>
        </is>
      </c>
      <c r="R149" s="14" t="inlineStr">
        <is>
          <t>pass</t>
        </is>
      </c>
      <c r="S149" s="14" t="inlineStr">
        <is>
          <t>pass</t>
        </is>
      </c>
      <c r="T149" s="15" t="inlineStr">
        <is>
          <t>n.a.</t>
        </is>
      </c>
      <c r="U149" s="15" t="inlineStr">
        <is>
          <t>n.a.</t>
        </is>
      </c>
      <c r="V149" s="18" t="inlineStr">
        <is>
          <t>fail</t>
        </is>
      </c>
      <c r="W149" s="16" t="inlineStr">
        <is>
          <t>warn</t>
        </is>
      </c>
      <c r="X149" s="14" t="inlineStr">
        <is>
          <t>pass</t>
        </is>
      </c>
      <c r="Y149" s="15" t="inlineStr">
        <is>
          <t>not_checked</t>
        </is>
      </c>
      <c r="Z149" s="15" t="inlineStr">
        <is>
          <t>not_checked</t>
        </is>
      </c>
      <c r="AA149" s="15" t="inlineStr">
        <is>
          <t>not_checked</t>
        </is>
      </c>
      <c r="AB149" s="15" t="inlineStr">
        <is>
          <t>not_checked</t>
        </is>
      </c>
      <c r="AC149" s="15" t="inlineStr">
        <is>
          <t>not_checked</t>
        </is>
      </c>
      <c r="AD149" s="14" t="inlineStr">
        <is>
          <t>pass</t>
        </is>
      </c>
      <c r="AE149" s="14" t="inlineStr">
        <is>
          <t>pass</t>
        </is>
      </c>
      <c r="AF149" s="15" t="inlineStr">
        <is>
          <t>not_checked</t>
        </is>
      </c>
      <c r="AG149" s="15" t="inlineStr">
        <is>
          <t>not_checked</t>
        </is>
      </c>
      <c r="AH149" s="15" t="inlineStr">
        <is>
          <t>not_checked</t>
        </is>
      </c>
      <c r="AI149" s="15" t="inlineStr">
        <is>
          <t>n.a.</t>
        </is>
      </c>
      <c r="AJ149" s="15" t="inlineStr">
        <is>
          <t>n.a.</t>
        </is>
      </c>
      <c r="AK149" s="4" t="inlineStr">
        <is>
          <t>machine_metadata;persistent_id(warn)</t>
        </is>
      </c>
      <c r="AL149" s="17" t="inlineStr">
        <is>
          <t>https://aho.afro.who.int/</t>
        </is>
      </c>
      <c r="AM149" s="4" t="inlineStr">
        <is>
          <t>global_who_afro_iaho</t>
        </is>
      </c>
    </row>
    <row r="150">
      <c r="A150" s="4" t="inlineStr">
        <is>
          <t>Interactive Atlas of Heart Disease and Stroke</t>
        </is>
      </c>
      <c r="B150" s="19" t="inlineStr">
        <is>
          <t>Silver</t>
        </is>
      </c>
      <c r="C150" s="4" t="n">
        <v>97</v>
      </c>
      <c r="D150" s="4" t="inlineStr">
        <is>
          <t>health_outcome</t>
        </is>
      </c>
      <c r="E150" s="4" t="inlineStr">
        <is>
          <t>healthy</t>
        </is>
      </c>
      <c r="F150" s="4" t="inlineStr">
        <is>
          <t>public_domain_us_federal</t>
        </is>
      </c>
      <c r="G150" s="4" t="inlineStr">
        <is>
          <t>tract</t>
        </is>
      </c>
      <c r="H150" s="4" t="inlineStr">
        <is>
          <t>Joins today</t>
        </is>
      </c>
      <c r="I150" s="4" t="n">
        <v>3</v>
      </c>
      <c r="J150" s="4" t="inlineStr"/>
      <c r="K150" s="4" t="inlineStr">
        <is>
          <t>Curated</t>
        </is>
      </c>
      <c r="L150" s="4" t="n">
        <v>2026</v>
      </c>
      <c r="M150" s="4" t="inlineStr">
        <is>
          <t>open</t>
        </is>
      </c>
      <c r="N150" s="4" t="inlineStr">
        <is>
          <t>2026-10-29</t>
        </is>
      </c>
      <c r="O150" s="14" t="inlineStr">
        <is>
          <t>pass</t>
        </is>
      </c>
      <c r="P150" s="14" t="inlineStr">
        <is>
          <t>pass</t>
        </is>
      </c>
      <c r="Q150" s="14" t="inlineStr">
        <is>
          <t>pass</t>
        </is>
      </c>
      <c r="R150" s="14" t="inlineStr">
        <is>
          <t>pass</t>
        </is>
      </c>
      <c r="S150" s="14" t="inlineStr">
        <is>
          <t>pass</t>
        </is>
      </c>
      <c r="T150" s="14" t="inlineStr">
        <is>
          <t>pass</t>
        </is>
      </c>
      <c r="U150" s="14" t="inlineStr">
        <is>
          <t>pass</t>
        </is>
      </c>
      <c r="V150" s="16" t="inlineStr">
        <is>
          <t>warn</t>
        </is>
      </c>
      <c r="W150" s="16" t="inlineStr">
        <is>
          <t>warn</t>
        </is>
      </c>
      <c r="X150" s="14" t="inlineStr">
        <is>
          <t>pass</t>
        </is>
      </c>
      <c r="Y150" s="14" t="inlineStr">
        <is>
          <t>pass</t>
        </is>
      </c>
      <c r="Z150" s="15" t="inlineStr">
        <is>
          <t>not_checked</t>
        </is>
      </c>
      <c r="AA150" s="15" t="inlineStr">
        <is>
          <t>not_checked</t>
        </is>
      </c>
      <c r="AB150" s="15" t="inlineStr">
        <is>
          <t>not_checked</t>
        </is>
      </c>
      <c r="AC150" s="15" t="inlineStr">
        <is>
          <t>not_checked</t>
        </is>
      </c>
      <c r="AD150" s="14" t="inlineStr">
        <is>
          <t>pass</t>
        </is>
      </c>
      <c r="AE150" s="16" t="inlineStr">
        <is>
          <t>warn</t>
        </is>
      </c>
      <c r="AF150" s="15" t="inlineStr">
        <is>
          <t>not_checked</t>
        </is>
      </c>
      <c r="AG150" s="15" t="inlineStr">
        <is>
          <t>not_checked</t>
        </is>
      </c>
      <c r="AH150" s="16" t="inlineStr">
        <is>
          <t>warn</t>
        </is>
      </c>
      <c r="AI150" s="15" t="inlineStr">
        <is>
          <t>n.a.</t>
        </is>
      </c>
      <c r="AJ150" s="15" t="inlineStr">
        <is>
          <t>n.a.</t>
        </is>
      </c>
      <c r="AK150" s="4" t="inlineStr">
        <is>
          <t>machine_metadata(warn);persistent_id(warn);coverage(warn);format_gaia(warn)</t>
        </is>
      </c>
      <c r="AL150" s="17" t="inlineStr">
        <is>
          <t>https://www.cdc.gov/heart-disease-stroke-atlas/about/index.html</t>
        </is>
      </c>
      <c r="AM150" s="4" t="inlineStr">
        <is>
          <t>us_cdc_heart_disease_stroke_atlas</t>
        </is>
      </c>
    </row>
    <row r="151">
      <c r="A151" s="4" t="inlineStr">
        <is>
          <t>PLACES: Local Data for Better Health</t>
        </is>
      </c>
      <c r="B151" s="13" t="inlineStr">
        <is>
          <t>Gold</t>
        </is>
      </c>
      <c r="C151" s="4" t="n">
        <v>93</v>
      </c>
      <c r="D151" s="4" t="inlineStr">
        <is>
          <t>health_outcome</t>
        </is>
      </c>
      <c r="E151" s="4" t="inlineStr">
        <is>
          <t>healthy</t>
        </is>
      </c>
      <c r="F151" s="4" t="inlineStr">
        <is>
          <t>public_domain_us_federal</t>
        </is>
      </c>
      <c r="G151" s="4" t="inlineStr">
        <is>
          <t>tract</t>
        </is>
      </c>
      <c r="H151" s="4" t="inlineStr">
        <is>
          <t>Joins today</t>
        </is>
      </c>
      <c r="I151" s="4" t="n">
        <v>3</v>
      </c>
      <c r="J151" s="4" t="inlineStr"/>
      <c r="K151" s="4" t="inlineStr">
        <is>
          <t>Curated</t>
        </is>
      </c>
      <c r="L151" s="4" t="n">
        <v>2023</v>
      </c>
      <c r="M151" s="4" t="inlineStr">
        <is>
          <t>open</t>
        </is>
      </c>
      <c r="N151" s="4" t="inlineStr">
        <is>
          <t>2026-10-29</t>
        </is>
      </c>
      <c r="O151" s="14" t="inlineStr">
        <is>
          <t>pass</t>
        </is>
      </c>
      <c r="P151" s="14" t="inlineStr">
        <is>
          <t>pass</t>
        </is>
      </c>
      <c r="Q151" s="14" t="inlineStr">
        <is>
          <t>pass</t>
        </is>
      </c>
      <c r="R151" s="14" t="inlineStr">
        <is>
          <t>pass</t>
        </is>
      </c>
      <c r="S151" s="14" t="inlineStr">
        <is>
          <t>pass</t>
        </is>
      </c>
      <c r="T151" s="14" t="inlineStr">
        <is>
          <t>pass</t>
        </is>
      </c>
      <c r="U151" s="14" t="inlineStr">
        <is>
          <t>pass</t>
        </is>
      </c>
      <c r="V151" s="16" t="inlineStr">
        <is>
          <t>warn</t>
        </is>
      </c>
      <c r="W151" s="16" t="inlineStr">
        <is>
          <t>warn</t>
        </is>
      </c>
      <c r="X151" s="14" t="inlineStr">
        <is>
          <t>pass</t>
        </is>
      </c>
      <c r="Y151" s="14" t="inlineStr">
        <is>
          <t>pass</t>
        </is>
      </c>
      <c r="Z151" s="14" t="inlineStr">
        <is>
          <t>pass</t>
        </is>
      </c>
      <c r="AA151" s="14" t="inlineStr">
        <is>
          <t>pass</t>
        </is>
      </c>
      <c r="AB151" s="16" t="inlineStr">
        <is>
          <t>warn</t>
        </is>
      </c>
      <c r="AC151" s="14" t="inlineStr">
        <is>
          <t>pass</t>
        </is>
      </c>
      <c r="AD151" s="14" t="inlineStr">
        <is>
          <t>pass</t>
        </is>
      </c>
      <c r="AE151" s="16" t="inlineStr">
        <is>
          <t>warn</t>
        </is>
      </c>
      <c r="AF151" s="14" t="inlineStr">
        <is>
          <t>pass</t>
        </is>
      </c>
      <c r="AG151" s="16" t="inlineStr">
        <is>
          <t>warn</t>
        </is>
      </c>
      <c r="AH151" s="15" t="inlineStr">
        <is>
          <t>not_checked</t>
        </is>
      </c>
      <c r="AI151" s="15" t="inlineStr">
        <is>
          <t>n.a.</t>
        </is>
      </c>
      <c r="AJ151" s="15" t="inlineStr">
        <is>
          <t>n.a.</t>
        </is>
      </c>
      <c r="AK151" s="4" t="inlineStr">
        <is>
          <t>machine_metadata(warn);persistent_id(warn);cadence(warn);coverage(warn);join_key(warn)</t>
        </is>
      </c>
      <c r="AL151" s="17" t="inlineStr">
        <is>
          <t>https://www.cdc.gov/places/index.html</t>
        </is>
      </c>
      <c r="AM151" s="4" t="inlineStr">
        <is>
          <t>us_cdc_places</t>
        </is>
      </c>
    </row>
    <row r="152">
      <c r="A152" s="4" t="inlineStr">
        <is>
          <t>United States COVID-19 Community Levels by County (archived)</t>
        </is>
      </c>
      <c r="B152" s="19" t="inlineStr">
        <is>
          <t>Silver</t>
        </is>
      </c>
      <c r="C152" s="4" t="n">
        <v>92</v>
      </c>
      <c r="D152" s="4" t="inlineStr">
        <is>
          <t>health_outcome</t>
        </is>
      </c>
      <c r="E152" s="4" t="inlineStr">
        <is>
          <t>healthy</t>
        </is>
      </c>
      <c r="F152" s="4" t="inlineStr">
        <is>
          <t>unknown</t>
        </is>
      </c>
      <c r="G152" s="4" t="inlineStr">
        <is>
          <t>county</t>
        </is>
      </c>
      <c r="H152" s="4" t="inlineStr">
        <is>
          <t>Joins today</t>
        </is>
      </c>
      <c r="I152" s="4" t="n">
        <v>3</v>
      </c>
      <c r="J152" s="4" t="inlineStr"/>
      <c r="K152" s="4" t="inlineStr">
        <is>
          <t>Curated</t>
        </is>
      </c>
      <c r="L152" s="4" t="n">
        <v>2023</v>
      </c>
      <c r="M152" s="4" t="inlineStr">
        <is>
          <t>open</t>
        </is>
      </c>
      <c r="N152" s="4" t="inlineStr">
        <is>
          <t>2026-10-28</t>
        </is>
      </c>
      <c r="O152" s="14" t="inlineStr">
        <is>
          <t>pass</t>
        </is>
      </c>
      <c r="P152" s="14" t="inlineStr">
        <is>
          <t>pass</t>
        </is>
      </c>
      <c r="Q152" s="14" t="inlineStr">
        <is>
          <t>pass</t>
        </is>
      </c>
      <c r="R152" s="14" t="inlineStr">
        <is>
          <t>pass</t>
        </is>
      </c>
      <c r="S152" s="14" t="inlineStr">
        <is>
          <t>pass</t>
        </is>
      </c>
      <c r="T152" s="14" t="inlineStr">
        <is>
          <t>pass</t>
        </is>
      </c>
      <c r="U152" s="14" t="inlineStr">
        <is>
          <t>pass</t>
        </is>
      </c>
      <c r="V152" s="14" t="inlineStr">
        <is>
          <t>pass</t>
        </is>
      </c>
      <c r="W152" s="16" t="inlineStr">
        <is>
          <t>warn</t>
        </is>
      </c>
      <c r="X152" s="14" t="inlineStr">
        <is>
          <t>pass</t>
        </is>
      </c>
      <c r="Y152" s="16" t="inlineStr">
        <is>
          <t>warn</t>
        </is>
      </c>
      <c r="Z152" s="14" t="inlineStr">
        <is>
          <t>pass</t>
        </is>
      </c>
      <c r="AA152" s="14" t="inlineStr">
        <is>
          <t>pass</t>
        </is>
      </c>
      <c r="AB152" s="15" t="inlineStr">
        <is>
          <t>not_checked</t>
        </is>
      </c>
      <c r="AC152" s="15" t="inlineStr">
        <is>
          <t>not_checked</t>
        </is>
      </c>
      <c r="AD152" s="14" t="inlineStr">
        <is>
          <t>pass</t>
        </is>
      </c>
      <c r="AE152" s="15" t="inlineStr">
        <is>
          <t>not_checked</t>
        </is>
      </c>
      <c r="AF152" s="14" t="inlineStr">
        <is>
          <t>pass</t>
        </is>
      </c>
      <c r="AG152" s="15" t="inlineStr">
        <is>
          <t>not_checked</t>
        </is>
      </c>
      <c r="AH152" s="14" t="inlineStr">
        <is>
          <t>pass</t>
        </is>
      </c>
      <c r="AI152" s="15" t="inlineStr">
        <is>
          <t>n.a.</t>
        </is>
      </c>
      <c r="AJ152" s="15" t="inlineStr">
        <is>
          <t>n.a.</t>
        </is>
      </c>
      <c r="AK152" s="4" t="inlineStr">
        <is>
          <t>persistent_id(warn);license(warn)</t>
        </is>
      </c>
      <c r="AL152" s="17" t="inlineStr">
        <is>
          <t>https://data.cdc.gov/Public-Health-Surveillance/United-States-COVID-19-Community-Levels-by-County/3nnm-4jni</t>
        </is>
      </c>
      <c r="AM152" s="4" t="inlineStr">
        <is>
          <t>us_cdc_covid_community_levels</t>
        </is>
      </c>
    </row>
    <row r="153">
      <c r="A153" s="4" t="inlineStr">
        <is>
          <t>United States Mortality Rates by Causes of Death and Life Expectancy by County, Race, and Ethnicity 2000-2019</t>
        </is>
      </c>
      <c r="B153" s="19" t="inlineStr">
        <is>
          <t>Silver</t>
        </is>
      </c>
      <c r="C153" s="4" t="n">
        <v>88</v>
      </c>
      <c r="D153" s="4" t="inlineStr">
        <is>
          <t>health_outcome</t>
        </is>
      </c>
      <c r="E153" s="4" t="inlineStr">
        <is>
          <t>healthy</t>
        </is>
      </c>
      <c r="F153" s="4" t="inlineStr">
        <is>
          <t>non-commercial</t>
        </is>
      </c>
      <c r="G153" s="4" t="inlineStr">
        <is>
          <t>county</t>
        </is>
      </c>
      <c r="H153" s="4" t="inlineStr">
        <is>
          <t>Joins today</t>
        </is>
      </c>
      <c r="I153" s="4" t="n">
        <v>3</v>
      </c>
      <c r="J153" s="4" t="inlineStr"/>
      <c r="K153" s="4" t="inlineStr">
        <is>
          <t>Curated</t>
        </is>
      </c>
      <c r="L153" s="4" t="n">
        <v>2023</v>
      </c>
      <c r="M153" s="4" t="inlineStr">
        <is>
          <t>open</t>
        </is>
      </c>
      <c r="N153" s="4" t="inlineStr">
        <is>
          <t>2026-10-28</t>
        </is>
      </c>
      <c r="O153" s="14" t="inlineStr">
        <is>
          <t>pass</t>
        </is>
      </c>
      <c r="P153" s="14" t="inlineStr">
        <is>
          <t>pass</t>
        </is>
      </c>
      <c r="Q153" s="14" t="inlineStr">
        <is>
          <t>pass</t>
        </is>
      </c>
      <c r="R153" s="14" t="inlineStr">
        <is>
          <t>pass</t>
        </is>
      </c>
      <c r="S153" s="14" t="inlineStr">
        <is>
          <t>pass</t>
        </is>
      </c>
      <c r="T153" s="14" t="inlineStr">
        <is>
          <t>pass</t>
        </is>
      </c>
      <c r="U153" s="16" t="inlineStr">
        <is>
          <t>warn</t>
        </is>
      </c>
      <c r="V153" s="18" t="inlineStr">
        <is>
          <t>fail</t>
        </is>
      </c>
      <c r="W153" s="16" t="inlineStr">
        <is>
          <t>warn</t>
        </is>
      </c>
      <c r="X153" s="14" t="inlineStr">
        <is>
          <t>pass</t>
        </is>
      </c>
      <c r="Y153" s="16" t="inlineStr">
        <is>
          <t>warn</t>
        </is>
      </c>
      <c r="Z153" s="14" t="inlineStr">
        <is>
          <t>pass</t>
        </is>
      </c>
      <c r="AA153" s="14" t="inlineStr">
        <is>
          <t>pass</t>
        </is>
      </c>
      <c r="AB153" s="15" t="inlineStr">
        <is>
          <t>not_checked</t>
        </is>
      </c>
      <c r="AC153" s="15" t="inlineStr">
        <is>
          <t>not_checked</t>
        </is>
      </c>
      <c r="AD153" s="14" t="inlineStr">
        <is>
          <t>pass</t>
        </is>
      </c>
      <c r="AE153" s="15" t="inlineStr">
        <is>
          <t>not_checked</t>
        </is>
      </c>
      <c r="AF153" s="14" t="inlineStr">
        <is>
          <t>pass</t>
        </is>
      </c>
      <c r="AG153" s="15" t="inlineStr">
        <is>
          <t>not_checked</t>
        </is>
      </c>
      <c r="AH153" s="14" t="inlineStr">
        <is>
          <t>pass</t>
        </is>
      </c>
      <c r="AI153" s="15" t="inlineStr">
        <is>
          <t>n.a.</t>
        </is>
      </c>
      <c r="AJ153" s="15" t="inlineStr">
        <is>
          <t>n.a.</t>
        </is>
      </c>
      <c r="AK153" s="4" t="inlineStr">
        <is>
          <t>machine_metadata;format_match(warn);persistent_id(warn);license(warn)</t>
        </is>
      </c>
      <c r="AL153" s="17" t="inlineStr">
        <is>
          <t>https://ghdx.healthdata.org/us-data</t>
        </is>
      </c>
      <c r="AM153" s="4" t="inlineStr">
        <is>
          <t>us_ihme_county_mortality_life_expectancy</t>
        </is>
      </c>
    </row>
    <row r="154">
      <c r="A154" s="4" t="inlineStr">
        <is>
          <t>WHO Mortality Database</t>
        </is>
      </c>
      <c r="B154" s="19" t="inlineStr">
        <is>
          <t>Silver</t>
        </is>
      </c>
      <c r="C154" s="4" t="n">
        <v>97</v>
      </c>
      <c r="D154" s="4" t="inlineStr">
        <is>
          <t>health_outcome</t>
        </is>
      </c>
      <c r="E154" s="4" t="inlineStr">
        <is>
          <t>healthy</t>
        </is>
      </c>
      <c r="F154" s="4" t="inlineStr">
        <is>
          <t>unknown</t>
        </is>
      </c>
      <c r="G154" s="4" t="inlineStr">
        <is>
          <t>country</t>
        </is>
      </c>
      <c r="H154" s="4" t="inlineStr">
        <is>
          <t>Not linkable as listed</t>
        </is>
      </c>
      <c r="I154" s="4" t="n">
        <v>3</v>
      </c>
      <c r="J154" s="4" t="inlineStr"/>
      <c r="K154" s="4" t="inlineStr">
        <is>
          <t>Curated</t>
        </is>
      </c>
      <c r="L154" s="4" t="n">
        <v>2026</v>
      </c>
      <c r="M154" s="4" t="inlineStr">
        <is>
          <t>open</t>
        </is>
      </c>
      <c r="N154" s="4" t="inlineStr">
        <is>
          <t>2026-10-28</t>
        </is>
      </c>
      <c r="O154" s="14" t="inlineStr">
        <is>
          <t>pass</t>
        </is>
      </c>
      <c r="P154" s="14" t="inlineStr">
        <is>
          <t>pass</t>
        </is>
      </c>
      <c r="Q154" s="14" t="inlineStr">
        <is>
          <t>pass</t>
        </is>
      </c>
      <c r="R154" s="14" t="inlineStr">
        <is>
          <t>pass</t>
        </is>
      </c>
      <c r="S154" s="14" t="inlineStr">
        <is>
          <t>pass</t>
        </is>
      </c>
      <c r="T154" s="15" t="inlineStr">
        <is>
          <t>n.a.</t>
        </is>
      </c>
      <c r="U154" s="15" t="inlineStr">
        <is>
          <t>n.a.</t>
        </is>
      </c>
      <c r="V154" s="16" t="inlineStr">
        <is>
          <t>warn</t>
        </is>
      </c>
      <c r="W154" s="16" t="inlineStr">
        <is>
          <t>warn</t>
        </is>
      </c>
      <c r="X154" s="14" t="inlineStr">
        <is>
          <t>pass</t>
        </is>
      </c>
      <c r="Y154" s="15" t="inlineStr">
        <is>
          <t>not_checked</t>
        </is>
      </c>
      <c r="Z154" s="14" t="inlineStr">
        <is>
          <t>pass</t>
        </is>
      </c>
      <c r="AA154" s="14" t="inlineStr">
        <is>
          <t>pass</t>
        </is>
      </c>
      <c r="AB154" s="16" t="inlineStr">
        <is>
          <t>warn</t>
        </is>
      </c>
      <c r="AC154" s="15" t="inlineStr">
        <is>
          <t>not_checked</t>
        </is>
      </c>
      <c r="AD154" s="14" t="inlineStr">
        <is>
          <t>pass</t>
        </is>
      </c>
      <c r="AE154" s="14" t="inlineStr">
        <is>
          <t>pass</t>
        </is>
      </c>
      <c r="AF154" s="15" t="inlineStr">
        <is>
          <t>not_checked</t>
        </is>
      </c>
      <c r="AG154" s="15" t="inlineStr">
        <is>
          <t>not_checked</t>
        </is>
      </c>
      <c r="AH154" s="15" t="inlineStr">
        <is>
          <t>not_checked</t>
        </is>
      </c>
      <c r="AI154" s="15" t="inlineStr">
        <is>
          <t>n.a.</t>
        </is>
      </c>
      <c r="AJ154" s="15" t="inlineStr">
        <is>
          <t>n.a.</t>
        </is>
      </c>
      <c r="AK154" s="4" t="inlineStr">
        <is>
          <t>machine_metadata(warn);persistent_id(warn);cadence(warn)</t>
        </is>
      </c>
      <c r="AL154" s="17" t="inlineStr">
        <is>
          <t>https://platform.who.int/mortality</t>
        </is>
      </c>
      <c r="AM154" s="4" t="inlineStr">
        <is>
          <t>global_who_mortality_database</t>
        </is>
      </c>
    </row>
    <row r="155">
      <c r="A155" s="4" t="inlineStr">
        <is>
          <t>WHO Tuberculosis data (Global TB Programme)</t>
        </is>
      </c>
      <c r="B155" s="19" t="inlineStr">
        <is>
          <t>Silver</t>
        </is>
      </c>
      <c r="C155" s="4" t="n">
        <v>86</v>
      </c>
      <c r="D155" s="4" t="inlineStr">
        <is>
          <t>health_outcome</t>
        </is>
      </c>
      <c r="E155" s="4" t="inlineStr">
        <is>
          <t>healthy</t>
        </is>
      </c>
      <c r="F155" s="4" t="inlineStr">
        <is>
          <t>non-commercial</t>
        </is>
      </c>
      <c r="G155" s="4" t="inlineStr">
        <is>
          <t>country</t>
        </is>
      </c>
      <c r="H155" s="4" t="inlineStr">
        <is>
          <t>Not linkable as listed</t>
        </is>
      </c>
      <c r="I155" s="4" t="n">
        <v>3</v>
      </c>
      <c r="J155" s="4" t="inlineStr"/>
      <c r="K155" s="4" t="inlineStr">
        <is>
          <t>Curated</t>
        </is>
      </c>
      <c r="L155" s="4" t="n">
        <v>2025</v>
      </c>
      <c r="M155" s="4" t="inlineStr">
        <is>
          <t>open</t>
        </is>
      </c>
      <c r="N155" s="4" t="inlineStr">
        <is>
          <t>2026-10-28</t>
        </is>
      </c>
      <c r="O155" s="14" t="inlineStr">
        <is>
          <t>pass</t>
        </is>
      </c>
      <c r="P155" s="14" t="inlineStr">
        <is>
          <t>pass</t>
        </is>
      </c>
      <c r="Q155" s="14" t="inlineStr">
        <is>
          <t>pass</t>
        </is>
      </c>
      <c r="R155" s="14" t="inlineStr">
        <is>
          <t>pass</t>
        </is>
      </c>
      <c r="S155" s="14" t="inlineStr">
        <is>
          <t>pass</t>
        </is>
      </c>
      <c r="T155" s="15" t="inlineStr">
        <is>
          <t>n.a.</t>
        </is>
      </c>
      <c r="U155" s="15" t="inlineStr">
        <is>
          <t>n.a.</t>
        </is>
      </c>
      <c r="V155" s="16" t="inlineStr">
        <is>
          <t>warn</t>
        </is>
      </c>
      <c r="W155" s="16" t="inlineStr">
        <is>
          <t>warn</t>
        </is>
      </c>
      <c r="X155" s="14" t="inlineStr">
        <is>
          <t>pass</t>
        </is>
      </c>
      <c r="Y155" s="16" t="inlineStr">
        <is>
          <t>warn</t>
        </is>
      </c>
      <c r="Z155" s="14" t="inlineStr">
        <is>
          <t>pass</t>
        </is>
      </c>
      <c r="AA155" s="14" t="inlineStr">
        <is>
          <t>pass</t>
        </is>
      </c>
      <c r="AB155" s="14" t="inlineStr">
        <is>
          <t>pass</t>
        </is>
      </c>
      <c r="AC155" s="14" t="inlineStr">
        <is>
          <t>pass</t>
        </is>
      </c>
      <c r="AD155" s="14" t="inlineStr">
        <is>
          <t>pass</t>
        </is>
      </c>
      <c r="AE155" s="14" t="inlineStr">
        <is>
          <t>pass</t>
        </is>
      </c>
      <c r="AF155" s="14" t="inlineStr">
        <is>
          <t>pass</t>
        </is>
      </c>
      <c r="AG155" s="16" t="inlineStr">
        <is>
          <t>warn</t>
        </is>
      </c>
      <c r="AH155" s="16" t="inlineStr">
        <is>
          <t>warn</t>
        </is>
      </c>
      <c r="AI155" s="15" t="inlineStr">
        <is>
          <t>n.a.</t>
        </is>
      </c>
      <c r="AJ155" s="15" t="inlineStr">
        <is>
          <t>n.a.</t>
        </is>
      </c>
      <c r="AK155" s="4" t="inlineStr">
        <is>
          <t>machine_metadata(warn);persistent_id(warn);license(warn);join_key(warn);format_gaia(warn)</t>
        </is>
      </c>
      <c r="AL155" s="17" t="inlineStr">
        <is>
          <t>https://www.who.int/teams/global-programme-on-tuberculosis-and-lung-health/data</t>
        </is>
      </c>
      <c r="AM155" s="4" t="inlineStr">
        <is>
          <t>global_who_tb_data</t>
        </is>
      </c>
    </row>
    <row r="156">
      <c r="A156" s="4" t="inlineStr">
        <is>
          <t>UCDP Georeferenced Event Dataset (GED)</t>
        </is>
      </c>
      <c r="B156" s="19" t="inlineStr">
        <is>
          <t>Silver</t>
        </is>
      </c>
      <c r="C156" s="4" t="n">
        <v>88</v>
      </c>
      <c r="D156" s="4" t="inlineStr">
        <is>
          <t>other</t>
        </is>
      </c>
      <c r="E156" s="4" t="inlineStr">
        <is>
          <t>degraded</t>
        </is>
      </c>
      <c r="F156" s="4" t="inlineStr">
        <is>
          <t>open</t>
        </is>
      </c>
      <c r="G156" s="4" t="inlineStr">
        <is>
          <t>point</t>
        </is>
      </c>
      <c r="H156" s="4" t="inlineStr">
        <is>
          <t>Needs a count/distance step</t>
        </is>
      </c>
      <c r="I156" s="4" t="n">
        <v>1</v>
      </c>
      <c r="J156" s="4" t="inlineStr"/>
      <c r="K156" s="4" t="inlineStr">
        <is>
          <t>Curated</t>
        </is>
      </c>
      <c r="L156" s="4" t="n">
        <v>2025</v>
      </c>
      <c r="M156" s="4" t="inlineStr">
        <is>
          <t>open</t>
        </is>
      </c>
      <c r="N156" s="4" t="inlineStr">
        <is>
          <t>2026-10-28</t>
        </is>
      </c>
      <c r="O156" s="14" t="inlineStr">
        <is>
          <t>pass</t>
        </is>
      </c>
      <c r="P156" s="14" t="inlineStr">
        <is>
          <t>pass</t>
        </is>
      </c>
      <c r="Q156" s="14" t="inlineStr">
        <is>
          <t>pass</t>
        </is>
      </c>
      <c r="R156" s="14" t="inlineStr">
        <is>
          <t>pass</t>
        </is>
      </c>
      <c r="S156" s="14" t="inlineStr">
        <is>
          <t>pass</t>
        </is>
      </c>
      <c r="T156" s="14" t="inlineStr">
        <is>
          <t>pass</t>
        </is>
      </c>
      <c r="U156" s="16" t="inlineStr">
        <is>
          <t>warn</t>
        </is>
      </c>
      <c r="V156" s="18" t="inlineStr">
        <is>
          <t>fail</t>
        </is>
      </c>
      <c r="W156" s="14" t="inlineStr">
        <is>
          <t>pass</t>
        </is>
      </c>
      <c r="X156" s="14" t="inlineStr">
        <is>
          <t>pass</t>
        </is>
      </c>
      <c r="Y156" s="14" t="inlineStr">
        <is>
          <t>pass</t>
        </is>
      </c>
      <c r="Z156" s="16" t="inlineStr">
        <is>
          <t>warn</t>
        </is>
      </c>
      <c r="AA156" s="14" t="inlineStr">
        <is>
          <t>pass</t>
        </is>
      </c>
      <c r="AB156" s="16" t="inlineStr">
        <is>
          <t>warn</t>
        </is>
      </c>
      <c r="AC156" s="14" t="inlineStr">
        <is>
          <t>pass</t>
        </is>
      </c>
      <c r="AD156" s="14" t="inlineStr">
        <is>
          <t>pass</t>
        </is>
      </c>
      <c r="AE156" s="14" t="inlineStr">
        <is>
          <t>pass</t>
        </is>
      </c>
      <c r="AF156" s="14" t="inlineStr">
        <is>
          <t>pass</t>
        </is>
      </c>
      <c r="AG156" s="16" t="inlineStr">
        <is>
          <t>warn</t>
        </is>
      </c>
      <c r="AH156" s="16" t="inlineStr">
        <is>
          <t>warn</t>
        </is>
      </c>
      <c r="AI156" s="15" t="inlineStr">
        <is>
          <t>n.a.</t>
        </is>
      </c>
      <c r="AJ156" s="15" t="inlineStr">
        <is>
          <t>n.a.</t>
        </is>
      </c>
      <c r="AK156" s="4" t="inlineStr">
        <is>
          <t>machine_metadata;format_match(warn);temporal(warn);cadence(warn);join_key(warn);format_gaia(warn)</t>
        </is>
      </c>
      <c r="AL156" s="17" t="inlineStr">
        <is>
          <t>https://ucdp.uu.se/downloads/</t>
        </is>
      </c>
      <c r="AM156" s="4" t="inlineStr">
        <is>
          <t>global_ucdp_ged</t>
        </is>
      </c>
    </row>
    <row r="157">
      <c r="A157" s="4" t="inlineStr">
        <is>
          <t>UK Data Service</t>
        </is>
      </c>
      <c r="B157" s="19" t="inlineStr">
        <is>
          <t>Silver</t>
        </is>
      </c>
      <c r="C157" s="4" t="n">
        <v>79</v>
      </c>
      <c r="D157" s="4" t="inlineStr">
        <is>
          <t>other</t>
        </is>
      </c>
      <c r="E157" s="4" t="inlineStr">
        <is>
          <t>healthy</t>
        </is>
      </c>
      <c r="F157" s="4" t="inlineStr">
        <is>
          <t>registration</t>
        </is>
      </c>
      <c r="G157" s="4" t="inlineStr">
        <is>
          <t>unknown</t>
        </is>
      </c>
      <c r="H157" s="4" t="inlineStr">
        <is>
          <t>Unknown</t>
        </is>
      </c>
      <c r="I157" s="4" t="n">
        <v>1</v>
      </c>
      <c r="J157" s="4" t="inlineStr"/>
      <c r="K157" s="4" t="inlineStr">
        <is>
          <t>Curated</t>
        </is>
      </c>
      <c r="L157" s="4" t="inlineStr"/>
      <c r="M157" s="4" t="inlineStr">
        <is>
          <t>registration</t>
        </is>
      </c>
      <c r="N157" s="4" t="inlineStr">
        <is>
          <t>2026-10-28</t>
        </is>
      </c>
      <c r="O157" s="14" t="inlineStr">
        <is>
          <t>pass</t>
        </is>
      </c>
      <c r="P157" s="14" t="inlineStr">
        <is>
          <t>pass</t>
        </is>
      </c>
      <c r="Q157" s="14" t="inlineStr">
        <is>
          <t>pass</t>
        </is>
      </c>
      <c r="R157" s="14" t="inlineStr">
        <is>
          <t>pass</t>
        </is>
      </c>
      <c r="S157" s="14" t="inlineStr">
        <is>
          <t>pass</t>
        </is>
      </c>
      <c r="T157" s="15" t="inlineStr">
        <is>
          <t>n.a.</t>
        </is>
      </c>
      <c r="U157" s="15" t="inlineStr">
        <is>
          <t>n.a.</t>
        </is>
      </c>
      <c r="V157" s="16" t="inlineStr">
        <is>
          <t>warn</t>
        </is>
      </c>
      <c r="W157" s="16" t="inlineStr">
        <is>
          <t>warn</t>
        </is>
      </c>
      <c r="X157" s="14" t="inlineStr">
        <is>
          <t>pass</t>
        </is>
      </c>
      <c r="Y157" s="16" t="inlineStr">
        <is>
          <t>warn</t>
        </is>
      </c>
      <c r="Z157" s="15" t="inlineStr">
        <is>
          <t>not_checked</t>
        </is>
      </c>
      <c r="AA157" s="15" t="inlineStr">
        <is>
          <t>not_checked</t>
        </is>
      </c>
      <c r="AB157" s="15" t="inlineStr">
        <is>
          <t>not_checked</t>
        </is>
      </c>
      <c r="AC157" s="15" t="inlineStr">
        <is>
          <t>not_checked</t>
        </is>
      </c>
      <c r="AD157" s="15" t="inlineStr">
        <is>
          <t>not_checked</t>
        </is>
      </c>
      <c r="AE157" s="15" t="inlineStr">
        <is>
          <t>not_checked</t>
        </is>
      </c>
      <c r="AF157" s="16" t="inlineStr">
        <is>
          <t>warn</t>
        </is>
      </c>
      <c r="AG157" s="15" t="inlineStr">
        <is>
          <t>not_checked</t>
        </is>
      </c>
      <c r="AH157" s="15" t="inlineStr">
        <is>
          <t>not_checked</t>
        </is>
      </c>
      <c r="AI157" s="15" t="inlineStr">
        <is>
          <t>n.a.</t>
        </is>
      </c>
      <c r="AJ157" s="15" t="inlineStr">
        <is>
          <t>n.a.</t>
        </is>
      </c>
      <c r="AK157" s="4" t="inlineStr">
        <is>
          <t>machine_metadata(warn);persistent_id(warn);license(warn);access(warn)</t>
        </is>
      </c>
      <c r="AL157" s="17" t="inlineStr">
        <is>
          <t>https://ukdataservice.ac.uk/find-data/</t>
        </is>
      </c>
      <c r="AM157" s="4" t="inlineStr">
        <is>
          <t>gb_ukds_uk_data_service</t>
        </is>
      </c>
    </row>
    <row r="158">
      <c r="A158" s="4" t="inlineStr">
        <is>
          <t>Access to Healthy Assets &amp; Hazards (AHAH)</t>
        </is>
      </c>
      <c r="B158" s="19" t="inlineStr">
        <is>
          <t>Silver</t>
        </is>
      </c>
      <c r="C158" s="4" t="n">
        <v>95</v>
      </c>
      <c r="D158" s="4" t="inlineStr">
        <is>
          <t>sdoh</t>
        </is>
      </c>
      <c r="E158" s="4" t="inlineStr">
        <is>
          <t>healthy</t>
        </is>
      </c>
      <c r="F158" s="4" t="inlineStr">
        <is>
          <t>open</t>
        </is>
      </c>
      <c r="G158" s="4" t="inlineStr">
        <is>
          <t>lsoa (2021 LSOAs for England and Wales; 2022 Data Zones for Scotland)</t>
        </is>
      </c>
      <c r="H158" s="4" t="inlineStr">
        <is>
          <t>Joins today</t>
        </is>
      </c>
      <c r="I158" s="4" t="n">
        <v>3</v>
      </c>
      <c r="J158" s="4" t="inlineStr"/>
      <c r="K158" s="4" t="inlineStr">
        <is>
          <t>Curated</t>
        </is>
      </c>
      <c r="L158" s="4" t="n">
        <v>2025</v>
      </c>
      <c r="M158" s="4" t="inlineStr">
        <is>
          <t>registration</t>
        </is>
      </c>
      <c r="N158" s="4" t="inlineStr">
        <is>
          <t>2026-10-22</t>
        </is>
      </c>
      <c r="O158" s="14" t="inlineStr">
        <is>
          <t>pass</t>
        </is>
      </c>
      <c r="P158" s="14" t="inlineStr">
        <is>
          <t>pass</t>
        </is>
      </c>
      <c r="Q158" s="14" t="inlineStr">
        <is>
          <t>pass</t>
        </is>
      </c>
      <c r="R158" s="14" t="inlineStr">
        <is>
          <t>pass</t>
        </is>
      </c>
      <c r="S158" s="14" t="inlineStr">
        <is>
          <t>pass</t>
        </is>
      </c>
      <c r="T158" s="15" t="inlineStr">
        <is>
          <t>n.a.</t>
        </is>
      </c>
      <c r="U158" s="15" t="inlineStr">
        <is>
          <t>n.a.</t>
        </is>
      </c>
      <c r="V158" s="14" t="inlineStr">
        <is>
          <t>pass</t>
        </is>
      </c>
      <c r="W158" s="14" t="inlineStr">
        <is>
          <t>pass</t>
        </is>
      </c>
      <c r="X158" s="14" t="inlineStr">
        <is>
          <t>pass</t>
        </is>
      </c>
      <c r="Y158" s="14" t="inlineStr">
        <is>
          <t>pass</t>
        </is>
      </c>
      <c r="Z158" s="14" t="inlineStr">
        <is>
          <t>pass</t>
        </is>
      </c>
      <c r="AA158" s="14" t="inlineStr">
        <is>
          <t>pass</t>
        </is>
      </c>
      <c r="AB158" s="14" t="inlineStr">
        <is>
          <t>pass</t>
        </is>
      </c>
      <c r="AC158" s="14" t="inlineStr">
        <is>
          <t>pass</t>
        </is>
      </c>
      <c r="AD158" s="14" t="inlineStr">
        <is>
          <t>pass</t>
        </is>
      </c>
      <c r="AE158" s="14" t="inlineStr">
        <is>
          <t>pass</t>
        </is>
      </c>
      <c r="AF158" s="16" t="inlineStr">
        <is>
          <t>warn</t>
        </is>
      </c>
      <c r="AG158" s="14" t="inlineStr">
        <is>
          <t>pass</t>
        </is>
      </c>
      <c r="AH158" s="14" t="inlineStr">
        <is>
          <t>pass</t>
        </is>
      </c>
      <c r="AI158" s="15" t="inlineStr">
        <is>
          <t>n.a.</t>
        </is>
      </c>
      <c r="AJ158" s="15" t="inlineStr">
        <is>
          <t>n.a.</t>
        </is>
      </c>
      <c r="AK158" s="4" t="inlineStr">
        <is>
          <t>access(warn)</t>
        </is>
      </c>
      <c r="AL158" s="17" t="inlineStr">
        <is>
          <t>https://data.geods.ac.uk/dataset/access-to-healthy-assets-hazards-ahah</t>
        </is>
      </c>
      <c r="AM158" s="4" t="inlineStr">
        <is>
          <t>gb_geods_ahah</t>
        </is>
      </c>
    </row>
    <row r="159">
      <c r="A159" s="4" t="inlineStr">
        <is>
          <t>AHRQ Community-Level Health (CLH) Database (formerly the SDOH Database)</t>
        </is>
      </c>
      <c r="B159" s="19" t="inlineStr">
        <is>
          <t>Silver</t>
        </is>
      </c>
      <c r="C159" s="4" t="n">
        <v>92</v>
      </c>
      <c r="D159" s="4" t="inlineStr">
        <is>
          <t>sdoh</t>
        </is>
      </c>
      <c r="E159" s="4" t="inlineStr">
        <is>
          <t>healthy</t>
        </is>
      </c>
      <c r="F159" s="4" t="inlineStr">
        <is>
          <t>public_domain_us_federal</t>
        </is>
      </c>
      <c r="G159" s="4" t="inlineStr">
        <is>
          <t>block group</t>
        </is>
      </c>
      <c r="H159" s="4" t="inlineStr">
        <is>
          <t>Joins today</t>
        </is>
      </c>
      <c r="I159" s="4" t="n">
        <v>3</v>
      </c>
      <c r="J159" s="4" t="inlineStr"/>
      <c r="K159" s="4" t="inlineStr">
        <is>
          <t>Curated</t>
        </is>
      </c>
      <c r="L159" s="4" t="n">
        <v>2023</v>
      </c>
      <c r="M159" s="4" t="inlineStr">
        <is>
          <t>open</t>
        </is>
      </c>
      <c r="N159" s="4" t="inlineStr">
        <is>
          <t>2026-10-29</t>
        </is>
      </c>
      <c r="O159" s="14" t="inlineStr">
        <is>
          <t>pass</t>
        </is>
      </c>
      <c r="P159" s="14" t="inlineStr">
        <is>
          <t>pass</t>
        </is>
      </c>
      <c r="Q159" s="14" t="inlineStr">
        <is>
          <t>pass</t>
        </is>
      </c>
      <c r="R159" s="14" t="inlineStr">
        <is>
          <t>pass</t>
        </is>
      </c>
      <c r="S159" s="14" t="inlineStr">
        <is>
          <t>pass</t>
        </is>
      </c>
      <c r="T159" s="16" t="inlineStr">
        <is>
          <t>warn</t>
        </is>
      </c>
      <c r="U159" s="15" t="inlineStr">
        <is>
          <t>n.a.</t>
        </is>
      </c>
      <c r="V159" s="15" t="inlineStr">
        <is>
          <t>not_checked</t>
        </is>
      </c>
      <c r="W159" s="15" t="inlineStr">
        <is>
          <t>not_checked</t>
        </is>
      </c>
      <c r="X159" s="14" t="inlineStr">
        <is>
          <t>pass</t>
        </is>
      </c>
      <c r="Y159" s="14" t="inlineStr">
        <is>
          <t>pass</t>
        </is>
      </c>
      <c r="Z159" s="14" t="inlineStr">
        <is>
          <t>pass</t>
        </is>
      </c>
      <c r="AA159" s="14" t="inlineStr">
        <is>
          <t>pass</t>
        </is>
      </c>
      <c r="AB159" s="15" t="inlineStr">
        <is>
          <t>not_checked</t>
        </is>
      </c>
      <c r="AC159" s="15" t="inlineStr">
        <is>
          <t>not_checked</t>
        </is>
      </c>
      <c r="AD159" s="16" t="inlineStr">
        <is>
          <t>warn</t>
        </is>
      </c>
      <c r="AE159" s="15" t="inlineStr">
        <is>
          <t>not_checked</t>
        </is>
      </c>
      <c r="AF159" s="14" t="inlineStr">
        <is>
          <t>pass</t>
        </is>
      </c>
      <c r="AG159" s="15" t="inlineStr">
        <is>
          <t>not_checked</t>
        </is>
      </c>
      <c r="AH159" s="14" t="inlineStr">
        <is>
          <t>pass</t>
        </is>
      </c>
      <c r="AI159" s="15" t="inlineStr">
        <is>
          <t>n.a.</t>
        </is>
      </c>
      <c r="AJ159" s="15" t="inlineStr">
        <is>
          <t>n.a.</t>
        </is>
      </c>
      <c r="AK159" s="4" t="inlineStr">
        <is>
          <t>access_url(warn);unit(warn)</t>
        </is>
      </c>
      <c r="AL159" s="17" t="inlineStr">
        <is>
          <t>https://www.ahrq.gov/data/innovations/clh-data.html</t>
        </is>
      </c>
      <c r="AM159" s="4" t="inlineStr">
        <is>
          <t>us_ahrq_sdoh_database</t>
        </is>
      </c>
    </row>
    <row r="160">
      <c r="A160" s="4" t="inlineStr">
        <is>
          <t>Area Deprivation Index (Neighborhood Atlas)</t>
        </is>
      </c>
      <c r="B160" s="19" t="inlineStr">
        <is>
          <t>Silver</t>
        </is>
      </c>
      <c r="C160" s="4" t="n">
        <v>79</v>
      </c>
      <c r="D160" s="4" t="inlineStr">
        <is>
          <t>sdoh</t>
        </is>
      </c>
      <c r="E160" s="4" t="inlineStr">
        <is>
          <t>degraded</t>
        </is>
      </c>
      <c r="F160" s="4" t="inlineStr">
        <is>
          <t>registration</t>
        </is>
      </c>
      <c r="G160" s="4" t="inlineStr">
        <is>
          <t>block_group</t>
        </is>
      </c>
      <c r="H160" s="4" t="inlineStr">
        <is>
          <t>Joins today</t>
        </is>
      </c>
      <c r="I160" s="4" t="n">
        <v>3</v>
      </c>
      <c r="J160" s="4" t="inlineStr"/>
      <c r="K160" s="4" t="inlineStr">
        <is>
          <t>Curated</t>
        </is>
      </c>
      <c r="L160" s="4" t="n">
        <v>2024</v>
      </c>
      <c r="M160" s="4" t="inlineStr">
        <is>
          <t>registration</t>
        </is>
      </c>
      <c r="N160" s="4" t="inlineStr">
        <is>
          <t>2026-10-22</t>
        </is>
      </c>
      <c r="O160" s="14" t="inlineStr">
        <is>
          <t>pass</t>
        </is>
      </c>
      <c r="P160" s="14" t="inlineStr">
        <is>
          <t>pass</t>
        </is>
      </c>
      <c r="Q160" s="14" t="inlineStr">
        <is>
          <t>pass</t>
        </is>
      </c>
      <c r="R160" s="14" t="inlineStr">
        <is>
          <t>pass</t>
        </is>
      </c>
      <c r="S160" s="14" t="inlineStr">
        <is>
          <t>pass</t>
        </is>
      </c>
      <c r="T160" s="14" t="inlineStr">
        <is>
          <t>pass</t>
        </is>
      </c>
      <c r="U160" s="16" t="inlineStr">
        <is>
          <t>warn</t>
        </is>
      </c>
      <c r="V160" s="18" t="inlineStr">
        <is>
          <t>fail</t>
        </is>
      </c>
      <c r="W160" s="14" t="inlineStr">
        <is>
          <t>pass</t>
        </is>
      </c>
      <c r="X160" s="14" t="inlineStr">
        <is>
          <t>pass</t>
        </is>
      </c>
      <c r="Y160" s="16" t="inlineStr">
        <is>
          <t>warn</t>
        </is>
      </c>
      <c r="Z160" s="16" t="inlineStr">
        <is>
          <t>warn</t>
        </is>
      </c>
      <c r="AA160" s="14" t="inlineStr">
        <is>
          <t>pass</t>
        </is>
      </c>
      <c r="AB160" s="15" t="inlineStr">
        <is>
          <t>not_checked</t>
        </is>
      </c>
      <c r="AC160" s="14" t="inlineStr">
        <is>
          <t>pass</t>
        </is>
      </c>
      <c r="AD160" s="14" t="inlineStr">
        <is>
          <t>pass</t>
        </is>
      </c>
      <c r="AE160" s="14" t="inlineStr">
        <is>
          <t>pass</t>
        </is>
      </c>
      <c r="AF160" s="16" t="inlineStr">
        <is>
          <t>warn</t>
        </is>
      </c>
      <c r="AG160" s="15" t="inlineStr">
        <is>
          <t>not_checked</t>
        </is>
      </c>
      <c r="AH160" s="16" t="inlineStr">
        <is>
          <t>warn</t>
        </is>
      </c>
      <c r="AI160" s="15" t="inlineStr">
        <is>
          <t>n.a.</t>
        </is>
      </c>
      <c r="AJ160" s="15" t="inlineStr">
        <is>
          <t>n.a.</t>
        </is>
      </c>
      <c r="AK160" s="4" t="inlineStr">
        <is>
          <t>machine_metadata;format_match(warn);license(warn);temporal(warn);access(warn);format_gaia(warn)</t>
        </is>
      </c>
      <c r="AL160" s="17" t="inlineStr">
        <is>
          <t>https://www.neighborhoodatlas.medicine.wisc.edu/</t>
        </is>
      </c>
      <c r="AM160" s="4" t="inlineStr">
        <is>
          <t>us_uwisc_adi</t>
        </is>
      </c>
    </row>
    <row r="161">
      <c r="A161" s="4" t="inlineStr">
        <is>
          <t>Atlas da Vulnerabilidade Social (Indice de Vulnerabilidade Social, IVS)</t>
        </is>
      </c>
      <c r="B161" s="19" t="inlineStr">
        <is>
          <t>Silver</t>
        </is>
      </c>
      <c r="C161" s="4" t="n">
        <v>68</v>
      </c>
      <c r="D161" s="4" t="inlineStr">
        <is>
          <t>sdoh</t>
        </is>
      </c>
      <c r="E161" s="4" t="inlineStr">
        <is>
          <t>healthy</t>
        </is>
      </c>
      <c r="F161" s="4" t="inlineStr">
        <is>
          <t>unknown</t>
        </is>
      </c>
      <c r="G161" s="4" t="inlineStr">
        <is>
          <t>UDH (sub-municipal), municipality</t>
        </is>
      </c>
      <c r="H161" s="4" t="inlineStr">
        <is>
          <t>Joins today</t>
        </is>
      </c>
      <c r="I161" s="4" t="n">
        <v>3</v>
      </c>
      <c r="J161" s="4" t="inlineStr"/>
      <c r="K161" s="4" t="inlineStr">
        <is>
          <t>Curated</t>
        </is>
      </c>
      <c r="L161" s="4" t="n">
        <v>2010</v>
      </c>
      <c r="M161" s="4" t="inlineStr">
        <is>
          <t>open</t>
        </is>
      </c>
      <c r="N161" s="4" t="inlineStr">
        <is>
          <t>2026-10-28</t>
        </is>
      </c>
      <c r="O161" s="14" t="inlineStr">
        <is>
          <t>pass</t>
        </is>
      </c>
      <c r="P161" s="14" t="inlineStr">
        <is>
          <t>pass</t>
        </is>
      </c>
      <c r="Q161" s="14" t="inlineStr">
        <is>
          <t>pass</t>
        </is>
      </c>
      <c r="R161" s="14" t="inlineStr">
        <is>
          <t>pass</t>
        </is>
      </c>
      <c r="S161" s="14" t="inlineStr">
        <is>
          <t>pass</t>
        </is>
      </c>
      <c r="T161" s="14" t="inlineStr">
        <is>
          <t>pass</t>
        </is>
      </c>
      <c r="U161" s="14" t="inlineStr">
        <is>
          <t>pass</t>
        </is>
      </c>
      <c r="V161" s="18" t="inlineStr">
        <is>
          <t>fail</t>
        </is>
      </c>
      <c r="W161" s="16" t="inlineStr">
        <is>
          <t>warn</t>
        </is>
      </c>
      <c r="X161" s="14" t="inlineStr">
        <is>
          <t>pass</t>
        </is>
      </c>
      <c r="Y161" s="18" t="inlineStr">
        <is>
          <t>fail</t>
        </is>
      </c>
      <c r="Z161" s="15" t="inlineStr">
        <is>
          <t>not_checked</t>
        </is>
      </c>
      <c r="AA161" s="15" t="inlineStr">
        <is>
          <t>not_checked</t>
        </is>
      </c>
      <c r="AB161" s="15" t="inlineStr">
        <is>
          <t>not_checked</t>
        </is>
      </c>
      <c r="AC161" s="15" t="inlineStr">
        <is>
          <t>not_checked</t>
        </is>
      </c>
      <c r="AD161" s="16" t="inlineStr">
        <is>
          <t>warn</t>
        </is>
      </c>
      <c r="AE161" s="15" t="inlineStr">
        <is>
          <t>not_checked</t>
        </is>
      </c>
      <c r="AF161" s="14" t="inlineStr">
        <is>
          <t>pass</t>
        </is>
      </c>
      <c r="AG161" s="15" t="inlineStr">
        <is>
          <t>not_checked</t>
        </is>
      </c>
      <c r="AH161" s="14" t="inlineStr">
        <is>
          <t>pass</t>
        </is>
      </c>
      <c r="AI161" s="15" t="inlineStr">
        <is>
          <t>n.a.</t>
        </is>
      </c>
      <c r="AJ161" s="15" t="inlineStr">
        <is>
          <t>n.a.</t>
        </is>
      </c>
      <c r="AK161" s="4" t="inlineStr">
        <is>
          <t>machine_metadata;license;persistent_id(warn);unit(warn)</t>
        </is>
      </c>
      <c r="AL161" s="17" t="inlineStr">
        <is>
          <t>http://ivs.ipea.gov.br/</t>
        </is>
      </c>
      <c r="AM161" s="4" t="inlineStr">
        <is>
          <t>br_ipea_ivs</t>
        </is>
      </c>
    </row>
    <row r="162">
      <c r="A162" s="4" t="inlineStr">
        <is>
          <t>Atlas de distribucion de renta de los hogares</t>
        </is>
      </c>
      <c r="B162" s="19" t="inlineStr">
        <is>
          <t>Silver</t>
        </is>
      </c>
      <c r="C162" s="4" t="n">
        <v>94</v>
      </c>
      <c r="D162" s="4" t="inlineStr">
        <is>
          <t>sdoh</t>
        </is>
      </c>
      <c r="E162" s="4" t="inlineStr">
        <is>
          <t>healthy</t>
        </is>
      </c>
      <c r="F162" s="4" t="inlineStr">
        <is>
          <t>open</t>
        </is>
      </c>
      <c r="G162" s="4" t="inlineStr">
        <is>
          <t>seccion_censal (census section; small area below district and municipality)</t>
        </is>
      </c>
      <c r="H162" s="4" t="inlineStr">
        <is>
          <t>Joins today</t>
        </is>
      </c>
      <c r="I162" s="4" t="n">
        <v>3</v>
      </c>
      <c r="J162" s="4" t="inlineStr"/>
      <c r="K162" s="4" t="inlineStr">
        <is>
          <t>Curated</t>
        </is>
      </c>
      <c r="L162" s="4" t="n">
        <v>2024</v>
      </c>
      <c r="M162" s="4" t="inlineStr">
        <is>
          <t>open</t>
        </is>
      </c>
      <c r="N162" s="4" t="inlineStr">
        <is>
          <t>2026-10-22</t>
        </is>
      </c>
      <c r="O162" s="14" t="inlineStr">
        <is>
          <t>pass</t>
        </is>
      </c>
      <c r="P162" s="14" t="inlineStr">
        <is>
          <t>pass</t>
        </is>
      </c>
      <c r="Q162" s="14" t="inlineStr">
        <is>
          <t>pass</t>
        </is>
      </c>
      <c r="R162" s="14" t="inlineStr">
        <is>
          <t>pass</t>
        </is>
      </c>
      <c r="S162" s="14" t="inlineStr">
        <is>
          <t>pass</t>
        </is>
      </c>
      <c r="T162" s="15" t="inlineStr">
        <is>
          <t>n.a.</t>
        </is>
      </c>
      <c r="U162" s="15" t="inlineStr">
        <is>
          <t>n.a.</t>
        </is>
      </c>
      <c r="V162" s="16" t="inlineStr">
        <is>
          <t>warn</t>
        </is>
      </c>
      <c r="W162" s="16" t="inlineStr">
        <is>
          <t>warn</t>
        </is>
      </c>
      <c r="X162" s="14" t="inlineStr">
        <is>
          <t>pass</t>
        </is>
      </c>
      <c r="Y162" s="14" t="inlineStr">
        <is>
          <t>pass</t>
        </is>
      </c>
      <c r="Z162" s="16" t="inlineStr">
        <is>
          <t>warn</t>
        </is>
      </c>
      <c r="AA162" s="14" t="inlineStr">
        <is>
          <t>pass</t>
        </is>
      </c>
      <c r="AB162" s="14" t="inlineStr">
        <is>
          <t>pass</t>
        </is>
      </c>
      <c r="AC162" s="14" t="inlineStr">
        <is>
          <t>pass</t>
        </is>
      </c>
      <c r="AD162" s="14" t="inlineStr">
        <is>
          <t>pass</t>
        </is>
      </c>
      <c r="AE162" s="14" t="inlineStr">
        <is>
          <t>pass</t>
        </is>
      </c>
      <c r="AF162" s="14" t="inlineStr">
        <is>
          <t>pass</t>
        </is>
      </c>
      <c r="AG162" s="15" t="inlineStr">
        <is>
          <t>not_checked</t>
        </is>
      </c>
      <c r="AH162" s="15" t="inlineStr">
        <is>
          <t>not_checked</t>
        </is>
      </c>
      <c r="AI162" s="15" t="inlineStr">
        <is>
          <t>n.a.</t>
        </is>
      </c>
      <c r="AJ162" s="15" t="inlineStr">
        <is>
          <t>n.a.</t>
        </is>
      </c>
      <c r="AK162" s="4" t="inlineStr">
        <is>
          <t>machine_metadata(warn);persistent_id(warn);temporal(warn)</t>
        </is>
      </c>
      <c r="AL162" s="17" t="inlineStr">
        <is>
          <t>https://www.ine.es/dyngs/INEbase/es/operacion.htm?c=Estadistica_C&amp;cid=1254736177088&amp;menu=ultiDatos&amp;idp=1254735976608</t>
        </is>
      </c>
      <c r="AM162" s="4" t="inlineStr">
        <is>
          <t>es_ine_atlas_renta</t>
        </is>
      </c>
    </row>
    <row r="163">
      <c r="A163" s="4" t="inlineStr">
        <is>
          <t>Child Opportunity Index (COI 3.0)</t>
        </is>
      </c>
      <c r="B163" s="19" t="inlineStr">
        <is>
          <t>Silver</t>
        </is>
      </c>
      <c r="C163" s="4" t="n">
        <v>75</v>
      </c>
      <c r="D163" s="4" t="inlineStr">
        <is>
          <t>sdoh</t>
        </is>
      </c>
      <c r="E163" s="4" t="inlineStr">
        <is>
          <t>healthy</t>
        </is>
      </c>
      <c r="F163" s="4" t="inlineStr">
        <is>
          <t>unknown</t>
        </is>
      </c>
      <c r="G163" s="4" t="inlineStr">
        <is>
          <t>census tract</t>
        </is>
      </c>
      <c r="H163" s="4" t="inlineStr">
        <is>
          <t>Joins today</t>
        </is>
      </c>
      <c r="I163" s="4" t="n">
        <v>3</v>
      </c>
      <c r="J163" s="4" t="inlineStr"/>
      <c r="K163" s="4" t="inlineStr">
        <is>
          <t>Curated</t>
        </is>
      </c>
      <c r="L163" s="4" t="n">
        <v>2024</v>
      </c>
      <c r="M163" s="4" t="inlineStr">
        <is>
          <t>open</t>
        </is>
      </c>
      <c r="N163" s="4" t="inlineStr">
        <is>
          <t>2026-10-28</t>
        </is>
      </c>
      <c r="O163" s="14" t="inlineStr">
        <is>
          <t>pass</t>
        </is>
      </c>
      <c r="P163" s="14" t="inlineStr">
        <is>
          <t>pass</t>
        </is>
      </c>
      <c r="Q163" s="14" t="inlineStr">
        <is>
          <t>pass</t>
        </is>
      </c>
      <c r="R163" s="14" t="inlineStr">
        <is>
          <t>pass</t>
        </is>
      </c>
      <c r="S163" s="14" t="inlineStr">
        <is>
          <t>pass</t>
        </is>
      </c>
      <c r="T163" s="14" t="inlineStr">
        <is>
          <t>pass</t>
        </is>
      </c>
      <c r="U163" s="16" t="inlineStr">
        <is>
          <t>warn</t>
        </is>
      </c>
      <c r="V163" s="16" t="inlineStr">
        <is>
          <t>warn</t>
        </is>
      </c>
      <c r="W163" s="16" t="inlineStr">
        <is>
          <t>warn</t>
        </is>
      </c>
      <c r="X163" s="14" t="inlineStr">
        <is>
          <t>pass</t>
        </is>
      </c>
      <c r="Y163" s="18" t="inlineStr">
        <is>
          <t>fail</t>
        </is>
      </c>
      <c r="Z163" s="14" t="inlineStr">
        <is>
          <t>pass</t>
        </is>
      </c>
      <c r="AA163" s="14" t="inlineStr">
        <is>
          <t>pass</t>
        </is>
      </c>
      <c r="AB163" s="15" t="inlineStr">
        <is>
          <t>not_checked</t>
        </is>
      </c>
      <c r="AC163" s="15" t="inlineStr">
        <is>
          <t>not_checked</t>
        </is>
      </c>
      <c r="AD163" s="16" t="inlineStr">
        <is>
          <t>warn</t>
        </is>
      </c>
      <c r="AE163" s="15" t="inlineStr">
        <is>
          <t>not_checked</t>
        </is>
      </c>
      <c r="AF163" s="14" t="inlineStr">
        <is>
          <t>pass</t>
        </is>
      </c>
      <c r="AG163" s="15" t="inlineStr">
        <is>
          <t>not_checked</t>
        </is>
      </c>
      <c r="AH163" s="14" t="inlineStr">
        <is>
          <t>pass</t>
        </is>
      </c>
      <c r="AI163" s="15" t="inlineStr">
        <is>
          <t>n.a.</t>
        </is>
      </c>
      <c r="AJ163" s="15" t="inlineStr">
        <is>
          <t>n.a.</t>
        </is>
      </c>
      <c r="AK163" s="4" t="inlineStr">
        <is>
          <t>license;format_match(warn);machine_metadata(warn);persistent_id(warn);unit(warn)</t>
        </is>
      </c>
      <c r="AL163" s="17" t="inlineStr">
        <is>
          <t>https://www.diversitydatakids.org/child-opportunity-index</t>
        </is>
      </c>
      <c r="AM163" s="4" t="inlineStr">
        <is>
          <t>us_brandeis_coi</t>
        </is>
      </c>
    </row>
    <row r="164">
      <c r="A164" s="4" t="inlineStr">
        <is>
          <t>English Indices of Deprivation</t>
        </is>
      </c>
      <c r="B164" s="19" t="inlineStr">
        <is>
          <t>Silver</t>
        </is>
      </c>
      <c r="C164" s="4" t="n">
        <v>91</v>
      </c>
      <c r="D164" s="4" t="inlineStr">
        <is>
          <t>sdoh</t>
        </is>
      </c>
      <c r="E164" s="4" t="inlineStr">
        <is>
          <t>healthy</t>
        </is>
      </c>
      <c r="F164" s="4" t="inlineStr">
        <is>
          <t>open</t>
        </is>
      </c>
      <c r="G164" s="4" t="inlineStr">
        <is>
          <t>lsoa</t>
        </is>
      </c>
      <c r="H164" s="4" t="inlineStr">
        <is>
          <t>Unknown</t>
        </is>
      </c>
      <c r="I164" s="4" t="n">
        <v>3</v>
      </c>
      <c r="J164" s="4" t="inlineStr"/>
      <c r="K164" s="4" t="inlineStr">
        <is>
          <t>Curated</t>
        </is>
      </c>
      <c r="L164" s="4" t="n">
        <v>2025</v>
      </c>
      <c r="M164" s="4" t="inlineStr">
        <is>
          <t>open</t>
        </is>
      </c>
      <c r="N164" s="4" t="inlineStr">
        <is>
          <t>2026-10-28</t>
        </is>
      </c>
      <c r="O164" s="14" t="inlineStr">
        <is>
          <t>pass</t>
        </is>
      </c>
      <c r="P164" s="14" t="inlineStr">
        <is>
          <t>pass</t>
        </is>
      </c>
      <c r="Q164" s="14" t="inlineStr">
        <is>
          <t>pass</t>
        </is>
      </c>
      <c r="R164" s="14" t="inlineStr">
        <is>
          <t>pass</t>
        </is>
      </c>
      <c r="S164" s="14" t="inlineStr">
        <is>
          <t>pass</t>
        </is>
      </c>
      <c r="T164" s="15" t="inlineStr">
        <is>
          <t>n.a.</t>
        </is>
      </c>
      <c r="U164" s="15" t="inlineStr">
        <is>
          <t>n.a.</t>
        </is>
      </c>
      <c r="V164" s="16" t="inlineStr">
        <is>
          <t>warn</t>
        </is>
      </c>
      <c r="W164" s="16" t="inlineStr">
        <is>
          <t>warn</t>
        </is>
      </c>
      <c r="X164" s="14" t="inlineStr">
        <is>
          <t>pass</t>
        </is>
      </c>
      <c r="Y164" s="14" t="inlineStr">
        <is>
          <t>pass</t>
        </is>
      </c>
      <c r="Z164" s="14" t="inlineStr">
        <is>
          <t>pass</t>
        </is>
      </c>
      <c r="AA164" s="14" t="inlineStr">
        <is>
          <t>pass</t>
        </is>
      </c>
      <c r="AB164" s="16" t="inlineStr">
        <is>
          <t>warn</t>
        </is>
      </c>
      <c r="AC164" s="14" t="inlineStr">
        <is>
          <t>pass</t>
        </is>
      </c>
      <c r="AD164" s="16" t="inlineStr">
        <is>
          <t>warn</t>
        </is>
      </c>
      <c r="AE164" s="16" t="inlineStr">
        <is>
          <t>warn</t>
        </is>
      </c>
      <c r="AF164" s="14" t="inlineStr">
        <is>
          <t>pass</t>
        </is>
      </c>
      <c r="AG164" s="14" t="inlineStr">
        <is>
          <t>pass</t>
        </is>
      </c>
      <c r="AH164" s="14" t="inlineStr">
        <is>
          <t>pass</t>
        </is>
      </c>
      <c r="AI164" s="15" t="inlineStr">
        <is>
          <t>n.a.</t>
        </is>
      </c>
      <c r="AJ164" s="15" t="inlineStr">
        <is>
          <t>n.a.</t>
        </is>
      </c>
      <c r="AK164" s="4" t="inlineStr">
        <is>
          <t>machine_metadata(warn);persistent_id(warn);cadence(warn);unit(warn);coverage(warn)</t>
        </is>
      </c>
      <c r="AL164" s="17" t="inlineStr">
        <is>
          <t>https://www.gov.uk/government/collections/english-indices-of-deprivation</t>
        </is>
      </c>
      <c r="AM164" s="4" t="inlineStr">
        <is>
          <t>gb_mhclg_imd_england</t>
        </is>
      </c>
    </row>
    <row r="165">
      <c r="A165" s="4" t="inlineStr">
        <is>
          <t>Eurostat regional statistics (Regions database)</t>
        </is>
      </c>
      <c r="B165" s="19" t="inlineStr">
        <is>
          <t>Silver</t>
        </is>
      </c>
      <c r="C165" s="4" t="n">
        <v>96</v>
      </c>
      <c r="D165" s="4" t="inlineStr">
        <is>
          <t>sdoh</t>
        </is>
      </c>
      <c r="E165" s="4" t="inlineStr">
        <is>
          <t>healthy</t>
        </is>
      </c>
      <c r="F165" s="4" t="inlineStr">
        <is>
          <t>attribution</t>
        </is>
      </c>
      <c r="G165" s="4" t="inlineStr">
        <is>
          <t>admin2</t>
        </is>
      </c>
      <c r="H165" s="4" t="inlineStr">
        <is>
          <t>Joins today</t>
        </is>
      </c>
      <c r="I165" s="4" t="n">
        <v>3</v>
      </c>
      <c r="J165" s="4" t="inlineStr"/>
      <c r="K165" s="4" t="inlineStr">
        <is>
          <t>Curated</t>
        </is>
      </c>
      <c r="L165" s="4" t="inlineStr"/>
      <c r="M165" s="4" t="inlineStr">
        <is>
          <t>unknown</t>
        </is>
      </c>
      <c r="N165" s="4" t="inlineStr">
        <is>
          <t>2026-10-22</t>
        </is>
      </c>
      <c r="O165" s="14" t="inlineStr">
        <is>
          <t>pass</t>
        </is>
      </c>
      <c r="P165" s="14" t="inlineStr">
        <is>
          <t>pass</t>
        </is>
      </c>
      <c r="Q165" s="14" t="inlineStr">
        <is>
          <t>pass</t>
        </is>
      </c>
      <c r="R165" s="14" t="inlineStr">
        <is>
          <t>pass</t>
        </is>
      </c>
      <c r="S165" s="14" t="inlineStr">
        <is>
          <t>pass</t>
        </is>
      </c>
      <c r="T165" s="14" t="inlineStr">
        <is>
          <t>pass</t>
        </is>
      </c>
      <c r="U165" s="14" t="inlineStr">
        <is>
          <t>pass</t>
        </is>
      </c>
      <c r="V165" s="16" t="inlineStr">
        <is>
          <t>warn</t>
        </is>
      </c>
      <c r="W165" s="16" t="inlineStr">
        <is>
          <t>warn</t>
        </is>
      </c>
      <c r="X165" s="14" t="inlineStr">
        <is>
          <t>pass</t>
        </is>
      </c>
      <c r="Y165" s="14" t="inlineStr">
        <is>
          <t>pass</t>
        </is>
      </c>
      <c r="Z165" s="15" t="inlineStr">
        <is>
          <t>not_checked</t>
        </is>
      </c>
      <c r="AA165" s="15" t="inlineStr">
        <is>
          <t>not_checked</t>
        </is>
      </c>
      <c r="AB165" s="15" t="inlineStr">
        <is>
          <t>not_checked</t>
        </is>
      </c>
      <c r="AC165" s="15" t="inlineStr">
        <is>
          <t>not_checked</t>
        </is>
      </c>
      <c r="AD165" s="15" t="inlineStr">
        <is>
          <t>not_checked</t>
        </is>
      </c>
      <c r="AE165" s="16" t="inlineStr">
        <is>
          <t>warn</t>
        </is>
      </c>
      <c r="AF165" s="14" t="inlineStr">
        <is>
          <t>pass</t>
        </is>
      </c>
      <c r="AG165" s="15" t="inlineStr">
        <is>
          <t>not_checked</t>
        </is>
      </c>
      <c r="AH165" s="15" t="inlineStr">
        <is>
          <t>not_checked</t>
        </is>
      </c>
      <c r="AI165" s="15" t="inlineStr">
        <is>
          <t>n.a.</t>
        </is>
      </c>
      <c r="AJ165" s="15" t="inlineStr">
        <is>
          <t>n.a.</t>
        </is>
      </c>
      <c r="AK165" s="4" t="inlineStr">
        <is>
          <t>machine_metadata(warn);persistent_id(warn);coverage(warn)</t>
        </is>
      </c>
      <c r="AL165" s="17" t="inlineStr">
        <is>
          <t>https://ec.europa.eu/eurostat/web/regions/database</t>
        </is>
      </c>
      <c r="AM165" s="4" t="inlineStr">
        <is>
          <t>eu_eurostat_regional_statistics</t>
        </is>
      </c>
    </row>
    <row r="166">
      <c r="A166" s="4" t="inlineStr">
        <is>
          <t>Eviction Lab national eviction data</t>
        </is>
      </c>
      <c r="B166" s="19" t="inlineStr">
        <is>
          <t>Silver</t>
        </is>
      </c>
      <c r="C166" s="4" t="n">
        <v>92</v>
      </c>
      <c r="D166" s="4" t="inlineStr">
        <is>
          <t>sdoh</t>
        </is>
      </c>
      <c r="E166" s="4" t="inlineStr">
        <is>
          <t>healthy</t>
        </is>
      </c>
      <c r="F166" s="4" t="inlineStr">
        <is>
          <t>attribution</t>
        </is>
      </c>
      <c r="G166" s="4" t="inlineStr">
        <is>
          <t>census tract / ZIP</t>
        </is>
      </c>
      <c r="H166" s="4" t="inlineStr">
        <is>
          <t>Joins today</t>
        </is>
      </c>
      <c r="I166" s="4" t="n">
        <v>3</v>
      </c>
      <c r="J166" s="4" t="inlineStr"/>
      <c r="K166" s="4" t="inlineStr">
        <is>
          <t>Curated</t>
        </is>
      </c>
      <c r="L166" s="4" t="n">
        <v>2026</v>
      </c>
      <c r="M166" s="4" t="inlineStr">
        <is>
          <t>open</t>
        </is>
      </c>
      <c r="N166" s="4" t="inlineStr">
        <is>
          <t>2026-10-28</t>
        </is>
      </c>
      <c r="O166" s="14" t="inlineStr">
        <is>
          <t>pass</t>
        </is>
      </c>
      <c r="P166" s="14" t="inlineStr">
        <is>
          <t>pass</t>
        </is>
      </c>
      <c r="Q166" s="14" t="inlineStr">
        <is>
          <t>pass</t>
        </is>
      </c>
      <c r="R166" s="14" t="inlineStr">
        <is>
          <t>pass</t>
        </is>
      </c>
      <c r="S166" s="14" t="inlineStr">
        <is>
          <t>pass</t>
        </is>
      </c>
      <c r="T166" s="14" t="inlineStr">
        <is>
          <t>pass</t>
        </is>
      </c>
      <c r="U166" s="16" t="inlineStr">
        <is>
          <t>warn</t>
        </is>
      </c>
      <c r="V166" s="15" t="inlineStr">
        <is>
          <t>not_checked</t>
        </is>
      </c>
      <c r="W166" s="15" t="inlineStr">
        <is>
          <t>not_checked</t>
        </is>
      </c>
      <c r="X166" s="14" t="inlineStr">
        <is>
          <t>pass</t>
        </is>
      </c>
      <c r="Y166" s="14" t="inlineStr">
        <is>
          <t>pass</t>
        </is>
      </c>
      <c r="Z166" s="14" t="inlineStr">
        <is>
          <t>pass</t>
        </is>
      </c>
      <c r="AA166" s="14" t="inlineStr">
        <is>
          <t>pass</t>
        </is>
      </c>
      <c r="AB166" s="15" t="inlineStr">
        <is>
          <t>not_checked</t>
        </is>
      </c>
      <c r="AC166" s="15" t="inlineStr">
        <is>
          <t>not_checked</t>
        </is>
      </c>
      <c r="AD166" s="16" t="inlineStr">
        <is>
          <t>warn</t>
        </is>
      </c>
      <c r="AE166" s="15" t="inlineStr">
        <is>
          <t>not_checked</t>
        </is>
      </c>
      <c r="AF166" s="14" t="inlineStr">
        <is>
          <t>pass</t>
        </is>
      </c>
      <c r="AG166" s="15" t="inlineStr">
        <is>
          <t>not_checked</t>
        </is>
      </c>
      <c r="AH166" s="14" t="inlineStr">
        <is>
          <t>pass</t>
        </is>
      </c>
      <c r="AI166" s="15" t="inlineStr">
        <is>
          <t>n.a.</t>
        </is>
      </c>
      <c r="AJ166" s="15" t="inlineStr">
        <is>
          <t>n.a.</t>
        </is>
      </c>
      <c r="AK166" s="4" t="inlineStr">
        <is>
          <t>format_match(warn);unit(warn)</t>
        </is>
      </c>
      <c r="AL166" s="17" t="inlineStr">
        <is>
          <t>https://evictionlab.org/eviction-tracking/get-the-data/</t>
        </is>
      </c>
      <c r="AM166" s="4" t="inlineStr">
        <is>
          <t>us_eviction_lab</t>
        </is>
      </c>
    </row>
    <row r="167">
      <c r="A167" s="4" t="inlineStr">
        <is>
          <t>Fair Market Rents (FMR) and Small Area FMRs</t>
        </is>
      </c>
      <c r="B167" s="19" t="inlineStr">
        <is>
          <t>Silver</t>
        </is>
      </c>
      <c r="C167" s="4" t="n">
        <v>84</v>
      </c>
      <c r="D167" s="4" t="inlineStr">
        <is>
          <t>sdoh</t>
        </is>
      </c>
      <c r="E167" s="4" t="inlineStr">
        <is>
          <t>healthy</t>
        </is>
      </c>
      <c r="F167" s="4" t="inlineStr">
        <is>
          <t>unknown</t>
        </is>
      </c>
      <c r="G167" s="4" t="inlineStr">
        <is>
          <t>ZIP (Small Area FMR); county</t>
        </is>
      </c>
      <c r="H167" s="4" t="inlineStr">
        <is>
          <t>Joins today</t>
        </is>
      </c>
      <c r="I167" s="4" t="n">
        <v>3</v>
      </c>
      <c r="J167" s="4" t="inlineStr"/>
      <c r="K167" s="4" t="inlineStr">
        <is>
          <t>Curated</t>
        </is>
      </c>
      <c r="L167" s="4" t="n">
        <v>2027</v>
      </c>
      <c r="M167" s="4" t="inlineStr">
        <is>
          <t>open</t>
        </is>
      </c>
      <c r="N167" s="4" t="inlineStr">
        <is>
          <t>2026-10-28</t>
        </is>
      </c>
      <c r="O167" s="14" t="inlineStr">
        <is>
          <t>pass</t>
        </is>
      </c>
      <c r="P167" s="14" t="inlineStr">
        <is>
          <t>pass</t>
        </is>
      </c>
      <c r="Q167" s="14" t="inlineStr">
        <is>
          <t>pass</t>
        </is>
      </c>
      <c r="R167" s="14" t="inlineStr">
        <is>
          <t>pass</t>
        </is>
      </c>
      <c r="S167" s="14" t="inlineStr">
        <is>
          <t>pass</t>
        </is>
      </c>
      <c r="T167" s="14" t="inlineStr">
        <is>
          <t>pass</t>
        </is>
      </c>
      <c r="U167" s="14" t="inlineStr">
        <is>
          <t>pass</t>
        </is>
      </c>
      <c r="V167" s="15" t="inlineStr">
        <is>
          <t>not_checked</t>
        </is>
      </c>
      <c r="W167" s="15" t="inlineStr">
        <is>
          <t>not_checked</t>
        </is>
      </c>
      <c r="X167" s="14" t="inlineStr">
        <is>
          <t>pass</t>
        </is>
      </c>
      <c r="Y167" s="16" t="inlineStr">
        <is>
          <t>warn</t>
        </is>
      </c>
      <c r="Z167" s="14" t="inlineStr">
        <is>
          <t>pass</t>
        </is>
      </c>
      <c r="AA167" s="14" t="inlineStr">
        <is>
          <t>pass</t>
        </is>
      </c>
      <c r="AB167" s="15" t="inlineStr">
        <is>
          <t>not_checked</t>
        </is>
      </c>
      <c r="AC167" s="15" t="inlineStr">
        <is>
          <t>not_checked</t>
        </is>
      </c>
      <c r="AD167" s="16" t="inlineStr">
        <is>
          <t>warn</t>
        </is>
      </c>
      <c r="AE167" s="15" t="inlineStr">
        <is>
          <t>not_checked</t>
        </is>
      </c>
      <c r="AF167" s="14" t="inlineStr">
        <is>
          <t>pass</t>
        </is>
      </c>
      <c r="AG167" s="15" t="inlineStr">
        <is>
          <t>not_checked</t>
        </is>
      </c>
      <c r="AH167" s="14" t="inlineStr">
        <is>
          <t>pass</t>
        </is>
      </c>
      <c r="AI167" s="15" t="inlineStr">
        <is>
          <t>n.a.</t>
        </is>
      </c>
      <c r="AJ167" s="15" t="inlineStr">
        <is>
          <t>n.a.</t>
        </is>
      </c>
      <c r="AK167" s="4" t="inlineStr">
        <is>
          <t>license(warn);unit(warn)</t>
        </is>
      </c>
      <c r="AL167" s="17" t="inlineStr">
        <is>
          <t>https://www.huduser.gov/portal/datasets/fmr.html</t>
        </is>
      </c>
      <c r="AM167" s="4" t="inlineStr">
        <is>
          <t>us_hud_fair_market_rents</t>
        </is>
      </c>
    </row>
    <row r="168">
      <c r="A168" s="4" t="inlineStr">
        <is>
          <t>Global Subnational Poverty Atlas (GSAP)</t>
        </is>
      </c>
      <c r="B168" s="19" t="inlineStr">
        <is>
          <t>Silver</t>
        </is>
      </c>
      <c r="C168" s="4" t="n">
        <v>92</v>
      </c>
      <c r="D168" s="4" t="inlineStr">
        <is>
          <t>sdoh</t>
        </is>
      </c>
      <c r="E168" s="4" t="inlineStr">
        <is>
          <t>healthy</t>
        </is>
      </c>
      <c r="F168" s="4" t="inlineStr">
        <is>
          <t>open</t>
        </is>
      </c>
      <c r="G168" s="4" t="inlineStr">
        <is>
          <t>admin1</t>
        </is>
      </c>
      <c r="H168" s="4" t="inlineStr">
        <is>
          <t>Unknown</t>
        </is>
      </c>
      <c r="I168" s="4" t="n">
        <v>3</v>
      </c>
      <c r="J168" s="4" t="inlineStr"/>
      <c r="K168" s="4" t="inlineStr">
        <is>
          <t>Curated</t>
        </is>
      </c>
      <c r="L168" s="4" t="n">
        <v>2024</v>
      </c>
      <c r="M168" s="4" t="inlineStr">
        <is>
          <t>open</t>
        </is>
      </c>
      <c r="N168" s="4" t="inlineStr">
        <is>
          <t>2026-10-28</t>
        </is>
      </c>
      <c r="O168" s="14" t="inlineStr">
        <is>
          <t>pass</t>
        </is>
      </c>
      <c r="P168" s="14" t="inlineStr">
        <is>
          <t>pass</t>
        </is>
      </c>
      <c r="Q168" s="14" t="inlineStr">
        <is>
          <t>pass</t>
        </is>
      </c>
      <c r="R168" s="14" t="inlineStr">
        <is>
          <t>pass</t>
        </is>
      </c>
      <c r="S168" s="14" t="inlineStr">
        <is>
          <t>pass</t>
        </is>
      </c>
      <c r="T168" s="15" t="inlineStr">
        <is>
          <t>n.a.</t>
        </is>
      </c>
      <c r="U168" s="15" t="inlineStr">
        <is>
          <t>n.a.</t>
        </is>
      </c>
      <c r="V168" s="14" t="inlineStr">
        <is>
          <t>pass</t>
        </is>
      </c>
      <c r="W168" s="16" t="inlineStr">
        <is>
          <t>warn</t>
        </is>
      </c>
      <c r="X168" s="18" t="inlineStr">
        <is>
          <t>fail</t>
        </is>
      </c>
      <c r="Y168" s="14" t="inlineStr">
        <is>
          <t>pass</t>
        </is>
      </c>
      <c r="Z168" s="14" t="inlineStr">
        <is>
          <t>pass</t>
        </is>
      </c>
      <c r="AA168" s="14" t="inlineStr">
        <is>
          <t>pass</t>
        </is>
      </c>
      <c r="AB168" s="14" t="inlineStr">
        <is>
          <t>pass</t>
        </is>
      </c>
      <c r="AC168" s="14" t="inlineStr">
        <is>
          <t>pass</t>
        </is>
      </c>
      <c r="AD168" s="16" t="inlineStr">
        <is>
          <t>warn</t>
        </is>
      </c>
      <c r="AE168" s="14" t="inlineStr">
        <is>
          <t>pass</t>
        </is>
      </c>
      <c r="AF168" s="14" t="inlineStr">
        <is>
          <t>pass</t>
        </is>
      </c>
      <c r="AG168" s="15" t="inlineStr">
        <is>
          <t>not_checked</t>
        </is>
      </c>
      <c r="AH168" s="16" t="inlineStr">
        <is>
          <t>warn</t>
        </is>
      </c>
      <c r="AI168" s="15" t="inlineStr">
        <is>
          <t>n.a.</t>
        </is>
      </c>
      <c r="AJ168" s="15" t="inlineStr">
        <is>
          <t>n.a.</t>
        </is>
      </c>
      <c r="AK168" s="4" t="inlineStr">
        <is>
          <t>archived;persistent_id(warn);unit(warn);format_gaia(warn)</t>
        </is>
      </c>
      <c r="AL168" s="17" t="inlineStr">
        <is>
          <t>https://datacatalog.worldbank.org/search/dataset/0042041/global-subnational-atlas-of-poverty</t>
        </is>
      </c>
      <c r="AM168" s="4" t="inlineStr">
        <is>
          <t>global_worldbank_gsap</t>
        </is>
      </c>
    </row>
    <row r="169">
      <c r="A169" s="4" t="inlineStr">
        <is>
          <t>Health Center Service Delivery and Look-Alike Sites</t>
        </is>
      </c>
      <c r="B169" s="19" t="inlineStr">
        <is>
          <t>Silver</t>
        </is>
      </c>
      <c r="C169" s="4" t="n">
        <v>81</v>
      </c>
      <c r="D169" s="4" t="inlineStr">
        <is>
          <t>sdoh</t>
        </is>
      </c>
      <c r="E169" s="4" t="inlineStr">
        <is>
          <t>degraded</t>
        </is>
      </c>
      <c r="F169" s="4" t="inlineStr">
        <is>
          <t>open</t>
        </is>
      </c>
      <c r="G169" s="4" t="inlineStr">
        <is>
          <t>address</t>
        </is>
      </c>
      <c r="H169" s="4" t="inlineStr">
        <is>
          <t>Needs a count/distance step</t>
        </is>
      </c>
      <c r="I169" s="4" t="n">
        <v>3</v>
      </c>
      <c r="J169" s="4" t="inlineStr"/>
      <c r="K169" s="4" t="inlineStr">
        <is>
          <t>Curated</t>
        </is>
      </c>
      <c r="L169" s="4" t="n">
        <v>2026</v>
      </c>
      <c r="M169" s="4" t="inlineStr">
        <is>
          <t>open</t>
        </is>
      </c>
      <c r="N169" s="4" t="inlineStr">
        <is>
          <t>2026-10-22</t>
        </is>
      </c>
      <c r="O169" s="14" t="inlineStr">
        <is>
          <t>pass</t>
        </is>
      </c>
      <c r="P169" s="14" t="inlineStr">
        <is>
          <t>pass</t>
        </is>
      </c>
      <c r="Q169" s="14" t="inlineStr">
        <is>
          <t>pass</t>
        </is>
      </c>
      <c r="R169" s="14" t="inlineStr">
        <is>
          <t>pass</t>
        </is>
      </c>
      <c r="S169" s="14" t="inlineStr">
        <is>
          <t>pass</t>
        </is>
      </c>
      <c r="T169" s="14" t="inlineStr">
        <is>
          <t>pass</t>
        </is>
      </c>
      <c r="U169" s="16" t="inlineStr">
        <is>
          <t>warn</t>
        </is>
      </c>
      <c r="V169" s="18" t="inlineStr">
        <is>
          <t>fail</t>
        </is>
      </c>
      <c r="W169" s="16" t="inlineStr">
        <is>
          <t>warn</t>
        </is>
      </c>
      <c r="X169" s="14" t="inlineStr">
        <is>
          <t>pass</t>
        </is>
      </c>
      <c r="Y169" s="14" t="inlineStr">
        <is>
          <t>pass</t>
        </is>
      </c>
      <c r="Z169" s="16" t="inlineStr">
        <is>
          <t>warn</t>
        </is>
      </c>
      <c r="AA169" s="14" t="inlineStr">
        <is>
          <t>pass</t>
        </is>
      </c>
      <c r="AB169" s="14" t="inlineStr">
        <is>
          <t>pass</t>
        </is>
      </c>
      <c r="AC169" s="16" t="inlineStr">
        <is>
          <t>warn</t>
        </is>
      </c>
      <c r="AD169" s="16" t="inlineStr">
        <is>
          <t>warn</t>
        </is>
      </c>
      <c r="AE169" s="15" t="inlineStr">
        <is>
          <t>not_checked</t>
        </is>
      </c>
      <c r="AF169" s="14" t="inlineStr">
        <is>
          <t>pass</t>
        </is>
      </c>
      <c r="AG169" s="16" t="inlineStr">
        <is>
          <t>warn</t>
        </is>
      </c>
      <c r="AH169" s="16" t="inlineStr">
        <is>
          <t>warn</t>
        </is>
      </c>
      <c r="AI169" s="15" t="inlineStr">
        <is>
          <t>n.a.</t>
        </is>
      </c>
      <c r="AJ169" s="15" t="inlineStr">
        <is>
          <t>n.a.</t>
        </is>
      </c>
      <c r="AK169" s="4" t="inlineStr">
        <is>
          <t>machine_metadata;format_match(warn);persistent_id(warn);temporal(warn);version(warn);unit(warn);join_key(warn);format_gaia(warn)</t>
        </is>
      </c>
      <c r="AL169" s="17" t="inlineStr">
        <is>
          <t>https://data.hrsa.gov/data/download</t>
        </is>
      </c>
      <c r="AM169" s="4" t="inlineStr">
        <is>
          <t>us_hrsa_health_center_sites</t>
        </is>
      </c>
    </row>
    <row r="170">
      <c r="A170" s="4" t="inlineStr">
        <is>
          <t>Health Professional Shortage Areas (HPSA) and Medically Underserved Areas/Populations (MUA/P)</t>
        </is>
      </c>
      <c r="B170" s="19" t="inlineStr">
        <is>
          <t>Silver</t>
        </is>
      </c>
      <c r="C170" s="4" t="n">
        <v>92</v>
      </c>
      <c r="D170" s="4" t="inlineStr">
        <is>
          <t>sdoh</t>
        </is>
      </c>
      <c r="E170" s="4" t="inlineStr">
        <is>
          <t>degraded</t>
        </is>
      </c>
      <c r="F170" s="4" t="inlineStr">
        <is>
          <t>open</t>
        </is>
      </c>
      <c r="G170" s="4" t="inlineStr">
        <is>
          <t>point</t>
        </is>
      </c>
      <c r="H170" s="4" t="inlineStr">
        <is>
          <t>Needs a count/distance step</t>
        </is>
      </c>
      <c r="I170" s="4" t="n">
        <v>3</v>
      </c>
      <c r="J170" s="4" t="inlineStr"/>
      <c r="K170" s="4" t="inlineStr">
        <is>
          <t>Curated</t>
        </is>
      </c>
      <c r="L170" s="4" t="n">
        <v>2026</v>
      </c>
      <c r="M170" s="4" t="inlineStr">
        <is>
          <t>open</t>
        </is>
      </c>
      <c r="N170" s="4" t="inlineStr">
        <is>
          <t>2026-10-22</t>
        </is>
      </c>
      <c r="O170" s="14" t="inlineStr">
        <is>
          <t>pass</t>
        </is>
      </c>
      <c r="P170" s="14" t="inlineStr">
        <is>
          <t>pass</t>
        </is>
      </c>
      <c r="Q170" s="14" t="inlineStr">
        <is>
          <t>pass</t>
        </is>
      </c>
      <c r="R170" s="14" t="inlineStr">
        <is>
          <t>pass</t>
        </is>
      </c>
      <c r="S170" s="14" t="inlineStr">
        <is>
          <t>pass</t>
        </is>
      </c>
      <c r="T170" s="14" t="inlineStr">
        <is>
          <t>pass</t>
        </is>
      </c>
      <c r="U170" s="14" t="inlineStr">
        <is>
          <t>pass</t>
        </is>
      </c>
      <c r="V170" s="18" t="inlineStr">
        <is>
          <t>fail</t>
        </is>
      </c>
      <c r="W170" s="16" t="inlineStr">
        <is>
          <t>warn</t>
        </is>
      </c>
      <c r="X170" s="14" t="inlineStr">
        <is>
          <t>pass</t>
        </is>
      </c>
      <c r="Y170" s="14" t="inlineStr">
        <is>
          <t>pass</t>
        </is>
      </c>
      <c r="Z170" s="16" t="inlineStr">
        <is>
          <t>warn</t>
        </is>
      </c>
      <c r="AA170" s="14" t="inlineStr">
        <is>
          <t>pass</t>
        </is>
      </c>
      <c r="AB170" s="14" t="inlineStr">
        <is>
          <t>pass</t>
        </is>
      </c>
      <c r="AC170" s="16" t="inlineStr">
        <is>
          <t>warn</t>
        </is>
      </c>
      <c r="AD170" s="14" t="inlineStr">
        <is>
          <t>pass</t>
        </is>
      </c>
      <c r="AE170" s="16" t="inlineStr">
        <is>
          <t>warn</t>
        </is>
      </c>
      <c r="AF170" s="14" t="inlineStr">
        <is>
          <t>pass</t>
        </is>
      </c>
      <c r="AG170" s="14" t="inlineStr">
        <is>
          <t>pass</t>
        </is>
      </c>
      <c r="AH170" s="14" t="inlineStr">
        <is>
          <t>pass</t>
        </is>
      </c>
      <c r="AI170" s="15" t="inlineStr">
        <is>
          <t>n.a.</t>
        </is>
      </c>
      <c r="AJ170" s="15" t="inlineStr">
        <is>
          <t>n.a.</t>
        </is>
      </c>
      <c r="AK170" s="4" t="inlineStr">
        <is>
          <t>machine_metadata;persistent_id(warn);temporal(warn);version(warn);coverage(warn)</t>
        </is>
      </c>
      <c r="AL170" s="17" t="inlineStr">
        <is>
          <t>https://data.hrsa.gov/topics/health-workforce/shortage-areas</t>
        </is>
      </c>
      <c r="AM170" s="4" t="inlineStr">
        <is>
          <t>us_hrsa_hpsa_mua</t>
        </is>
      </c>
    </row>
    <row r="171">
      <c r="A171" s="4" t="inlineStr">
        <is>
          <t>HIFLD Open: Hospitals</t>
        </is>
      </c>
      <c r="B171" s="19" t="inlineStr">
        <is>
          <t>Silver</t>
        </is>
      </c>
      <c r="C171" s="4" t="n">
        <v>84</v>
      </c>
      <c r="D171" s="4" t="inlineStr">
        <is>
          <t>sdoh</t>
        </is>
      </c>
      <c r="E171" s="4" t="inlineStr">
        <is>
          <t>healthy</t>
        </is>
      </c>
      <c r="F171" s="4" t="inlineStr">
        <is>
          <t>unknown</t>
        </is>
      </c>
      <c r="G171" s="4" t="inlineStr">
        <is>
          <t>point</t>
        </is>
      </c>
      <c r="H171" s="4" t="inlineStr">
        <is>
          <t>Needs a count/distance step</t>
        </is>
      </c>
      <c r="I171" s="4" t="n">
        <v>3</v>
      </c>
      <c r="J171" s="4" t="inlineStr"/>
      <c r="K171" s="4" t="inlineStr">
        <is>
          <t>Curated</t>
        </is>
      </c>
      <c r="L171" s="4" t="n">
        <v>2025</v>
      </c>
      <c r="M171" s="4" t="inlineStr">
        <is>
          <t>open</t>
        </is>
      </c>
      <c r="N171" s="4" t="inlineStr">
        <is>
          <t>2026-10-28</t>
        </is>
      </c>
      <c r="O171" s="14" t="inlineStr">
        <is>
          <t>pass</t>
        </is>
      </c>
      <c r="P171" s="14" t="inlineStr">
        <is>
          <t>pass</t>
        </is>
      </c>
      <c r="Q171" s="14" t="inlineStr">
        <is>
          <t>pass</t>
        </is>
      </c>
      <c r="R171" s="14" t="inlineStr">
        <is>
          <t>pass</t>
        </is>
      </c>
      <c r="S171" s="14" t="inlineStr">
        <is>
          <t>pass</t>
        </is>
      </c>
      <c r="T171" s="14" t="inlineStr">
        <is>
          <t>pass</t>
        </is>
      </c>
      <c r="U171" s="16" t="inlineStr">
        <is>
          <t>warn</t>
        </is>
      </c>
      <c r="V171" s="15" t="inlineStr">
        <is>
          <t>not_checked</t>
        </is>
      </c>
      <c r="W171" s="15" t="inlineStr">
        <is>
          <t>not_checked</t>
        </is>
      </c>
      <c r="X171" s="18" t="inlineStr">
        <is>
          <t>fail</t>
        </is>
      </c>
      <c r="Y171" s="18" t="inlineStr">
        <is>
          <t>fail</t>
        </is>
      </c>
      <c r="Z171" s="14" t="inlineStr">
        <is>
          <t>pass</t>
        </is>
      </c>
      <c r="AA171" s="14" t="inlineStr">
        <is>
          <t>pass</t>
        </is>
      </c>
      <c r="AB171" s="15" t="inlineStr">
        <is>
          <t>not_checked</t>
        </is>
      </c>
      <c r="AC171" s="15" t="inlineStr">
        <is>
          <t>not_checked</t>
        </is>
      </c>
      <c r="AD171" s="14" t="inlineStr">
        <is>
          <t>pass</t>
        </is>
      </c>
      <c r="AE171" s="15" t="inlineStr">
        <is>
          <t>not_checked</t>
        </is>
      </c>
      <c r="AF171" s="14" t="inlineStr">
        <is>
          <t>pass</t>
        </is>
      </c>
      <c r="AG171" s="15" t="inlineStr">
        <is>
          <t>not_checked</t>
        </is>
      </c>
      <c r="AH171" s="14" t="inlineStr">
        <is>
          <t>pass</t>
        </is>
      </c>
      <c r="AI171" s="15" t="inlineStr">
        <is>
          <t>n.a.</t>
        </is>
      </c>
      <c r="AJ171" s="15" t="inlineStr">
        <is>
          <t>n.a.</t>
        </is>
      </c>
      <c r="AK171" s="4" t="inlineStr">
        <is>
          <t>archived;license;format_match(warn)</t>
        </is>
      </c>
      <c r="AL171" s="17" t="inlineStr">
        <is>
          <t>https://www.datalumos.org/datalumos/project/240592/version/V1/view</t>
        </is>
      </c>
      <c r="AM171" s="4" t="inlineStr">
        <is>
          <t>us_hifld_hospitals</t>
        </is>
      </c>
    </row>
    <row r="172">
      <c r="A172" s="4" t="inlineStr">
        <is>
          <t>Hospital General Information (Care Compare / Provider Data Catalog)</t>
        </is>
      </c>
      <c r="B172" s="19" t="inlineStr">
        <is>
          <t>Silver</t>
        </is>
      </c>
      <c r="C172" s="4" t="n">
        <v>88</v>
      </c>
      <c r="D172" s="4" t="inlineStr">
        <is>
          <t>sdoh</t>
        </is>
      </c>
      <c r="E172" s="4" t="inlineStr">
        <is>
          <t>healthy</t>
        </is>
      </c>
      <c r="F172" s="4" t="inlineStr">
        <is>
          <t>unknown</t>
        </is>
      </c>
      <c r="G172" s="4" t="inlineStr">
        <is>
          <t>point (address/ZIP; needs geocoding)</t>
        </is>
      </c>
      <c r="H172" s="4" t="inlineStr">
        <is>
          <t>Needs a count/distance step</t>
        </is>
      </c>
      <c r="I172" s="4" t="n">
        <v>3</v>
      </c>
      <c r="J172" s="4" t="inlineStr"/>
      <c r="K172" s="4" t="inlineStr">
        <is>
          <t>Curated</t>
        </is>
      </c>
      <c r="L172" s="4" t="n">
        <v>2026</v>
      </c>
      <c r="M172" s="4" t="inlineStr">
        <is>
          <t>open</t>
        </is>
      </c>
      <c r="N172" s="4" t="inlineStr">
        <is>
          <t>2026-10-28</t>
        </is>
      </c>
      <c r="O172" s="14" t="inlineStr">
        <is>
          <t>pass</t>
        </is>
      </c>
      <c r="P172" s="14" t="inlineStr">
        <is>
          <t>pass</t>
        </is>
      </c>
      <c r="Q172" s="14" t="inlineStr">
        <is>
          <t>pass</t>
        </is>
      </c>
      <c r="R172" s="14" t="inlineStr">
        <is>
          <t>pass</t>
        </is>
      </c>
      <c r="S172" s="14" t="inlineStr">
        <is>
          <t>pass</t>
        </is>
      </c>
      <c r="T172" s="14" t="inlineStr">
        <is>
          <t>pass</t>
        </is>
      </c>
      <c r="U172" s="14" t="inlineStr">
        <is>
          <t>pass</t>
        </is>
      </c>
      <c r="V172" s="18" t="inlineStr">
        <is>
          <t>fail</t>
        </is>
      </c>
      <c r="W172" s="16" t="inlineStr">
        <is>
          <t>warn</t>
        </is>
      </c>
      <c r="X172" s="14" t="inlineStr">
        <is>
          <t>pass</t>
        </is>
      </c>
      <c r="Y172" s="16" t="inlineStr">
        <is>
          <t>warn</t>
        </is>
      </c>
      <c r="Z172" s="14" t="inlineStr">
        <is>
          <t>pass</t>
        </is>
      </c>
      <c r="AA172" s="14" t="inlineStr">
        <is>
          <t>pass</t>
        </is>
      </c>
      <c r="AB172" s="15" t="inlineStr">
        <is>
          <t>not_checked</t>
        </is>
      </c>
      <c r="AC172" s="15" t="inlineStr">
        <is>
          <t>not_checked</t>
        </is>
      </c>
      <c r="AD172" s="14" t="inlineStr">
        <is>
          <t>pass</t>
        </is>
      </c>
      <c r="AE172" s="15" t="inlineStr">
        <is>
          <t>not_checked</t>
        </is>
      </c>
      <c r="AF172" s="14" t="inlineStr">
        <is>
          <t>pass</t>
        </is>
      </c>
      <c r="AG172" s="15" t="inlineStr">
        <is>
          <t>not_checked</t>
        </is>
      </c>
      <c r="AH172" s="14" t="inlineStr">
        <is>
          <t>pass</t>
        </is>
      </c>
      <c r="AI172" s="15" t="inlineStr">
        <is>
          <t>n.a.</t>
        </is>
      </c>
      <c r="AJ172" s="15" t="inlineStr">
        <is>
          <t>n.a.</t>
        </is>
      </c>
      <c r="AK172" s="4" t="inlineStr">
        <is>
          <t>machine_metadata;persistent_id(warn);license(warn)</t>
        </is>
      </c>
      <c r="AL172" s="17" t="inlineStr">
        <is>
          <t>https://data.cms.gov/provider-data/dataset/xubh-q36u</t>
        </is>
      </c>
      <c r="AM172" s="4" t="inlineStr">
        <is>
          <t>us_cms_hospital_general_information</t>
        </is>
      </c>
    </row>
    <row r="173">
      <c r="A173" s="4" t="inlineStr">
        <is>
          <t>Indices de marginacion 2020</t>
        </is>
      </c>
      <c r="B173" s="19" t="inlineStr">
        <is>
          <t>Silver</t>
        </is>
      </c>
      <c r="C173" s="4" t="n">
        <v>91</v>
      </c>
      <c r="D173" s="4" t="inlineStr">
        <is>
          <t>sdoh</t>
        </is>
      </c>
      <c r="E173" s="4" t="inlineStr">
        <is>
          <t>healthy</t>
        </is>
      </c>
      <c r="F173" s="4" t="inlineStr">
        <is>
          <t>non-commercial</t>
        </is>
      </c>
      <c r="G173" s="4" t="inlineStr">
        <is>
          <t>polygon (colonia, new in 2020; also AGEB urbana, localidad, municipio, entidad)</t>
        </is>
      </c>
      <c r="H173" s="4" t="inlineStr">
        <is>
          <t>Joins today</t>
        </is>
      </c>
      <c r="I173" s="4" t="n">
        <v>3</v>
      </c>
      <c r="J173" s="4" t="inlineStr"/>
      <c r="K173" s="4" t="inlineStr">
        <is>
          <t>Curated</t>
        </is>
      </c>
      <c r="L173" s="4" t="n">
        <v>2020</v>
      </c>
      <c r="M173" s="4" t="inlineStr">
        <is>
          <t>open</t>
        </is>
      </c>
      <c r="N173" s="4" t="inlineStr">
        <is>
          <t>2026-10-22</t>
        </is>
      </c>
      <c r="O173" s="14" t="inlineStr">
        <is>
          <t>pass</t>
        </is>
      </c>
      <c r="P173" s="14" t="inlineStr">
        <is>
          <t>pass</t>
        </is>
      </c>
      <c r="Q173" s="14" t="inlineStr">
        <is>
          <t>pass</t>
        </is>
      </c>
      <c r="R173" s="14" t="inlineStr">
        <is>
          <t>pass</t>
        </is>
      </c>
      <c r="S173" s="14" t="inlineStr">
        <is>
          <t>pass</t>
        </is>
      </c>
      <c r="T173" s="15" t="inlineStr">
        <is>
          <t>n.a.</t>
        </is>
      </c>
      <c r="U173" s="15" t="inlineStr">
        <is>
          <t>n.a.</t>
        </is>
      </c>
      <c r="V173" s="16" t="inlineStr">
        <is>
          <t>warn</t>
        </is>
      </c>
      <c r="W173" s="16" t="inlineStr">
        <is>
          <t>warn</t>
        </is>
      </c>
      <c r="X173" s="14" t="inlineStr">
        <is>
          <t>pass</t>
        </is>
      </c>
      <c r="Y173" s="16" t="inlineStr">
        <is>
          <t>warn</t>
        </is>
      </c>
      <c r="Z173" s="14" t="inlineStr">
        <is>
          <t>pass</t>
        </is>
      </c>
      <c r="AA173" s="14" t="inlineStr">
        <is>
          <t>pass</t>
        </is>
      </c>
      <c r="AB173" s="16" t="inlineStr">
        <is>
          <t>warn</t>
        </is>
      </c>
      <c r="AC173" s="14" t="inlineStr">
        <is>
          <t>pass</t>
        </is>
      </c>
      <c r="AD173" s="14" t="inlineStr">
        <is>
          <t>pass</t>
        </is>
      </c>
      <c r="AE173" s="16" t="inlineStr">
        <is>
          <t>warn</t>
        </is>
      </c>
      <c r="AF173" s="14" t="inlineStr">
        <is>
          <t>pass</t>
        </is>
      </c>
      <c r="AG173" s="14" t="inlineStr">
        <is>
          <t>pass</t>
        </is>
      </c>
      <c r="AH173" s="14" t="inlineStr">
        <is>
          <t>pass</t>
        </is>
      </c>
      <c r="AI173" s="15" t="inlineStr">
        <is>
          <t>n.a.</t>
        </is>
      </c>
      <c r="AJ173" s="15" t="inlineStr">
        <is>
          <t>n.a.</t>
        </is>
      </c>
      <c r="AK173" s="4" t="inlineStr">
        <is>
          <t>machine_metadata(warn);persistent_id(warn);license(warn);cadence(warn);coverage(warn)</t>
        </is>
      </c>
      <c r="AL173" s="17" t="inlineStr">
        <is>
          <t>https://www.gob.mx/conapo/documentos/indices-de-marginacion-2020-284372</t>
        </is>
      </c>
      <c r="AM173" s="4" t="inlineStr">
        <is>
          <t>mx_conapo_indice_marginacion</t>
        </is>
      </c>
    </row>
    <row r="174">
      <c r="A174" s="4" t="inlineStr">
        <is>
          <t>Living Standards Measurement Study (LSMS)</t>
        </is>
      </c>
      <c r="B174" s="19" t="inlineStr">
        <is>
          <t>Silver</t>
        </is>
      </c>
      <c r="C174" s="4" t="n">
        <v>90</v>
      </c>
      <c r="D174" s="4" t="inlineStr">
        <is>
          <t>sdoh</t>
        </is>
      </c>
      <c r="E174" s="4" t="inlineStr">
        <is>
          <t>healthy</t>
        </is>
      </c>
      <c r="F174" s="4" t="inlineStr">
        <is>
          <t>unknown</t>
        </is>
      </c>
      <c r="G174" s="4" t="inlineStr">
        <is>
          <t>unknown</t>
        </is>
      </c>
      <c r="H174" s="4" t="inlineStr">
        <is>
          <t>Not linkable as listed</t>
        </is>
      </c>
      <c r="I174" s="4" t="n">
        <v>3</v>
      </c>
      <c r="J174" s="4" t="inlineStr"/>
      <c r="K174" s="4" t="inlineStr">
        <is>
          <t>Curated</t>
        </is>
      </c>
      <c r="L174" s="4" t="n">
        <v>2022</v>
      </c>
      <c r="M174" s="4" t="inlineStr">
        <is>
          <t>registration</t>
        </is>
      </c>
      <c r="N174" s="4" t="inlineStr">
        <is>
          <t>2026-10-28</t>
        </is>
      </c>
      <c r="O174" s="14" t="inlineStr">
        <is>
          <t>pass</t>
        </is>
      </c>
      <c r="P174" s="14" t="inlineStr">
        <is>
          <t>pass</t>
        </is>
      </c>
      <c r="Q174" s="14" t="inlineStr">
        <is>
          <t>pass</t>
        </is>
      </c>
      <c r="R174" s="14" t="inlineStr">
        <is>
          <t>pass</t>
        </is>
      </c>
      <c r="S174" s="14" t="inlineStr">
        <is>
          <t>pass</t>
        </is>
      </c>
      <c r="T174" s="14" t="inlineStr">
        <is>
          <t>pass</t>
        </is>
      </c>
      <c r="U174" s="15" t="inlineStr">
        <is>
          <t>n.a.</t>
        </is>
      </c>
      <c r="V174" s="16" t="inlineStr">
        <is>
          <t>warn</t>
        </is>
      </c>
      <c r="W174" s="16" t="inlineStr">
        <is>
          <t>warn</t>
        </is>
      </c>
      <c r="X174" s="14" t="inlineStr">
        <is>
          <t>pass</t>
        </is>
      </c>
      <c r="Y174" s="15" t="inlineStr">
        <is>
          <t>not_checked</t>
        </is>
      </c>
      <c r="Z174" s="16" t="inlineStr">
        <is>
          <t>warn</t>
        </is>
      </c>
      <c r="AA174" s="14" t="inlineStr">
        <is>
          <t>pass</t>
        </is>
      </c>
      <c r="AB174" s="16" t="inlineStr">
        <is>
          <t>warn</t>
        </is>
      </c>
      <c r="AC174" s="16" t="inlineStr">
        <is>
          <t>warn</t>
        </is>
      </c>
      <c r="AD174" s="15" t="inlineStr">
        <is>
          <t>not_checked</t>
        </is>
      </c>
      <c r="AE174" s="14" t="inlineStr">
        <is>
          <t>pass</t>
        </is>
      </c>
      <c r="AF174" s="15" t="inlineStr">
        <is>
          <t>not_checked</t>
        </is>
      </c>
      <c r="AG174" s="15" t="inlineStr">
        <is>
          <t>not_checked</t>
        </is>
      </c>
      <c r="AH174" s="15" t="inlineStr">
        <is>
          <t>not_checked</t>
        </is>
      </c>
      <c r="AI174" s="15" t="inlineStr">
        <is>
          <t>n.a.</t>
        </is>
      </c>
      <c r="AJ174" s="15" t="inlineStr">
        <is>
          <t>n.a.</t>
        </is>
      </c>
      <c r="AK174" s="4" t="inlineStr">
        <is>
          <t>machine_metadata(warn);persistent_id(warn);temporal(warn);cadence(warn);version(warn)</t>
        </is>
      </c>
      <c r="AL174" s="17" t="inlineStr">
        <is>
          <t>https://www.worldbank.org/en/programs/lsms</t>
        </is>
      </c>
      <c r="AM174" s="4" t="inlineStr">
        <is>
          <t>global_worldbank_lsms</t>
        </is>
      </c>
    </row>
    <row r="175">
      <c r="A175" s="4" t="inlineStr">
        <is>
          <t>Nursing Home Provider Information (Care Compare)</t>
        </is>
      </c>
      <c r="B175" s="19" t="inlineStr">
        <is>
          <t>Silver</t>
        </is>
      </c>
      <c r="C175" s="4" t="n">
        <v>88</v>
      </c>
      <c r="D175" s="4" t="inlineStr">
        <is>
          <t>sdoh</t>
        </is>
      </c>
      <c r="E175" s="4" t="inlineStr">
        <is>
          <t>healthy</t>
        </is>
      </c>
      <c r="F175" s="4" t="inlineStr">
        <is>
          <t>unknown</t>
        </is>
      </c>
      <c r="G175" s="4" t="inlineStr">
        <is>
          <t>point (address/ZIP; needs geocoding)</t>
        </is>
      </c>
      <c r="H175" s="4" t="inlineStr">
        <is>
          <t>Needs a count/distance step</t>
        </is>
      </c>
      <c r="I175" s="4" t="n">
        <v>3</v>
      </c>
      <c r="J175" s="4" t="inlineStr"/>
      <c r="K175" s="4" t="inlineStr">
        <is>
          <t>Curated</t>
        </is>
      </c>
      <c r="L175" s="4" t="n">
        <v>2026</v>
      </c>
      <c r="M175" s="4" t="inlineStr">
        <is>
          <t>open</t>
        </is>
      </c>
      <c r="N175" s="4" t="inlineStr">
        <is>
          <t>2026-10-28</t>
        </is>
      </c>
      <c r="O175" s="14" t="inlineStr">
        <is>
          <t>pass</t>
        </is>
      </c>
      <c r="P175" s="14" t="inlineStr">
        <is>
          <t>pass</t>
        </is>
      </c>
      <c r="Q175" s="14" t="inlineStr">
        <is>
          <t>pass</t>
        </is>
      </c>
      <c r="R175" s="14" t="inlineStr">
        <is>
          <t>pass</t>
        </is>
      </c>
      <c r="S175" s="14" t="inlineStr">
        <is>
          <t>pass</t>
        </is>
      </c>
      <c r="T175" s="14" t="inlineStr">
        <is>
          <t>pass</t>
        </is>
      </c>
      <c r="U175" s="14" t="inlineStr">
        <is>
          <t>pass</t>
        </is>
      </c>
      <c r="V175" s="18" t="inlineStr">
        <is>
          <t>fail</t>
        </is>
      </c>
      <c r="W175" s="16" t="inlineStr">
        <is>
          <t>warn</t>
        </is>
      </c>
      <c r="X175" s="14" t="inlineStr">
        <is>
          <t>pass</t>
        </is>
      </c>
      <c r="Y175" s="16" t="inlineStr">
        <is>
          <t>warn</t>
        </is>
      </c>
      <c r="Z175" s="14" t="inlineStr">
        <is>
          <t>pass</t>
        </is>
      </c>
      <c r="AA175" s="14" t="inlineStr">
        <is>
          <t>pass</t>
        </is>
      </c>
      <c r="AB175" s="15" t="inlineStr">
        <is>
          <t>not_checked</t>
        </is>
      </c>
      <c r="AC175" s="15" t="inlineStr">
        <is>
          <t>not_checked</t>
        </is>
      </c>
      <c r="AD175" s="14" t="inlineStr">
        <is>
          <t>pass</t>
        </is>
      </c>
      <c r="AE175" s="15" t="inlineStr">
        <is>
          <t>not_checked</t>
        </is>
      </c>
      <c r="AF175" s="14" t="inlineStr">
        <is>
          <t>pass</t>
        </is>
      </c>
      <c r="AG175" s="15" t="inlineStr">
        <is>
          <t>not_checked</t>
        </is>
      </c>
      <c r="AH175" s="14" t="inlineStr">
        <is>
          <t>pass</t>
        </is>
      </c>
      <c r="AI175" s="15" t="inlineStr">
        <is>
          <t>n.a.</t>
        </is>
      </c>
      <c r="AJ175" s="15" t="inlineStr">
        <is>
          <t>n.a.</t>
        </is>
      </c>
      <c r="AK175" s="4" t="inlineStr">
        <is>
          <t>machine_metadata;persistent_id(warn);license(warn)</t>
        </is>
      </c>
      <c r="AL175" s="17" t="inlineStr">
        <is>
          <t>https://data.cms.gov/provider-data/dataset/4pq5-n9py</t>
        </is>
      </c>
      <c r="AM175" s="4" t="inlineStr">
        <is>
          <t>us_cms_nursing_home_provider_info</t>
        </is>
      </c>
    </row>
    <row r="176">
      <c r="A176" s="4" t="inlineStr">
        <is>
          <t>OpenFEMA NFIP Redacted Claims (v3; v2 FIMA NFIP Redacted Claims deprecated)</t>
        </is>
      </c>
      <c r="B176" s="19" t="inlineStr">
        <is>
          <t>Silver</t>
        </is>
      </c>
      <c r="C176" s="4" t="n">
        <v>84</v>
      </c>
      <c r="D176" s="4" t="inlineStr">
        <is>
          <t>sdoh</t>
        </is>
      </c>
      <c r="E176" s="4" t="inlineStr">
        <is>
          <t>healthy</t>
        </is>
      </c>
      <c r="F176" s="4" t="inlineStr">
        <is>
          <t>registration</t>
        </is>
      </c>
      <c r="G176" s="4" t="inlineStr">
        <is>
          <t>point (lat/long rounded to one decimal place); censusBlockGroupFips is the finest exact key</t>
        </is>
      </c>
      <c r="H176" s="4" t="inlineStr">
        <is>
          <t>Needs a count/distance step</t>
        </is>
      </c>
      <c r="I176" s="4" t="n">
        <v>3</v>
      </c>
      <c r="J176" s="4" t="inlineStr"/>
      <c r="K176" s="4" t="inlineStr">
        <is>
          <t>Curated</t>
        </is>
      </c>
      <c r="L176" s="4" t="n">
        <v>2026</v>
      </c>
      <c r="M176" s="4" t="inlineStr">
        <is>
          <t>open</t>
        </is>
      </c>
      <c r="N176" s="4" t="inlineStr">
        <is>
          <t>2026-10-22</t>
        </is>
      </c>
      <c r="O176" s="14" t="inlineStr">
        <is>
          <t>pass</t>
        </is>
      </c>
      <c r="P176" s="14" t="inlineStr">
        <is>
          <t>pass</t>
        </is>
      </c>
      <c r="Q176" s="14" t="inlineStr">
        <is>
          <t>pass</t>
        </is>
      </c>
      <c r="R176" s="14" t="inlineStr">
        <is>
          <t>pass</t>
        </is>
      </c>
      <c r="S176" s="14" t="inlineStr">
        <is>
          <t>pass</t>
        </is>
      </c>
      <c r="T176" s="14" t="inlineStr">
        <is>
          <t>pass</t>
        </is>
      </c>
      <c r="U176" s="14" t="inlineStr">
        <is>
          <t>pass</t>
        </is>
      </c>
      <c r="V176" s="16" t="inlineStr">
        <is>
          <t>warn</t>
        </is>
      </c>
      <c r="W176" s="16" t="inlineStr">
        <is>
          <t>warn</t>
        </is>
      </c>
      <c r="X176" s="14" t="inlineStr">
        <is>
          <t>pass</t>
        </is>
      </c>
      <c r="Y176" s="16" t="inlineStr">
        <is>
          <t>warn</t>
        </is>
      </c>
      <c r="Z176" s="16" t="inlineStr">
        <is>
          <t>warn</t>
        </is>
      </c>
      <c r="AA176" s="16" t="inlineStr">
        <is>
          <t>warn</t>
        </is>
      </c>
      <c r="AB176" s="14" t="inlineStr">
        <is>
          <t>pass</t>
        </is>
      </c>
      <c r="AC176" s="14" t="inlineStr">
        <is>
          <t>pass</t>
        </is>
      </c>
      <c r="AD176" s="14" t="inlineStr">
        <is>
          <t>pass</t>
        </is>
      </c>
      <c r="AE176" s="16" t="inlineStr">
        <is>
          <t>warn</t>
        </is>
      </c>
      <c r="AF176" s="14" t="inlineStr">
        <is>
          <t>pass</t>
        </is>
      </c>
      <c r="AG176" s="14" t="inlineStr">
        <is>
          <t>pass</t>
        </is>
      </c>
      <c r="AH176" s="14" t="inlineStr">
        <is>
          <t>pass</t>
        </is>
      </c>
      <c r="AI176" s="15" t="inlineStr">
        <is>
          <t>n.a.</t>
        </is>
      </c>
      <c r="AJ176" s="15" t="inlineStr">
        <is>
          <t>n.a.</t>
        </is>
      </c>
      <c r="AK176" s="4" t="inlineStr">
        <is>
          <t>machine_metadata(warn);persistent_id(warn);license(warn);temporal(warn);recency(warn);coverage(warn)</t>
        </is>
      </c>
      <c r="AL176" s="17" t="inlineStr">
        <is>
          <t>https://www.fema.gov/openfema-data-page/fima-nfip-redacted-claims-v2</t>
        </is>
      </c>
      <c r="AM176" s="4" t="inlineStr">
        <is>
          <t>us_fema_openfema_nfip_claims</t>
        </is>
      </c>
    </row>
    <row r="177">
      <c r="A177" s="4" t="inlineStr">
        <is>
          <t>Revenus à la commune en France</t>
        </is>
      </c>
      <c r="B177" s="19" t="inlineStr">
        <is>
          <t>Silver</t>
        </is>
      </c>
      <c r="C177" s="4" t="n">
        <v>89</v>
      </c>
      <c r="D177" s="4" t="inlineStr">
        <is>
          <t>sdoh</t>
        </is>
      </c>
      <c r="E177" s="4" t="inlineStr">
        <is>
          <t>healthy</t>
        </is>
      </c>
      <c r="F177" s="4" t="inlineStr">
        <is>
          <t>open</t>
        </is>
      </c>
      <c r="G177" s="4" t="inlineStr">
        <is>
          <t>admin3 (fr:commune)</t>
        </is>
      </c>
      <c r="H177" s="4" t="inlineStr">
        <is>
          <t>Joins today</t>
        </is>
      </c>
      <c r="I177" s="4" t="n">
        <v>3</v>
      </c>
      <c r="J177" s="4" t="inlineStr"/>
      <c r="K177" s="4" t="inlineStr">
        <is>
          <t>Catalog lead</t>
        </is>
      </c>
      <c r="L177" s="4" t="n">
        <v>2024</v>
      </c>
      <c r="M177" s="4" t="inlineStr">
        <is>
          <t>open</t>
        </is>
      </c>
      <c r="N177" s="4" t="inlineStr">
        <is>
          <t>2026-10-22</t>
        </is>
      </c>
      <c r="O177" s="14" t="inlineStr">
        <is>
          <t>pass</t>
        </is>
      </c>
      <c r="P177" s="14" t="inlineStr">
        <is>
          <t>pass</t>
        </is>
      </c>
      <c r="Q177" s="14" t="inlineStr">
        <is>
          <t>pass</t>
        </is>
      </c>
      <c r="R177" s="14" t="inlineStr">
        <is>
          <t>pass</t>
        </is>
      </c>
      <c r="S177" s="14" t="inlineStr">
        <is>
          <t>pass</t>
        </is>
      </c>
      <c r="T177" s="15" t="inlineStr">
        <is>
          <t>n.a.</t>
        </is>
      </c>
      <c r="U177" s="15" t="inlineStr">
        <is>
          <t>n.a.</t>
        </is>
      </c>
      <c r="V177" s="14" t="inlineStr">
        <is>
          <t>pass</t>
        </is>
      </c>
      <c r="W177" s="16" t="inlineStr">
        <is>
          <t>warn</t>
        </is>
      </c>
      <c r="X177" s="18" t="inlineStr">
        <is>
          <t>fail</t>
        </is>
      </c>
      <c r="Y177" s="14" t="inlineStr">
        <is>
          <t>pass</t>
        </is>
      </c>
      <c r="Z177" s="14" t="inlineStr">
        <is>
          <t>pass</t>
        </is>
      </c>
      <c r="AA177" s="14" t="inlineStr">
        <is>
          <t>pass</t>
        </is>
      </c>
      <c r="AB177" s="14" t="inlineStr">
        <is>
          <t>pass</t>
        </is>
      </c>
      <c r="AC177" s="16" t="inlineStr">
        <is>
          <t>warn</t>
        </is>
      </c>
      <c r="AD177" s="16" t="inlineStr">
        <is>
          <t>warn</t>
        </is>
      </c>
      <c r="AE177" s="14" t="inlineStr">
        <is>
          <t>pass</t>
        </is>
      </c>
      <c r="AF177" s="14" t="inlineStr">
        <is>
          <t>pass</t>
        </is>
      </c>
      <c r="AG177" s="16" t="inlineStr">
        <is>
          <t>warn</t>
        </is>
      </c>
      <c r="AH177" s="14" t="inlineStr">
        <is>
          <t>pass</t>
        </is>
      </c>
      <c r="AI177" s="15" t="inlineStr">
        <is>
          <t>n.a.</t>
        </is>
      </c>
      <c r="AJ177" s="15" t="inlineStr">
        <is>
          <t>n.a.</t>
        </is>
      </c>
      <c r="AK177" s="4" t="inlineStr">
        <is>
          <t>archived;persistent_id(warn);version(warn);unit(warn);join_key(warn)</t>
        </is>
      </c>
      <c r="AL177" s="17" t="inlineStr">
        <is>
          <t>https://www.data.gouv.fr/datasets/revenus-a-la-commune-en-france</t>
        </is>
      </c>
      <c r="AM177" s="4" t="inlineStr">
        <is>
          <t>fr_datagouv_revenus_la_commune_en_france</t>
        </is>
      </c>
    </row>
    <row r="178">
      <c r="A178" s="4" t="inlineStr">
        <is>
          <t>Social Capital Atlas</t>
        </is>
      </c>
      <c r="B178" s="19" t="inlineStr">
        <is>
          <t>Silver</t>
        </is>
      </c>
      <c r="C178" s="4" t="n">
        <v>91</v>
      </c>
      <c r="D178" s="4" t="inlineStr">
        <is>
          <t>sdoh</t>
        </is>
      </c>
      <c r="E178" s="4" t="inlineStr">
        <is>
          <t>healthy</t>
        </is>
      </c>
      <c r="F178" s="4" t="inlineStr">
        <is>
          <t>unknown</t>
        </is>
      </c>
      <c r="G178" s="4" t="inlineStr">
        <is>
          <t>zip (files by County, ZIP Code, High School, College)</t>
        </is>
      </c>
      <c r="H178" s="4" t="inlineStr">
        <is>
          <t>Joins today</t>
        </is>
      </c>
      <c r="I178" s="4" t="n">
        <v>3</v>
      </c>
      <c r="J178" s="4" t="inlineStr"/>
      <c r="K178" s="4" t="inlineStr">
        <is>
          <t>Curated</t>
        </is>
      </c>
      <c r="L178" s="4" t="n">
        <v>2022</v>
      </c>
      <c r="M178" s="4" t="inlineStr">
        <is>
          <t>open</t>
        </is>
      </c>
      <c r="N178" s="4" t="inlineStr">
        <is>
          <t>2026-10-22</t>
        </is>
      </c>
      <c r="O178" s="14" t="inlineStr">
        <is>
          <t>pass</t>
        </is>
      </c>
      <c r="P178" s="14" t="inlineStr">
        <is>
          <t>pass</t>
        </is>
      </c>
      <c r="Q178" s="14" t="inlineStr">
        <is>
          <t>pass</t>
        </is>
      </c>
      <c r="R178" s="14" t="inlineStr">
        <is>
          <t>pass</t>
        </is>
      </c>
      <c r="S178" s="14" t="inlineStr">
        <is>
          <t>pass</t>
        </is>
      </c>
      <c r="T178" s="14" t="inlineStr">
        <is>
          <t>pass</t>
        </is>
      </c>
      <c r="U178" s="16" t="inlineStr">
        <is>
          <t>warn</t>
        </is>
      </c>
      <c r="V178" s="16" t="inlineStr">
        <is>
          <t>warn</t>
        </is>
      </c>
      <c r="W178" s="16" t="inlineStr">
        <is>
          <t>warn</t>
        </is>
      </c>
      <c r="X178" s="14" t="inlineStr">
        <is>
          <t>pass</t>
        </is>
      </c>
      <c r="Y178" s="15" t="inlineStr">
        <is>
          <t>not_checked</t>
        </is>
      </c>
      <c r="Z178" s="15" t="inlineStr">
        <is>
          <t>not_checked</t>
        </is>
      </c>
      <c r="AA178" s="15" t="inlineStr">
        <is>
          <t>not_checked</t>
        </is>
      </c>
      <c r="AB178" s="15" t="inlineStr">
        <is>
          <t>not_checked</t>
        </is>
      </c>
      <c r="AC178" s="16" t="inlineStr">
        <is>
          <t>warn</t>
        </is>
      </c>
      <c r="AD178" s="14" t="inlineStr">
        <is>
          <t>pass</t>
        </is>
      </c>
      <c r="AE178" s="14" t="inlineStr">
        <is>
          <t>pass</t>
        </is>
      </c>
      <c r="AF178" s="14" t="inlineStr">
        <is>
          <t>pass</t>
        </is>
      </c>
      <c r="AG178" s="16" t="inlineStr">
        <is>
          <t>warn</t>
        </is>
      </c>
      <c r="AH178" s="16" t="inlineStr">
        <is>
          <t>warn</t>
        </is>
      </c>
      <c r="AI178" s="15" t="inlineStr">
        <is>
          <t>n.a.</t>
        </is>
      </c>
      <c r="AJ178" s="15" t="inlineStr">
        <is>
          <t>n.a.</t>
        </is>
      </c>
      <c r="AK178" s="4" t="inlineStr">
        <is>
          <t>format_match(warn);machine_metadata(warn);persistent_id(warn);version(warn);join_key(warn);format_gaia(warn)</t>
        </is>
      </c>
      <c r="AL178" s="17" t="inlineStr">
        <is>
          <t>https://opportunityinsights.org/data/</t>
        </is>
      </c>
      <c r="AM178" s="4" t="inlineStr">
        <is>
          <t>us_opportunity_insights_social_capital_atlas</t>
        </is>
      </c>
    </row>
    <row r="179">
      <c r="A179" s="4" t="inlineStr">
        <is>
          <t>Social Deprivation Index (SDI)</t>
        </is>
      </c>
      <c r="B179" s="19" t="inlineStr">
        <is>
          <t>Silver</t>
        </is>
      </c>
      <c r="C179" s="4" t="n">
        <v>86</v>
      </c>
      <c r="D179" s="4" t="inlineStr">
        <is>
          <t>sdoh</t>
        </is>
      </c>
      <c r="E179" s="4" t="inlineStr">
        <is>
          <t>healthy</t>
        </is>
      </c>
      <c r="F179" s="4" t="inlineStr">
        <is>
          <t>non-commercial</t>
        </is>
      </c>
      <c r="G179" s="4" t="inlineStr">
        <is>
          <t>tract (also county, zcta, PCSA v3.1)</t>
        </is>
      </c>
      <c r="H179" s="4" t="inlineStr">
        <is>
          <t>Joins today</t>
        </is>
      </c>
      <c r="I179" s="4" t="n">
        <v>3</v>
      </c>
      <c r="J179" s="4" t="inlineStr"/>
      <c r="K179" s="4" t="inlineStr">
        <is>
          <t>Curated</t>
        </is>
      </c>
      <c r="L179" s="4" t="n">
        <v>2022</v>
      </c>
      <c r="M179" s="4" t="inlineStr">
        <is>
          <t>open</t>
        </is>
      </c>
      <c r="N179" s="4" t="inlineStr">
        <is>
          <t>2026-10-22</t>
        </is>
      </c>
      <c r="O179" s="14" t="inlineStr">
        <is>
          <t>pass</t>
        </is>
      </c>
      <c r="P179" s="14" t="inlineStr">
        <is>
          <t>pass</t>
        </is>
      </c>
      <c r="Q179" s="14" t="inlineStr">
        <is>
          <t>pass</t>
        </is>
      </c>
      <c r="R179" s="14" t="inlineStr">
        <is>
          <t>pass</t>
        </is>
      </c>
      <c r="S179" s="14" t="inlineStr">
        <is>
          <t>pass</t>
        </is>
      </c>
      <c r="T179" s="14" t="inlineStr">
        <is>
          <t>pass</t>
        </is>
      </c>
      <c r="U179" s="16" t="inlineStr">
        <is>
          <t>warn</t>
        </is>
      </c>
      <c r="V179" s="16" t="inlineStr">
        <is>
          <t>warn</t>
        </is>
      </c>
      <c r="W179" s="14" t="inlineStr">
        <is>
          <t>pass</t>
        </is>
      </c>
      <c r="X179" s="14" t="inlineStr">
        <is>
          <t>pass</t>
        </is>
      </c>
      <c r="Y179" s="16" t="inlineStr">
        <is>
          <t>warn</t>
        </is>
      </c>
      <c r="Z179" s="14" t="inlineStr">
        <is>
          <t>pass</t>
        </is>
      </c>
      <c r="AA179" s="14" t="inlineStr">
        <is>
          <t>pass</t>
        </is>
      </c>
      <c r="AB179" s="14" t="inlineStr">
        <is>
          <t>pass</t>
        </is>
      </c>
      <c r="AC179" s="14" t="inlineStr">
        <is>
          <t>pass</t>
        </is>
      </c>
      <c r="AD179" s="14" t="inlineStr">
        <is>
          <t>pass</t>
        </is>
      </c>
      <c r="AE179" s="14" t="inlineStr">
        <is>
          <t>pass</t>
        </is>
      </c>
      <c r="AF179" s="14" t="inlineStr">
        <is>
          <t>pass</t>
        </is>
      </c>
      <c r="AG179" s="16" t="inlineStr">
        <is>
          <t>warn</t>
        </is>
      </c>
      <c r="AH179" s="16" t="inlineStr">
        <is>
          <t>warn</t>
        </is>
      </c>
      <c r="AI179" s="15" t="inlineStr">
        <is>
          <t>n.a.</t>
        </is>
      </c>
      <c r="AJ179" s="15" t="inlineStr">
        <is>
          <t>n.a.</t>
        </is>
      </c>
      <c r="AK179" s="4" t="inlineStr">
        <is>
          <t>format_match(warn);machine_metadata(warn);license(warn);join_key(warn);format_gaia(warn)</t>
        </is>
      </c>
      <c r="AL179" s="17" t="inlineStr">
        <is>
          <t>https://www.graham-center.org/maps-data-tools/social-deprivation-index.html</t>
        </is>
      </c>
      <c r="AM179" s="4" t="inlineStr">
        <is>
          <t>us_rgc_sdi</t>
        </is>
      </c>
    </row>
    <row r="180">
      <c r="A180" s="4" t="inlineStr">
        <is>
          <t>Socio-Economic Indexes for Areas (SEIFA)</t>
        </is>
      </c>
      <c r="B180" s="19" t="inlineStr">
        <is>
          <t>Silver</t>
        </is>
      </c>
      <c r="C180" s="4" t="n">
        <v>86</v>
      </c>
      <c r="D180" s="4" t="inlineStr">
        <is>
          <t>sdoh</t>
        </is>
      </c>
      <c r="E180" s="4" t="inlineStr">
        <is>
          <t>healthy</t>
        </is>
      </c>
      <c r="F180" s="4" t="inlineStr">
        <is>
          <t>open</t>
        </is>
      </c>
      <c r="G180" s="4" t="inlineStr">
        <is>
          <t>SA1 (ABS Statistical Area Level 1; polygon) - finer than the listed postcode_small_area; also SA2, LGA, POA, SAL</t>
        </is>
      </c>
      <c r="H180" s="4" t="inlineStr">
        <is>
          <t>Joins today</t>
        </is>
      </c>
      <c r="I180" s="4" t="n">
        <v>3</v>
      </c>
      <c r="J180" s="4" t="inlineStr"/>
      <c r="K180" s="4" t="inlineStr">
        <is>
          <t>Curated</t>
        </is>
      </c>
      <c r="L180" s="4" t="n">
        <v>2021</v>
      </c>
      <c r="M180" s="4" t="inlineStr">
        <is>
          <t>open</t>
        </is>
      </c>
      <c r="N180" s="4" t="inlineStr">
        <is>
          <t>2026-10-22</t>
        </is>
      </c>
      <c r="O180" s="14" t="inlineStr">
        <is>
          <t>pass</t>
        </is>
      </c>
      <c r="P180" s="14" t="inlineStr">
        <is>
          <t>pass</t>
        </is>
      </c>
      <c r="Q180" s="14" t="inlineStr">
        <is>
          <t>pass</t>
        </is>
      </c>
      <c r="R180" s="14" t="inlineStr">
        <is>
          <t>pass</t>
        </is>
      </c>
      <c r="S180" s="14" t="inlineStr">
        <is>
          <t>pass</t>
        </is>
      </c>
      <c r="T180" s="15" t="inlineStr">
        <is>
          <t>n.a.</t>
        </is>
      </c>
      <c r="U180" s="15" t="inlineStr">
        <is>
          <t>n.a.</t>
        </is>
      </c>
      <c r="V180" s="16" t="inlineStr">
        <is>
          <t>warn</t>
        </is>
      </c>
      <c r="W180" s="16" t="inlineStr">
        <is>
          <t>warn</t>
        </is>
      </c>
      <c r="X180" s="14" t="inlineStr">
        <is>
          <t>pass</t>
        </is>
      </c>
      <c r="Y180" s="14" t="inlineStr">
        <is>
          <t>pass</t>
        </is>
      </c>
      <c r="Z180" s="14" t="inlineStr">
        <is>
          <t>pass</t>
        </is>
      </c>
      <c r="AA180" s="14" t="inlineStr">
        <is>
          <t>pass</t>
        </is>
      </c>
      <c r="AB180" s="16" t="inlineStr">
        <is>
          <t>warn</t>
        </is>
      </c>
      <c r="AC180" s="14" t="inlineStr">
        <is>
          <t>pass</t>
        </is>
      </c>
      <c r="AD180" s="16" t="inlineStr">
        <is>
          <t>warn</t>
        </is>
      </c>
      <c r="AE180" s="14" t="inlineStr">
        <is>
          <t>pass</t>
        </is>
      </c>
      <c r="AF180" s="14" t="inlineStr">
        <is>
          <t>pass</t>
        </is>
      </c>
      <c r="AG180" s="16" t="inlineStr">
        <is>
          <t>warn</t>
        </is>
      </c>
      <c r="AH180" s="16" t="inlineStr">
        <is>
          <t>warn</t>
        </is>
      </c>
      <c r="AI180" s="15" t="inlineStr">
        <is>
          <t>n.a.</t>
        </is>
      </c>
      <c r="AJ180" s="15" t="inlineStr">
        <is>
          <t>n.a.</t>
        </is>
      </c>
      <c r="AK180" s="4" t="inlineStr">
        <is>
          <t>machine_metadata(warn);persistent_id(warn);cadence(warn);unit(warn);join_key(warn);format_gaia(warn)</t>
        </is>
      </c>
      <c r="AL180" s="17" t="inlineStr">
        <is>
          <t>https://www.abs.gov.au/statistics/people/people-and-communities/socio-economic-indexes-areas-seifa-australia/latest-release</t>
        </is>
      </c>
      <c r="AM180" s="4" t="inlineStr">
        <is>
          <t>au_abs_seifa</t>
        </is>
      </c>
    </row>
    <row r="181">
      <c r="A181" s="4" t="inlineStr">
        <is>
          <t>VA Facilities API (Lighthouse)</t>
        </is>
      </c>
      <c r="B181" s="19" t="inlineStr">
        <is>
          <t>Silver</t>
        </is>
      </c>
      <c r="C181" s="4" t="n">
        <v>75</v>
      </c>
      <c r="D181" s="4" t="inlineStr">
        <is>
          <t>sdoh</t>
        </is>
      </c>
      <c r="E181" s="4" t="inlineStr">
        <is>
          <t>degraded</t>
        </is>
      </c>
      <c r="F181" s="4" t="inlineStr">
        <is>
          <t>open</t>
        </is>
      </c>
      <c r="G181" s="4" t="inlineStr">
        <is>
          <t>point</t>
        </is>
      </c>
      <c r="H181" s="4" t="inlineStr">
        <is>
          <t>Needs a count/distance step</t>
        </is>
      </c>
      <c r="I181" s="4" t="n">
        <v>3</v>
      </c>
      <c r="J181" s="4" t="inlineStr"/>
      <c r="K181" s="4" t="inlineStr">
        <is>
          <t>Curated</t>
        </is>
      </c>
      <c r="L181" s="4" t="n">
        <v>2026</v>
      </c>
      <c r="M181" s="4" t="inlineStr">
        <is>
          <t>open</t>
        </is>
      </c>
      <c r="N181" s="4" t="inlineStr">
        <is>
          <t>2026-10-22</t>
        </is>
      </c>
      <c r="O181" s="14" t="inlineStr">
        <is>
          <t>pass</t>
        </is>
      </c>
      <c r="P181" s="14" t="inlineStr">
        <is>
          <t>pass</t>
        </is>
      </c>
      <c r="Q181" s="14" t="inlineStr">
        <is>
          <t>pass</t>
        </is>
      </c>
      <c r="R181" s="16" t="inlineStr">
        <is>
          <t>warn</t>
        </is>
      </c>
      <c r="S181" s="15" t="inlineStr">
        <is>
          <t>not_checked</t>
        </is>
      </c>
      <c r="T181" s="14" t="inlineStr">
        <is>
          <t>pass</t>
        </is>
      </c>
      <c r="U181" s="16" t="inlineStr">
        <is>
          <t>warn</t>
        </is>
      </c>
      <c r="V181" s="18" t="inlineStr">
        <is>
          <t>fail</t>
        </is>
      </c>
      <c r="W181" s="16" t="inlineStr">
        <is>
          <t>warn</t>
        </is>
      </c>
      <c r="X181" s="14" t="inlineStr">
        <is>
          <t>pass</t>
        </is>
      </c>
      <c r="Y181" s="14" t="inlineStr">
        <is>
          <t>pass</t>
        </is>
      </c>
      <c r="Z181" s="16" t="inlineStr">
        <is>
          <t>warn</t>
        </is>
      </c>
      <c r="AA181" s="14" t="inlineStr">
        <is>
          <t>pass</t>
        </is>
      </c>
      <c r="AB181" s="15" t="inlineStr">
        <is>
          <t>not_checked</t>
        </is>
      </c>
      <c r="AC181" s="16" t="inlineStr">
        <is>
          <t>warn</t>
        </is>
      </c>
      <c r="AD181" s="15" t="inlineStr">
        <is>
          <t>not_checked</t>
        </is>
      </c>
      <c r="AE181" s="15" t="inlineStr">
        <is>
          <t>not_checked</t>
        </is>
      </c>
      <c r="AF181" s="15" t="inlineStr">
        <is>
          <t>not_checked</t>
        </is>
      </c>
      <c r="AG181" s="16" t="inlineStr">
        <is>
          <t>warn</t>
        </is>
      </c>
      <c r="AH181" s="16" t="inlineStr">
        <is>
          <t>warn</t>
        </is>
      </c>
      <c r="AI181" s="15" t="inlineStr">
        <is>
          <t>n.a.</t>
        </is>
      </c>
      <c r="AJ181" s="15" t="inlineStr">
        <is>
          <t>n.a.</t>
        </is>
      </c>
      <c r="AK181" s="4" t="inlineStr">
        <is>
          <t>machine_metadata;soft404(warn);format_match(warn);persistent_id(warn);temporal(warn);version(warn);join_key(warn);format_gaia(warn)</t>
        </is>
      </c>
      <c r="AL181" s="17" t="inlineStr">
        <is>
          <t>https://developer.va.gov/explore/api/va-facilities</t>
        </is>
      </c>
      <c r="AM181" s="4" t="inlineStr">
        <is>
          <t>us_va_facilities_api</t>
        </is>
      </c>
    </row>
    <row r="182">
      <c r="A182" s="4" t="inlineStr">
        <is>
          <t>World Bank Microdata Library</t>
        </is>
      </c>
      <c r="B182" s="19" t="inlineStr">
        <is>
          <t>Silver</t>
        </is>
      </c>
      <c r="C182" s="4" t="n">
        <v>75</v>
      </c>
      <c r="D182" s="4" t="inlineStr">
        <is>
          <t>sdoh</t>
        </is>
      </c>
      <c r="E182" s="4" t="inlineStr">
        <is>
          <t>degraded</t>
        </is>
      </c>
      <c r="F182" s="4" t="inlineStr">
        <is>
          <t>registration</t>
        </is>
      </c>
      <c r="G182" s="4" t="inlineStr">
        <is>
          <t>unknown</t>
        </is>
      </c>
      <c r="H182" s="4" t="inlineStr">
        <is>
          <t>Not linkable as listed</t>
        </is>
      </c>
      <c r="I182" s="4" t="n">
        <v>3</v>
      </c>
      <c r="J182" s="4" t="inlineStr"/>
      <c r="K182" s="4" t="inlineStr">
        <is>
          <t>Curated</t>
        </is>
      </c>
      <c r="L182" s="4" t="n">
        <v>2024</v>
      </c>
      <c r="M182" s="4" t="inlineStr">
        <is>
          <t>registration</t>
        </is>
      </c>
      <c r="N182" s="4" t="inlineStr">
        <is>
          <t>2026-10-28</t>
        </is>
      </c>
      <c r="O182" s="14" t="inlineStr">
        <is>
          <t>pass</t>
        </is>
      </c>
      <c r="P182" s="14" t="inlineStr">
        <is>
          <t>pass</t>
        </is>
      </c>
      <c r="Q182" s="14" t="inlineStr">
        <is>
          <t>pass</t>
        </is>
      </c>
      <c r="R182" s="14" t="inlineStr">
        <is>
          <t>pass</t>
        </is>
      </c>
      <c r="S182" s="14" t="inlineStr">
        <is>
          <t>pass</t>
        </is>
      </c>
      <c r="T182" s="15" t="inlineStr">
        <is>
          <t>n.a.</t>
        </is>
      </c>
      <c r="U182" s="15" t="inlineStr">
        <is>
          <t>n.a.</t>
        </is>
      </c>
      <c r="V182" s="18" t="inlineStr">
        <is>
          <t>fail</t>
        </is>
      </c>
      <c r="W182" s="16" t="inlineStr">
        <is>
          <t>warn</t>
        </is>
      </c>
      <c r="X182" s="14" t="inlineStr">
        <is>
          <t>pass</t>
        </is>
      </c>
      <c r="Y182" s="16" t="inlineStr">
        <is>
          <t>warn</t>
        </is>
      </c>
      <c r="Z182" s="16" t="inlineStr">
        <is>
          <t>warn</t>
        </is>
      </c>
      <c r="AA182" s="14" t="inlineStr">
        <is>
          <t>pass</t>
        </is>
      </c>
      <c r="AB182" s="16" t="inlineStr">
        <is>
          <t>warn</t>
        </is>
      </c>
      <c r="AC182" s="15" t="inlineStr">
        <is>
          <t>not_checked</t>
        </is>
      </c>
      <c r="AD182" s="15" t="inlineStr">
        <is>
          <t>not_checked</t>
        </is>
      </c>
      <c r="AE182" s="16" t="inlineStr">
        <is>
          <t>warn</t>
        </is>
      </c>
      <c r="AF182" s="16" t="inlineStr">
        <is>
          <t>warn</t>
        </is>
      </c>
      <c r="AG182" s="15" t="inlineStr">
        <is>
          <t>not_checked</t>
        </is>
      </c>
      <c r="AH182" s="15" t="inlineStr">
        <is>
          <t>not_checked</t>
        </is>
      </c>
      <c r="AI182" s="15" t="inlineStr">
        <is>
          <t>n.a.</t>
        </is>
      </c>
      <c r="AJ182" s="15" t="inlineStr">
        <is>
          <t>n.a.</t>
        </is>
      </c>
      <c r="AK182" s="4" t="inlineStr">
        <is>
          <t>machine_metadata;persistent_id(warn);license(warn);temporal(warn);cadence(warn);coverage(warn);access(warn)</t>
        </is>
      </c>
      <c r="AL182" s="17" t="inlineStr">
        <is>
          <t>https://microdata.worldbank.org/index.php/home</t>
        </is>
      </c>
      <c r="AM182" s="4" t="inlineStr">
        <is>
          <t>global_worldbank_microdata_library</t>
        </is>
      </c>
    </row>
    <row r="183">
      <c r="A183" s="4" t="inlineStr">
        <is>
          <t>Air Toxics Screening Assessment (AirToxScreen) (successor to NATA)</t>
        </is>
      </c>
      <c r="B183" s="19" t="inlineStr">
        <is>
          <t>Silver</t>
        </is>
      </c>
      <c r="C183" s="4" t="n">
        <v>86</v>
      </c>
      <c r="D183" s="4" t="inlineStr">
        <is>
          <t>toxics</t>
        </is>
      </c>
      <c r="E183" s="4" t="inlineStr">
        <is>
          <t>healthy</t>
        </is>
      </c>
      <c r="F183" s="4" t="inlineStr">
        <is>
          <t>open</t>
        </is>
      </c>
      <c r="G183" s="4" t="inlineStr">
        <is>
          <t>block</t>
        </is>
      </c>
      <c r="H183" s="4" t="inlineStr">
        <is>
          <t>Joins today</t>
        </is>
      </c>
      <c r="I183" s="4" t="n">
        <v>3</v>
      </c>
      <c r="J183" s="4" t="inlineStr"/>
      <c r="K183" s="4" t="inlineStr">
        <is>
          <t>Curated</t>
        </is>
      </c>
      <c r="L183" s="4" t="n">
        <v>2020</v>
      </c>
      <c r="M183" s="4" t="inlineStr">
        <is>
          <t>open</t>
        </is>
      </c>
      <c r="N183" s="4" t="inlineStr">
        <is>
          <t>2026-10-22</t>
        </is>
      </c>
      <c r="O183" s="14" t="inlineStr">
        <is>
          <t>pass</t>
        </is>
      </c>
      <c r="P183" s="14" t="inlineStr">
        <is>
          <t>pass</t>
        </is>
      </c>
      <c r="Q183" s="14" t="inlineStr">
        <is>
          <t>pass</t>
        </is>
      </c>
      <c r="R183" s="14" t="inlineStr">
        <is>
          <t>pass</t>
        </is>
      </c>
      <c r="S183" s="14" t="inlineStr">
        <is>
          <t>pass</t>
        </is>
      </c>
      <c r="T183" s="14" t="inlineStr">
        <is>
          <t>pass</t>
        </is>
      </c>
      <c r="U183" s="16" t="inlineStr">
        <is>
          <t>warn</t>
        </is>
      </c>
      <c r="V183" s="16" t="inlineStr">
        <is>
          <t>warn</t>
        </is>
      </c>
      <c r="W183" s="16" t="inlineStr">
        <is>
          <t>warn</t>
        </is>
      </c>
      <c r="X183" s="14" t="inlineStr">
        <is>
          <t>pass</t>
        </is>
      </c>
      <c r="Y183" s="16" t="inlineStr">
        <is>
          <t>warn</t>
        </is>
      </c>
      <c r="Z183" s="14" t="inlineStr">
        <is>
          <t>pass</t>
        </is>
      </c>
      <c r="AA183" s="14" t="inlineStr">
        <is>
          <t>pass</t>
        </is>
      </c>
      <c r="AB183" s="15" t="inlineStr">
        <is>
          <t>not_checked</t>
        </is>
      </c>
      <c r="AC183" s="14" t="inlineStr">
        <is>
          <t>pass</t>
        </is>
      </c>
      <c r="AD183" s="14" t="inlineStr">
        <is>
          <t>pass</t>
        </is>
      </c>
      <c r="AE183" s="14" t="inlineStr">
        <is>
          <t>pass</t>
        </is>
      </c>
      <c r="AF183" s="14" t="inlineStr">
        <is>
          <t>pass</t>
        </is>
      </c>
      <c r="AG183" s="16" t="inlineStr">
        <is>
          <t>warn</t>
        </is>
      </c>
      <c r="AH183" s="16" t="inlineStr">
        <is>
          <t>warn</t>
        </is>
      </c>
      <c r="AI183" s="15" t="inlineStr">
        <is>
          <t>n.a.</t>
        </is>
      </c>
      <c r="AJ183" s="15" t="inlineStr">
        <is>
          <t>n.a.</t>
        </is>
      </c>
      <c r="AK183" s="4" t="inlineStr">
        <is>
          <t>format_match(warn);machine_metadata(warn);persistent_id(warn);license(warn);join_key(warn);format_gaia(warn)</t>
        </is>
      </c>
      <c r="AL183" s="17" t="inlineStr">
        <is>
          <t>https://www.epa.gov/AirToxScreen/2020-airtoxscreen-assessment-results</t>
        </is>
      </c>
      <c r="AM183" s="4" t="inlineStr">
        <is>
          <t>us_epa_airtoxscreen</t>
        </is>
      </c>
    </row>
    <row r="184">
      <c r="A184" s="4" t="inlineStr">
        <is>
          <t>CalEnviroScreen 4.0</t>
        </is>
      </c>
      <c r="B184" s="19" t="inlineStr">
        <is>
          <t>Silver</t>
        </is>
      </c>
      <c r="C184" s="4" t="n">
        <v>97</v>
      </c>
      <c r="D184" s="4" t="inlineStr">
        <is>
          <t>toxics</t>
        </is>
      </c>
      <c r="E184" s="4" t="inlineStr">
        <is>
          <t>healthy</t>
        </is>
      </c>
      <c r="F184" s="4" t="inlineStr">
        <is>
          <t>open</t>
        </is>
      </c>
      <c r="G184" s="4" t="inlineStr">
        <is>
          <t>tract</t>
        </is>
      </c>
      <c r="H184" s="4" t="inlineStr">
        <is>
          <t>Joins today</t>
        </is>
      </c>
      <c r="I184" s="4" t="n">
        <v>3</v>
      </c>
      <c r="J184" s="4" t="inlineStr"/>
      <c r="K184" s="4" t="inlineStr">
        <is>
          <t>Curated</t>
        </is>
      </c>
      <c r="L184" s="4" t="n">
        <v>2021</v>
      </c>
      <c r="M184" s="4" t="inlineStr">
        <is>
          <t>open</t>
        </is>
      </c>
      <c r="N184" s="4" t="inlineStr">
        <is>
          <t>2026-10-22</t>
        </is>
      </c>
      <c r="O184" s="14" t="inlineStr">
        <is>
          <t>pass</t>
        </is>
      </c>
      <c r="P184" s="14" t="inlineStr">
        <is>
          <t>pass</t>
        </is>
      </c>
      <c r="Q184" s="14" t="inlineStr">
        <is>
          <t>pass</t>
        </is>
      </c>
      <c r="R184" s="14" t="inlineStr">
        <is>
          <t>pass</t>
        </is>
      </c>
      <c r="S184" s="14" t="inlineStr">
        <is>
          <t>pass</t>
        </is>
      </c>
      <c r="T184" s="14" t="inlineStr">
        <is>
          <t>pass</t>
        </is>
      </c>
      <c r="U184" s="16" t="inlineStr">
        <is>
          <t>warn</t>
        </is>
      </c>
      <c r="V184" s="14" t="inlineStr">
        <is>
          <t>pass</t>
        </is>
      </c>
      <c r="W184" s="16" t="inlineStr">
        <is>
          <t>warn</t>
        </is>
      </c>
      <c r="X184" s="18" t="inlineStr">
        <is>
          <t>fail</t>
        </is>
      </c>
      <c r="Y184" s="14" t="inlineStr">
        <is>
          <t>pass</t>
        </is>
      </c>
      <c r="Z184" s="16" t="inlineStr">
        <is>
          <t>warn</t>
        </is>
      </c>
      <c r="AA184" s="14" t="inlineStr">
        <is>
          <t>pass</t>
        </is>
      </c>
      <c r="AB184" s="14" t="inlineStr">
        <is>
          <t>pass</t>
        </is>
      </c>
      <c r="AC184" s="14" t="inlineStr">
        <is>
          <t>pass</t>
        </is>
      </c>
      <c r="AD184" s="14" t="inlineStr">
        <is>
          <t>pass</t>
        </is>
      </c>
      <c r="AE184" s="14" t="inlineStr">
        <is>
          <t>pass</t>
        </is>
      </c>
      <c r="AF184" s="14" t="inlineStr">
        <is>
          <t>pass</t>
        </is>
      </c>
      <c r="AG184" s="14" t="inlineStr">
        <is>
          <t>pass</t>
        </is>
      </c>
      <c r="AH184" s="14" t="inlineStr">
        <is>
          <t>pass</t>
        </is>
      </c>
      <c r="AI184" s="15" t="inlineStr">
        <is>
          <t>n.a.</t>
        </is>
      </c>
      <c r="AJ184" s="15" t="inlineStr">
        <is>
          <t>n.a.</t>
        </is>
      </c>
      <c r="AK184" s="4" t="inlineStr">
        <is>
          <t>archived;format_match(warn);persistent_id(warn);temporal(warn)</t>
        </is>
      </c>
      <c r="AL184" s="17" t="inlineStr">
        <is>
          <t>https://catalog.data.gov/dataset/calenviroscreen-4-0</t>
        </is>
      </c>
      <c r="AM184" s="4" t="inlineStr">
        <is>
          <t>us_ca_oehha_calenviroscreen</t>
        </is>
      </c>
    </row>
    <row r="185">
      <c r="A185" s="4" t="inlineStr">
        <is>
          <t>ECHO Data Downloads (ECHO Exporter, SDWA, RCRAInfo, ICIS-NPDES, ICIS-Air, Air Emissions datasets)</t>
        </is>
      </c>
      <c r="B185" s="19" t="inlineStr">
        <is>
          <t>Silver</t>
        </is>
      </c>
      <c r="C185" s="4" t="n">
        <v>89</v>
      </c>
      <c r="D185" s="4" t="inlineStr">
        <is>
          <t>toxics</t>
        </is>
      </c>
      <c r="E185" s="4" t="inlineStr">
        <is>
          <t>degraded</t>
        </is>
      </c>
      <c r="F185" s="4" t="inlineStr">
        <is>
          <t>open</t>
        </is>
      </c>
      <c r="G185" s="4" t="inlineStr">
        <is>
          <t>point</t>
        </is>
      </c>
      <c r="H185" s="4" t="inlineStr">
        <is>
          <t>Needs a count/distance step</t>
        </is>
      </c>
      <c r="I185" s="4" t="n">
        <v>3</v>
      </c>
      <c r="J185" s="4" t="inlineStr"/>
      <c r="K185" s="4" t="inlineStr">
        <is>
          <t>Curated</t>
        </is>
      </c>
      <c r="L185" s="4" t="n">
        <v>2026</v>
      </c>
      <c r="M185" s="4" t="inlineStr">
        <is>
          <t>open</t>
        </is>
      </c>
      <c r="N185" s="4" t="inlineStr">
        <is>
          <t>2026-10-22</t>
        </is>
      </c>
      <c r="O185" s="14" t="inlineStr">
        <is>
          <t>pass</t>
        </is>
      </c>
      <c r="P185" s="14" t="inlineStr">
        <is>
          <t>pass</t>
        </is>
      </c>
      <c r="Q185" s="14" t="inlineStr">
        <is>
          <t>pass</t>
        </is>
      </c>
      <c r="R185" s="14" t="inlineStr">
        <is>
          <t>pass</t>
        </is>
      </c>
      <c r="S185" s="14" t="inlineStr">
        <is>
          <t>pass</t>
        </is>
      </c>
      <c r="T185" s="14" t="inlineStr">
        <is>
          <t>pass</t>
        </is>
      </c>
      <c r="U185" s="16" t="inlineStr">
        <is>
          <t>warn</t>
        </is>
      </c>
      <c r="V185" s="18" t="inlineStr">
        <is>
          <t>fail</t>
        </is>
      </c>
      <c r="W185" s="16" t="inlineStr">
        <is>
          <t>warn</t>
        </is>
      </c>
      <c r="X185" s="14" t="inlineStr">
        <is>
          <t>pass</t>
        </is>
      </c>
      <c r="Y185" s="16" t="inlineStr">
        <is>
          <t>warn</t>
        </is>
      </c>
      <c r="Z185" s="14" t="inlineStr">
        <is>
          <t>pass</t>
        </is>
      </c>
      <c r="AA185" s="14" t="inlineStr">
        <is>
          <t>pass</t>
        </is>
      </c>
      <c r="AB185" s="14" t="inlineStr">
        <is>
          <t>pass</t>
        </is>
      </c>
      <c r="AC185" s="14" t="inlineStr">
        <is>
          <t>pass</t>
        </is>
      </c>
      <c r="AD185" s="14" t="inlineStr">
        <is>
          <t>pass</t>
        </is>
      </c>
      <c r="AE185" s="14" t="inlineStr">
        <is>
          <t>pass</t>
        </is>
      </c>
      <c r="AF185" s="14" t="inlineStr">
        <is>
          <t>pass</t>
        </is>
      </c>
      <c r="AG185" s="14" t="inlineStr">
        <is>
          <t>pass</t>
        </is>
      </c>
      <c r="AH185" s="14" t="inlineStr">
        <is>
          <t>pass</t>
        </is>
      </c>
      <c r="AI185" s="15" t="inlineStr">
        <is>
          <t>n.a.</t>
        </is>
      </c>
      <c r="AJ185" s="15" t="inlineStr">
        <is>
          <t>n.a.</t>
        </is>
      </c>
      <c r="AK185" s="4" t="inlineStr">
        <is>
          <t>machine_metadata;format_match(warn);persistent_id(warn);license(warn)</t>
        </is>
      </c>
      <c r="AL185" s="17" t="inlineStr">
        <is>
          <t>https://echo.epa.gov/tools/data-downloads</t>
        </is>
      </c>
      <c r="AM185" s="4" t="inlineStr">
        <is>
          <t>us_epa_echo_downloads</t>
        </is>
      </c>
    </row>
    <row r="186">
      <c r="A186" s="4" t="inlineStr">
        <is>
          <t>Envirofacts / DMAP-EF RESTful Data Service API (TRI, SDWIS, FRS, RCRAInfo, Superfund tables)</t>
        </is>
      </c>
      <c r="B186" s="19" t="inlineStr">
        <is>
          <t>Silver</t>
        </is>
      </c>
      <c r="C186" s="4" t="n">
        <v>82</v>
      </c>
      <c r="D186" s="4" t="inlineStr">
        <is>
          <t>toxics</t>
        </is>
      </c>
      <c r="E186" s="4" t="inlineStr">
        <is>
          <t>healthy</t>
        </is>
      </c>
      <c r="F186" s="4" t="inlineStr">
        <is>
          <t>open</t>
        </is>
      </c>
      <c r="G186" s="4" t="inlineStr">
        <is>
          <t>zip (explicit in UV Index and zip_code filters); facility-level tables referenced without stating coordinates</t>
        </is>
      </c>
      <c r="H186" s="4" t="inlineStr">
        <is>
          <t>Needs a count/distance step</t>
        </is>
      </c>
      <c r="I186" s="4" t="n">
        <v>3</v>
      </c>
      <c r="J186" s="4" t="inlineStr"/>
      <c r="K186" s="4" t="inlineStr">
        <is>
          <t>Curated</t>
        </is>
      </c>
      <c r="L186" s="4" t="inlineStr">
        <is>
          <t>current</t>
        </is>
      </c>
      <c r="M186" s="4" t="inlineStr">
        <is>
          <t>open</t>
        </is>
      </c>
      <c r="N186" s="4" t="inlineStr">
        <is>
          <t>2026-10-22</t>
        </is>
      </c>
      <c r="O186" s="14" t="inlineStr">
        <is>
          <t>pass</t>
        </is>
      </c>
      <c r="P186" s="14" t="inlineStr">
        <is>
          <t>pass</t>
        </is>
      </c>
      <c r="Q186" s="14" t="inlineStr">
        <is>
          <t>pass</t>
        </is>
      </c>
      <c r="R186" s="14" t="inlineStr">
        <is>
          <t>pass</t>
        </is>
      </c>
      <c r="S186" s="14" t="inlineStr">
        <is>
          <t>pass</t>
        </is>
      </c>
      <c r="T186" s="14" t="inlineStr">
        <is>
          <t>pass</t>
        </is>
      </c>
      <c r="U186" s="16" t="inlineStr">
        <is>
          <t>warn</t>
        </is>
      </c>
      <c r="V186" s="16" t="inlineStr">
        <is>
          <t>warn</t>
        </is>
      </c>
      <c r="W186" s="16" t="inlineStr">
        <is>
          <t>warn</t>
        </is>
      </c>
      <c r="X186" s="14" t="inlineStr">
        <is>
          <t>pass</t>
        </is>
      </c>
      <c r="Y186" s="16" t="inlineStr">
        <is>
          <t>warn</t>
        </is>
      </c>
      <c r="Z186" s="15" t="inlineStr">
        <is>
          <t>not_checked</t>
        </is>
      </c>
      <c r="AA186" s="15" t="inlineStr">
        <is>
          <t>not_checked</t>
        </is>
      </c>
      <c r="AB186" s="15" t="inlineStr">
        <is>
          <t>not_checked</t>
        </is>
      </c>
      <c r="AC186" s="15" t="inlineStr">
        <is>
          <t>not_checked</t>
        </is>
      </c>
      <c r="AD186" s="16" t="inlineStr">
        <is>
          <t>warn</t>
        </is>
      </c>
      <c r="AE186" s="14" t="inlineStr">
        <is>
          <t>pass</t>
        </is>
      </c>
      <c r="AF186" s="14" t="inlineStr">
        <is>
          <t>pass</t>
        </is>
      </c>
      <c r="AG186" s="14" t="inlineStr">
        <is>
          <t>pass</t>
        </is>
      </c>
      <c r="AH186" s="16" t="inlineStr">
        <is>
          <t>warn</t>
        </is>
      </c>
      <c r="AI186" s="15" t="inlineStr">
        <is>
          <t>n.a.</t>
        </is>
      </c>
      <c r="AJ186" s="15" t="inlineStr">
        <is>
          <t>n.a.</t>
        </is>
      </c>
      <c r="AK186" s="4" t="inlineStr">
        <is>
          <t>format_match(warn);machine_metadata(warn);persistent_id(warn);license(warn);unit(warn);format_gaia(warn)</t>
        </is>
      </c>
      <c r="AL186" s="17" t="inlineStr">
        <is>
          <t>https://www.epa.gov/enviro/web-services</t>
        </is>
      </c>
      <c r="AM186" s="4" t="inlineStr">
        <is>
          <t>us_epa_envirofacts_api</t>
        </is>
      </c>
    </row>
    <row r="187">
      <c r="A187" s="4" t="inlineStr">
        <is>
          <t>Facility Registry Service (FRS) downloads and API</t>
        </is>
      </c>
      <c r="B187" s="19" t="inlineStr">
        <is>
          <t>Silver</t>
        </is>
      </c>
      <c r="C187" s="4" t="n">
        <v>88</v>
      </c>
      <c r="D187" s="4" t="inlineStr">
        <is>
          <t>toxics</t>
        </is>
      </c>
      <c r="E187" s="4" t="inlineStr">
        <is>
          <t>healthy</t>
        </is>
      </c>
      <c r="F187" s="4" t="inlineStr">
        <is>
          <t>open</t>
        </is>
      </c>
      <c r="G187" s="4" t="inlineStr">
        <is>
          <t>point</t>
        </is>
      </c>
      <c r="H187" s="4" t="inlineStr">
        <is>
          <t>Needs a count/distance step</t>
        </is>
      </c>
      <c r="I187" s="4" t="n">
        <v>3</v>
      </c>
      <c r="J187" s="4" t="inlineStr"/>
      <c r="K187" s="4" t="inlineStr">
        <is>
          <t>Curated</t>
        </is>
      </c>
      <c r="L187" s="4" t="n">
        <v>2026</v>
      </c>
      <c r="M187" s="4" t="inlineStr">
        <is>
          <t>open</t>
        </is>
      </c>
      <c r="N187" s="4" t="inlineStr">
        <is>
          <t>2026-10-22</t>
        </is>
      </c>
      <c r="O187" s="14" t="inlineStr">
        <is>
          <t>pass</t>
        </is>
      </c>
      <c r="P187" s="14" t="inlineStr">
        <is>
          <t>pass</t>
        </is>
      </c>
      <c r="Q187" s="14" t="inlineStr">
        <is>
          <t>pass</t>
        </is>
      </c>
      <c r="R187" s="14" t="inlineStr">
        <is>
          <t>pass</t>
        </is>
      </c>
      <c r="S187" s="14" t="inlineStr">
        <is>
          <t>pass</t>
        </is>
      </c>
      <c r="T187" s="14" t="inlineStr">
        <is>
          <t>pass</t>
        </is>
      </c>
      <c r="U187" s="14" t="inlineStr">
        <is>
          <t>pass</t>
        </is>
      </c>
      <c r="V187" s="16" t="inlineStr">
        <is>
          <t>warn</t>
        </is>
      </c>
      <c r="W187" s="16" t="inlineStr">
        <is>
          <t>warn</t>
        </is>
      </c>
      <c r="X187" s="14" t="inlineStr">
        <is>
          <t>pass</t>
        </is>
      </c>
      <c r="Y187" s="16" t="inlineStr">
        <is>
          <t>warn</t>
        </is>
      </c>
      <c r="Z187" s="16" t="inlineStr">
        <is>
          <t>warn</t>
        </is>
      </c>
      <c r="AA187" s="14" t="inlineStr">
        <is>
          <t>pass</t>
        </is>
      </c>
      <c r="AB187" s="14" t="inlineStr">
        <is>
          <t>pass</t>
        </is>
      </c>
      <c r="AC187" s="16" t="inlineStr">
        <is>
          <t>warn</t>
        </is>
      </c>
      <c r="AD187" s="14" t="inlineStr">
        <is>
          <t>pass</t>
        </is>
      </c>
      <c r="AE187" s="14" t="inlineStr">
        <is>
          <t>pass</t>
        </is>
      </c>
      <c r="AF187" s="14" t="inlineStr">
        <is>
          <t>pass</t>
        </is>
      </c>
      <c r="AG187" s="14" t="inlineStr">
        <is>
          <t>pass</t>
        </is>
      </c>
      <c r="AH187" s="14" t="inlineStr">
        <is>
          <t>pass</t>
        </is>
      </c>
      <c r="AI187" s="15" t="inlineStr">
        <is>
          <t>n.a.</t>
        </is>
      </c>
      <c r="AJ187" s="15" t="inlineStr">
        <is>
          <t>n.a.</t>
        </is>
      </c>
      <c r="AK187" s="4" t="inlineStr">
        <is>
          <t>machine_metadata(warn);persistent_id(warn);license(warn);temporal(warn);version(warn)</t>
        </is>
      </c>
      <c r="AL187" s="17" t="inlineStr">
        <is>
          <t>https://www.epa.gov/frs/frs-data-resources</t>
        </is>
      </c>
      <c r="AM187" s="4" t="inlineStr">
        <is>
          <t>us_epa_frs</t>
        </is>
      </c>
    </row>
    <row r="188">
      <c r="A188" s="4" t="inlineStr">
        <is>
          <t>FracFocus Chemical Disclosure Registry data download</t>
        </is>
      </c>
      <c r="B188" s="19" t="inlineStr">
        <is>
          <t>Silver</t>
        </is>
      </c>
      <c r="C188" s="4" t="n">
        <v>86</v>
      </c>
      <c r="D188" s="4" t="inlineStr">
        <is>
          <t>toxics</t>
        </is>
      </c>
      <c r="E188" s="4" t="inlineStr">
        <is>
          <t>healthy</t>
        </is>
      </c>
      <c r="F188" s="4" t="inlineStr">
        <is>
          <t>registration</t>
        </is>
      </c>
      <c r="G188" s="4" t="inlineStr">
        <is>
          <t>point</t>
        </is>
      </c>
      <c r="H188" s="4" t="inlineStr">
        <is>
          <t>Needs a count/distance step</t>
        </is>
      </c>
      <c r="I188" s="4" t="n">
        <v>3</v>
      </c>
      <c r="J188" s="4" t="inlineStr"/>
      <c r="K188" s="4" t="inlineStr">
        <is>
          <t>Curated</t>
        </is>
      </c>
      <c r="L188" s="4" t="n">
        <v>2026</v>
      </c>
      <c r="M188" s="4" t="inlineStr">
        <is>
          <t>open</t>
        </is>
      </c>
      <c r="N188" s="4" t="inlineStr">
        <is>
          <t>2026-10-22</t>
        </is>
      </c>
      <c r="O188" s="14" t="inlineStr">
        <is>
          <t>pass</t>
        </is>
      </c>
      <c r="P188" s="14" t="inlineStr">
        <is>
          <t>pass</t>
        </is>
      </c>
      <c r="Q188" s="14" t="inlineStr">
        <is>
          <t>pass</t>
        </is>
      </c>
      <c r="R188" s="14" t="inlineStr">
        <is>
          <t>pass</t>
        </is>
      </c>
      <c r="S188" s="14" t="inlineStr">
        <is>
          <t>pass</t>
        </is>
      </c>
      <c r="T188" s="14" t="inlineStr">
        <is>
          <t>pass</t>
        </is>
      </c>
      <c r="U188" s="16" t="inlineStr">
        <is>
          <t>warn</t>
        </is>
      </c>
      <c r="V188" s="16" t="inlineStr">
        <is>
          <t>warn</t>
        </is>
      </c>
      <c r="W188" s="16" t="inlineStr">
        <is>
          <t>warn</t>
        </is>
      </c>
      <c r="X188" s="14" t="inlineStr">
        <is>
          <t>pass</t>
        </is>
      </c>
      <c r="Y188" s="16" t="inlineStr">
        <is>
          <t>warn</t>
        </is>
      </c>
      <c r="Z188" s="14" t="inlineStr">
        <is>
          <t>pass</t>
        </is>
      </c>
      <c r="AA188" s="14" t="inlineStr">
        <is>
          <t>pass</t>
        </is>
      </c>
      <c r="AB188" s="14" t="inlineStr">
        <is>
          <t>pass</t>
        </is>
      </c>
      <c r="AC188" s="16" t="inlineStr">
        <is>
          <t>warn</t>
        </is>
      </c>
      <c r="AD188" s="14" t="inlineStr">
        <is>
          <t>pass</t>
        </is>
      </c>
      <c r="AE188" s="16" t="inlineStr">
        <is>
          <t>warn</t>
        </is>
      </c>
      <c r="AF188" s="14" t="inlineStr">
        <is>
          <t>pass</t>
        </is>
      </c>
      <c r="AG188" s="16" t="inlineStr">
        <is>
          <t>warn</t>
        </is>
      </c>
      <c r="AH188" s="14" t="inlineStr">
        <is>
          <t>pass</t>
        </is>
      </c>
      <c r="AI188" s="15" t="inlineStr">
        <is>
          <t>n.a.</t>
        </is>
      </c>
      <c r="AJ188" s="15" t="inlineStr">
        <is>
          <t>n.a.</t>
        </is>
      </c>
      <c r="AK188" s="4" t="inlineStr">
        <is>
          <t>format_match(warn);machine_metadata(warn);persistent_id(warn);license(warn);version(warn);coverage(warn);join_key(warn)</t>
        </is>
      </c>
      <c r="AL188" s="17" t="inlineStr">
        <is>
          <t>https://fracfocus.org/data-download</t>
        </is>
      </c>
      <c r="AM188" s="4" t="inlineStr">
        <is>
          <t>us_fracfocus_disclosures</t>
        </is>
      </c>
    </row>
    <row r="189">
      <c r="A189" s="4" t="inlineStr">
        <is>
          <t>Industrial Reporting under the IED and E-PRTR (Industrial Reporting Database)</t>
        </is>
      </c>
      <c r="B189" s="19" t="inlineStr">
        <is>
          <t>Silver</t>
        </is>
      </c>
      <c r="C189" s="4" t="n">
        <v>93</v>
      </c>
      <c r="D189" s="4" t="inlineStr">
        <is>
          <t>toxics</t>
        </is>
      </c>
      <c r="E189" s="4" t="inlineStr">
        <is>
          <t>degraded</t>
        </is>
      </c>
      <c r="F189" s="4" t="inlineStr">
        <is>
          <t>open</t>
        </is>
      </c>
      <c r="G189" s="4" t="inlineStr">
        <is>
          <t>facility/installation site (vector, EPSG:4326, 10 m resolution in companion spatial record; geometry type not stated)</t>
        </is>
      </c>
      <c r="H189" s="4" t="inlineStr">
        <is>
          <t>Needs a count/distance step</t>
        </is>
      </c>
      <c r="I189" s="4" t="n">
        <v>3</v>
      </c>
      <c r="J189" s="4" t="inlineStr"/>
      <c r="K189" s="4" t="inlineStr">
        <is>
          <t>Curated</t>
        </is>
      </c>
      <c r="L189" s="4" t="n">
        <v>2021</v>
      </c>
      <c r="M189" s="4" t="inlineStr">
        <is>
          <t>open</t>
        </is>
      </c>
      <c r="N189" s="4" t="inlineStr">
        <is>
          <t>2026-10-22</t>
        </is>
      </c>
      <c r="O189" s="14" t="inlineStr">
        <is>
          <t>pass</t>
        </is>
      </c>
      <c r="P189" s="14" t="inlineStr">
        <is>
          <t>pass</t>
        </is>
      </c>
      <c r="Q189" s="14" t="inlineStr">
        <is>
          <t>pass</t>
        </is>
      </c>
      <c r="R189" s="14" t="inlineStr">
        <is>
          <t>pass</t>
        </is>
      </c>
      <c r="S189" s="14" t="inlineStr">
        <is>
          <t>pass</t>
        </is>
      </c>
      <c r="T189" s="18" t="inlineStr">
        <is>
          <t>fail</t>
        </is>
      </c>
      <c r="U189" s="15" t="inlineStr">
        <is>
          <t>n.a.</t>
        </is>
      </c>
      <c r="V189" s="14" t="inlineStr">
        <is>
          <t>pass</t>
        </is>
      </c>
      <c r="W189" s="16" t="inlineStr">
        <is>
          <t>warn</t>
        </is>
      </c>
      <c r="X189" s="18" t="inlineStr">
        <is>
          <t>fail</t>
        </is>
      </c>
      <c r="Y189" s="14" t="inlineStr">
        <is>
          <t>pass</t>
        </is>
      </c>
      <c r="Z189" s="14" t="inlineStr">
        <is>
          <t>pass</t>
        </is>
      </c>
      <c r="AA189" s="14" t="inlineStr">
        <is>
          <t>pass</t>
        </is>
      </c>
      <c r="AB189" s="14" t="inlineStr">
        <is>
          <t>pass</t>
        </is>
      </c>
      <c r="AC189" s="14" t="inlineStr">
        <is>
          <t>pass</t>
        </is>
      </c>
      <c r="AD189" s="16" t="inlineStr">
        <is>
          <t>warn</t>
        </is>
      </c>
      <c r="AE189" s="14" t="inlineStr">
        <is>
          <t>pass</t>
        </is>
      </c>
      <c r="AF189" s="14" t="inlineStr">
        <is>
          <t>pass</t>
        </is>
      </c>
      <c r="AG189" s="14" t="inlineStr">
        <is>
          <t>pass</t>
        </is>
      </c>
      <c r="AH189" s="14" t="inlineStr">
        <is>
          <t>pass</t>
        </is>
      </c>
      <c r="AI189" s="15" t="inlineStr">
        <is>
          <t>n.a.</t>
        </is>
      </c>
      <c r="AJ189" s="15" t="inlineStr">
        <is>
          <t>n.a.</t>
        </is>
      </c>
      <c r="AK189" s="4" t="inlineStr">
        <is>
          <t>access_url;archived;persistent_id(warn);unit(warn)</t>
        </is>
      </c>
      <c r="AL189" s="17" t="inlineStr">
        <is>
          <t>https://sdi.eea.europa.eu/catalogue/srv/api/records/3da7d329-beea-4a7b-89bc-d45fc1c4b8ac</t>
        </is>
      </c>
      <c r="AM189" s="4" t="inlineStr">
        <is>
          <t>eu_eea_industrial_reporting_eprtr</t>
        </is>
      </c>
    </row>
    <row r="190">
      <c r="A190" s="4" t="inlineStr">
        <is>
          <t>Pesticide Use Reporting (PUR) / CalPIP</t>
        </is>
      </c>
      <c r="B190" s="19" t="inlineStr">
        <is>
          <t>Silver</t>
        </is>
      </c>
      <c r="C190" s="4" t="n">
        <v>86</v>
      </c>
      <c r="D190" s="4" t="inlineStr">
        <is>
          <t>toxics</t>
        </is>
      </c>
      <c r="E190" s="4" t="inlineStr">
        <is>
          <t>healthy</t>
        </is>
      </c>
      <c r="F190" s="4" t="inlineStr">
        <is>
          <t>open</t>
        </is>
      </c>
      <c r="G190" s="4" t="inlineStr">
        <is>
          <t>polygon (PLS Township-Range-Section, via 'GIS Files for Plotting Pesticide Use by Township, Section, Range'); page also says 'PUR data is collected at the county level'</t>
        </is>
      </c>
      <c r="H190" s="4" t="inlineStr">
        <is>
          <t>Joins today</t>
        </is>
      </c>
      <c r="I190" s="4" t="n">
        <v>3</v>
      </c>
      <c r="J190" s="4" t="inlineStr"/>
      <c r="K190" s="4" t="inlineStr">
        <is>
          <t>Curated</t>
        </is>
      </c>
      <c r="L190" s="4" t="n">
        <v>2026</v>
      </c>
      <c r="M190" s="4" t="inlineStr">
        <is>
          <t>open</t>
        </is>
      </c>
      <c r="N190" s="4" t="inlineStr">
        <is>
          <t>2026-10-22</t>
        </is>
      </c>
      <c r="O190" s="14" t="inlineStr">
        <is>
          <t>pass</t>
        </is>
      </c>
      <c r="P190" s="14" t="inlineStr">
        <is>
          <t>pass</t>
        </is>
      </c>
      <c r="Q190" s="14" t="inlineStr">
        <is>
          <t>pass</t>
        </is>
      </c>
      <c r="R190" s="14" t="inlineStr">
        <is>
          <t>pass</t>
        </is>
      </c>
      <c r="S190" s="14" t="inlineStr">
        <is>
          <t>pass</t>
        </is>
      </c>
      <c r="T190" s="14" t="inlineStr">
        <is>
          <t>pass</t>
        </is>
      </c>
      <c r="U190" s="14" t="inlineStr">
        <is>
          <t>pass</t>
        </is>
      </c>
      <c r="V190" s="16" t="inlineStr">
        <is>
          <t>warn</t>
        </is>
      </c>
      <c r="W190" s="16" t="inlineStr">
        <is>
          <t>warn</t>
        </is>
      </c>
      <c r="X190" s="14" t="inlineStr">
        <is>
          <t>pass</t>
        </is>
      </c>
      <c r="Y190" s="14" t="inlineStr">
        <is>
          <t>pass</t>
        </is>
      </c>
      <c r="Z190" s="14" t="inlineStr">
        <is>
          <t>pass</t>
        </is>
      </c>
      <c r="AA190" s="14" t="inlineStr">
        <is>
          <t>pass</t>
        </is>
      </c>
      <c r="AB190" s="16" t="inlineStr">
        <is>
          <t>warn</t>
        </is>
      </c>
      <c r="AC190" s="14" t="inlineStr">
        <is>
          <t>pass</t>
        </is>
      </c>
      <c r="AD190" s="16" t="inlineStr">
        <is>
          <t>warn</t>
        </is>
      </c>
      <c r="AE190" s="14" t="inlineStr">
        <is>
          <t>pass</t>
        </is>
      </c>
      <c r="AF190" s="14" t="inlineStr">
        <is>
          <t>pass</t>
        </is>
      </c>
      <c r="AG190" s="16" t="inlineStr">
        <is>
          <t>warn</t>
        </is>
      </c>
      <c r="AH190" s="16" t="inlineStr">
        <is>
          <t>warn</t>
        </is>
      </c>
      <c r="AI190" s="15" t="inlineStr">
        <is>
          <t>n.a.</t>
        </is>
      </c>
      <c r="AJ190" s="15" t="inlineStr">
        <is>
          <t>n.a.</t>
        </is>
      </c>
      <c r="AK190" s="4" t="inlineStr">
        <is>
          <t>machine_metadata(warn);persistent_id(warn);cadence(warn);unit(warn);join_key(warn);format_gaia(warn)</t>
        </is>
      </c>
      <c r="AL190" s="17" t="inlineStr">
        <is>
          <t>https://www.cdpr.ca.gov/pesticide-use-in-california/pesticide-use-reporting/</t>
        </is>
      </c>
      <c r="AM190" s="4" t="inlineStr">
        <is>
          <t>us_cdpr_pesticide_use_reporting</t>
        </is>
      </c>
    </row>
    <row r="191">
      <c r="A191" s="4" t="inlineStr">
        <is>
          <t>Cartographic Boundary Files</t>
        </is>
      </c>
      <c r="B191" s="13" t="inlineStr">
        <is>
          <t>Gold</t>
        </is>
      </c>
      <c r="C191" s="4" t="n">
        <v>98</v>
      </c>
      <c r="D191" s="4" t="inlineStr">
        <is>
          <t>boundaries</t>
        </is>
      </c>
      <c r="E191" s="4" t="inlineStr">
        <is>
          <t>healthy</t>
        </is>
      </c>
      <c r="F191" s="4" t="inlineStr">
        <is>
          <t>public_domain_us_federal</t>
        </is>
      </c>
      <c r="G191" s="4" t="inlineStr">
        <is>
          <t>block_group</t>
        </is>
      </c>
      <c r="H191" s="4" t="inlineStr">
        <is>
          <t>Joins today</t>
        </is>
      </c>
      <c r="I191" s="4" t="n">
        <v>3</v>
      </c>
      <c r="J191" s="4" t="inlineStr"/>
      <c r="K191" s="4" t="inlineStr">
        <is>
          <t>Curated</t>
        </is>
      </c>
      <c r="L191" s="4" t="n">
        <v>2025</v>
      </c>
      <c r="M191" s="4" t="inlineStr">
        <is>
          <t>open</t>
        </is>
      </c>
      <c r="N191" s="4" t="inlineStr">
        <is>
          <t>2026-10-29</t>
        </is>
      </c>
      <c r="O191" s="14" t="inlineStr">
        <is>
          <t>pass</t>
        </is>
      </c>
      <c r="P191" s="14" t="inlineStr">
        <is>
          <t>pass</t>
        </is>
      </c>
      <c r="Q191" s="14" t="inlineStr">
        <is>
          <t>pass</t>
        </is>
      </c>
      <c r="R191" s="14" t="inlineStr">
        <is>
          <t>pass</t>
        </is>
      </c>
      <c r="S191" s="14" t="inlineStr">
        <is>
          <t>pass</t>
        </is>
      </c>
      <c r="T191" s="14" t="inlineStr">
        <is>
          <t>pass</t>
        </is>
      </c>
      <c r="U191" s="16" t="inlineStr">
        <is>
          <t>warn</t>
        </is>
      </c>
      <c r="V191" s="16" t="inlineStr">
        <is>
          <t>warn</t>
        </is>
      </c>
      <c r="W191" s="16" t="inlineStr">
        <is>
          <t>warn</t>
        </is>
      </c>
      <c r="X191" s="14" t="inlineStr">
        <is>
          <t>pass</t>
        </is>
      </c>
      <c r="Y191" s="14" t="inlineStr">
        <is>
          <t>pass</t>
        </is>
      </c>
      <c r="Z191" s="14" t="inlineStr">
        <is>
          <t>pass</t>
        </is>
      </c>
      <c r="AA191" s="14" t="inlineStr">
        <is>
          <t>pass</t>
        </is>
      </c>
      <c r="AB191" s="16" t="inlineStr">
        <is>
          <t>warn</t>
        </is>
      </c>
      <c r="AC191" s="14" t="inlineStr">
        <is>
          <t>pass</t>
        </is>
      </c>
      <c r="AD191" s="14" t="inlineStr">
        <is>
          <t>pass</t>
        </is>
      </c>
      <c r="AE191" s="14" t="inlineStr">
        <is>
          <t>pass</t>
        </is>
      </c>
      <c r="AF191" s="14" t="inlineStr">
        <is>
          <t>pass</t>
        </is>
      </c>
      <c r="AG191" s="14" t="inlineStr">
        <is>
          <t>pass</t>
        </is>
      </c>
      <c r="AH191" s="14" t="inlineStr">
        <is>
          <t>pass</t>
        </is>
      </c>
      <c r="AI191" s="15" t="inlineStr">
        <is>
          <t>n.a.</t>
        </is>
      </c>
      <c r="AJ191" s="15" t="inlineStr">
        <is>
          <t>n.a.</t>
        </is>
      </c>
      <c r="AK191" s="4" t="inlineStr">
        <is>
          <t>format_match(warn);machine_metadata(warn);persistent_id(warn);cadence(warn)</t>
        </is>
      </c>
      <c r="AL191" s="17" t="inlineStr">
        <is>
          <t>https://www.census.gov/geographies/mapping-files/time-series/geo/carto-boundary-file.html</t>
        </is>
      </c>
      <c r="AM191" s="4" t="inlineStr">
        <is>
          <t>us_census_cartographic_boundary</t>
        </is>
      </c>
    </row>
    <row r="192">
      <c r="A192" s="4" t="inlineStr">
        <is>
          <t>Census code lists: 2020 Census county FIPS codes</t>
        </is>
      </c>
      <c r="B192" s="13" t="inlineStr">
        <is>
          <t>Gold</t>
        </is>
      </c>
      <c r="C192" s="4" t="n">
        <v>98</v>
      </c>
      <c r="D192" s="4" t="inlineStr">
        <is>
          <t>boundaries</t>
        </is>
      </c>
      <c r="E192" s="4" t="inlineStr">
        <is>
          <t>healthy</t>
        </is>
      </c>
      <c r="F192" s="4" t="inlineStr">
        <is>
          <t>public_domain_us_federal</t>
        </is>
      </c>
      <c r="G192" s="4" t="inlineStr">
        <is>
          <t>county</t>
        </is>
      </c>
      <c r="H192" s="4" t="inlineStr">
        <is>
          <t>Joins today</t>
        </is>
      </c>
      <c r="I192" s="4" t="n">
        <v>1</v>
      </c>
      <c r="J192" s="4" t="inlineStr">
        <is>
          <t>us_2020_census_county_fips</t>
        </is>
      </c>
      <c r="K192" s="4" t="inlineStr">
        <is>
          <t>Curated</t>
        </is>
      </c>
      <c r="L192" s="4" t="n">
        <v>2020</v>
      </c>
      <c r="M192" s="4" t="inlineStr">
        <is>
          <t>open</t>
        </is>
      </c>
      <c r="N192" s="4" t="inlineStr">
        <is>
          <t>2026-10-29</t>
        </is>
      </c>
      <c r="O192" s="14" t="inlineStr">
        <is>
          <t>pass</t>
        </is>
      </c>
      <c r="P192" s="14" t="inlineStr">
        <is>
          <t>pass</t>
        </is>
      </c>
      <c r="Q192" s="14" t="inlineStr">
        <is>
          <t>pass</t>
        </is>
      </c>
      <c r="R192" s="14" t="inlineStr">
        <is>
          <t>pass</t>
        </is>
      </c>
      <c r="S192" s="14" t="inlineStr">
        <is>
          <t>pass</t>
        </is>
      </c>
      <c r="T192" s="15" t="inlineStr">
        <is>
          <t>n.a.</t>
        </is>
      </c>
      <c r="U192" s="15" t="inlineStr">
        <is>
          <t>n.a.</t>
        </is>
      </c>
      <c r="V192" s="16" t="inlineStr">
        <is>
          <t>warn</t>
        </is>
      </c>
      <c r="W192" s="16" t="inlineStr">
        <is>
          <t>warn</t>
        </is>
      </c>
      <c r="X192" s="14" t="inlineStr">
        <is>
          <t>pass</t>
        </is>
      </c>
      <c r="Y192" s="14" t="inlineStr">
        <is>
          <t>pass</t>
        </is>
      </c>
      <c r="Z192" s="14" t="inlineStr">
        <is>
          <t>pass</t>
        </is>
      </c>
      <c r="AA192" s="14" t="inlineStr">
        <is>
          <t>pass</t>
        </is>
      </c>
      <c r="AB192" s="16" t="inlineStr">
        <is>
          <t>warn</t>
        </is>
      </c>
      <c r="AC192" s="14" t="inlineStr">
        <is>
          <t>pass</t>
        </is>
      </c>
      <c r="AD192" s="14" t="inlineStr">
        <is>
          <t>pass</t>
        </is>
      </c>
      <c r="AE192" s="16" t="inlineStr">
        <is>
          <t>warn</t>
        </is>
      </c>
      <c r="AF192" s="14" t="inlineStr">
        <is>
          <t>pass</t>
        </is>
      </c>
      <c r="AG192" s="14" t="inlineStr">
        <is>
          <t>pass</t>
        </is>
      </c>
      <c r="AH192" s="16" t="inlineStr">
        <is>
          <t>warn</t>
        </is>
      </c>
      <c r="AI192" s="14" t="inlineStr">
        <is>
          <t>pass</t>
        </is>
      </c>
      <c r="AJ192" s="14" t="inlineStr">
        <is>
          <t>pass</t>
        </is>
      </c>
      <c r="AK192" s="4" t="inlineStr">
        <is>
          <t>machine_metadata(warn);persistent_id(warn);cadence(warn);coverage(warn);format_gaia(warn)</t>
        </is>
      </c>
      <c r="AL192" s="17" t="inlineStr">
        <is>
          <t>https://www.census.gov/library/reference/code-lists.html</t>
        </is>
      </c>
      <c r="AM192" s="4" t="inlineStr">
        <is>
          <t>us_census_county_fips_codes</t>
        </is>
      </c>
    </row>
    <row r="193">
      <c r="A193" s="4" t="inlineStr">
        <is>
          <t>Census Geocoder (Geocoding Services API)</t>
        </is>
      </c>
      <c r="B193" s="19" t="inlineStr">
        <is>
          <t>Silver</t>
        </is>
      </c>
      <c r="C193" s="4" t="n">
        <v>91</v>
      </c>
      <c r="D193" s="4" t="inlineStr">
        <is>
          <t>boundaries</t>
        </is>
      </c>
      <c r="E193" s="4" t="inlineStr">
        <is>
          <t>degraded</t>
        </is>
      </c>
      <c r="F193" s="4" t="inlineStr">
        <is>
          <t>public_domain_us_federal</t>
        </is>
      </c>
      <c r="G193" s="4" t="inlineStr">
        <is>
          <t>point</t>
        </is>
      </c>
      <c r="H193" s="4" t="inlineStr">
        <is>
          <t>Needs a count/distance step</t>
        </is>
      </c>
      <c r="I193" s="4" t="n">
        <v>1</v>
      </c>
      <c r="J193" s="4" t="inlineStr"/>
      <c r="K193" s="4" t="inlineStr">
        <is>
          <t>Curated</t>
        </is>
      </c>
      <c r="L193" s="4" t="n">
        <v>2026</v>
      </c>
      <c r="M193" s="4" t="inlineStr">
        <is>
          <t>open</t>
        </is>
      </c>
      <c r="N193" s="4" t="inlineStr">
        <is>
          <t>2026-10-29</t>
        </is>
      </c>
      <c r="O193" s="14" t="inlineStr">
        <is>
          <t>pass</t>
        </is>
      </c>
      <c r="P193" s="14" t="inlineStr">
        <is>
          <t>pass</t>
        </is>
      </c>
      <c r="Q193" s="14" t="inlineStr">
        <is>
          <t>pass</t>
        </is>
      </c>
      <c r="R193" s="16" t="inlineStr">
        <is>
          <t>warn</t>
        </is>
      </c>
      <c r="S193" s="14" t="inlineStr">
        <is>
          <t>pass</t>
        </is>
      </c>
      <c r="T193" s="14" t="inlineStr">
        <is>
          <t>pass</t>
        </is>
      </c>
      <c r="U193" s="14" t="inlineStr">
        <is>
          <t>pass</t>
        </is>
      </c>
      <c r="V193" s="18" t="inlineStr">
        <is>
          <t>fail</t>
        </is>
      </c>
      <c r="W193" s="16" t="inlineStr">
        <is>
          <t>warn</t>
        </is>
      </c>
      <c r="X193" s="14" t="inlineStr">
        <is>
          <t>pass</t>
        </is>
      </c>
      <c r="Y193" s="14" t="inlineStr">
        <is>
          <t>pass</t>
        </is>
      </c>
      <c r="Z193" s="14" t="inlineStr">
        <is>
          <t>pass</t>
        </is>
      </c>
      <c r="AA193" s="14" t="inlineStr">
        <is>
          <t>pass</t>
        </is>
      </c>
      <c r="AB193" s="14" t="inlineStr">
        <is>
          <t>pass</t>
        </is>
      </c>
      <c r="AC193" s="16" t="inlineStr">
        <is>
          <t>warn</t>
        </is>
      </c>
      <c r="AD193" s="14" t="inlineStr">
        <is>
          <t>pass</t>
        </is>
      </c>
      <c r="AE193" s="14" t="inlineStr">
        <is>
          <t>pass</t>
        </is>
      </c>
      <c r="AF193" s="14" t="inlineStr">
        <is>
          <t>pass</t>
        </is>
      </c>
      <c r="AG193" s="14" t="inlineStr">
        <is>
          <t>pass</t>
        </is>
      </c>
      <c r="AH193" s="16" t="inlineStr">
        <is>
          <t>warn</t>
        </is>
      </c>
      <c r="AI193" s="15" t="inlineStr">
        <is>
          <t>n.a.</t>
        </is>
      </c>
      <c r="AJ193" s="15" t="inlineStr">
        <is>
          <t>n.a.</t>
        </is>
      </c>
      <c r="AK193" s="4" t="inlineStr">
        <is>
          <t>machine_metadata;soft404(warn);persistent_id(warn);version(warn);format_gaia(warn)</t>
        </is>
      </c>
      <c r="AL193" s="17" t="inlineStr">
        <is>
          <t>https://geocoding.geo.census.gov/geocoder/</t>
        </is>
      </c>
      <c r="AM193" s="4" t="inlineStr">
        <is>
          <t>us_census_geocoder</t>
        </is>
      </c>
    </row>
    <row r="194">
      <c r="A194" s="4" t="inlineStr">
        <is>
          <t>Classification of statistical tract and basic statistical unit (grunnkrets)</t>
        </is>
      </c>
      <c r="B194" s="20" t="inlineStr">
        <is>
          <t>Bronze</t>
        </is>
      </c>
      <c r="C194" s="4" t="n">
        <v>82</v>
      </c>
      <c r="D194" s="4" t="inlineStr">
        <is>
          <t>boundaries</t>
        </is>
      </c>
      <c r="E194" s="4" t="inlineStr">
        <is>
          <t>degraded</t>
        </is>
      </c>
      <c r="F194" s="4" t="inlineStr">
        <is>
          <t>unknown</t>
        </is>
      </c>
      <c r="G194" s="4" t="inlineStr">
        <is>
          <t>basic statistical unit (grunnkrets; small-area code list, no geometry)</t>
        </is>
      </c>
      <c r="H194" s="4" t="inlineStr">
        <is>
          <t>Joins today</t>
        </is>
      </c>
      <c r="I194" s="4" t="n">
        <v>1</v>
      </c>
      <c r="J194" s="4" t="inlineStr"/>
      <c r="K194" s="4" t="inlineStr">
        <is>
          <t>Curated</t>
        </is>
      </c>
      <c r="L194" s="4" t="n">
        <v>2027</v>
      </c>
      <c r="M194" s="4" t="inlineStr">
        <is>
          <t>open</t>
        </is>
      </c>
      <c r="N194" s="4" t="inlineStr">
        <is>
          <t>2026-10-28</t>
        </is>
      </c>
      <c r="O194" s="14" t="inlineStr">
        <is>
          <t>pass</t>
        </is>
      </c>
      <c r="P194" s="14" t="inlineStr">
        <is>
          <t>pass</t>
        </is>
      </c>
      <c r="Q194" s="14" t="inlineStr">
        <is>
          <t>pass</t>
        </is>
      </c>
      <c r="R194" s="14" t="inlineStr">
        <is>
          <t>pass</t>
        </is>
      </c>
      <c r="S194" s="14" t="inlineStr">
        <is>
          <t>pass</t>
        </is>
      </c>
      <c r="T194" s="14" t="inlineStr">
        <is>
          <t>pass</t>
        </is>
      </c>
      <c r="U194" s="14" t="inlineStr">
        <is>
          <t>pass</t>
        </is>
      </c>
      <c r="V194" s="18" t="inlineStr">
        <is>
          <t>fail</t>
        </is>
      </c>
      <c r="W194" s="16" t="inlineStr">
        <is>
          <t>warn</t>
        </is>
      </c>
      <c r="X194" s="18" t="inlineStr">
        <is>
          <t>fail</t>
        </is>
      </c>
      <c r="Y194" s="18" t="inlineStr">
        <is>
          <t>fail</t>
        </is>
      </c>
      <c r="Z194" s="14" t="inlineStr">
        <is>
          <t>pass</t>
        </is>
      </c>
      <c r="AA194" s="14" t="inlineStr">
        <is>
          <t>pass</t>
        </is>
      </c>
      <c r="AB194" s="16" t="inlineStr">
        <is>
          <t>warn</t>
        </is>
      </c>
      <c r="AC194" s="14" t="inlineStr">
        <is>
          <t>pass</t>
        </is>
      </c>
      <c r="AD194" s="14" t="inlineStr">
        <is>
          <t>pass</t>
        </is>
      </c>
      <c r="AE194" s="14" t="inlineStr">
        <is>
          <t>pass</t>
        </is>
      </c>
      <c r="AF194" s="14" t="inlineStr">
        <is>
          <t>pass</t>
        </is>
      </c>
      <c r="AG194" s="14" t="inlineStr">
        <is>
          <t>pass</t>
        </is>
      </c>
      <c r="AH194" s="15" t="inlineStr">
        <is>
          <t>not_checked</t>
        </is>
      </c>
      <c r="AI194" s="15" t="inlineStr">
        <is>
          <t>n.a.</t>
        </is>
      </c>
      <c r="AJ194" s="15" t="inlineStr">
        <is>
          <t>n.a.</t>
        </is>
      </c>
      <c r="AK194" s="4" t="inlineStr">
        <is>
          <t>machine_metadata;archived;license;persistent_id(warn);cadence(warn)</t>
        </is>
      </c>
      <c r="AL194" s="17" t="inlineStr">
        <is>
          <t>https://dataportal.ssb.no/classifications/1</t>
        </is>
      </c>
      <c r="AM194" s="4" t="inlineStr">
        <is>
          <t>no_ssb_grunnkrets</t>
        </is>
      </c>
    </row>
    <row r="195">
      <c r="A195" s="4" t="inlineStr">
        <is>
          <t>Frontier and Remote Area (FAR) Codes</t>
        </is>
      </c>
      <c r="B195" s="19" t="inlineStr">
        <is>
          <t>Silver</t>
        </is>
      </c>
      <c r="C195" s="4" t="n">
        <v>84</v>
      </c>
      <c r="D195" s="4" t="inlineStr">
        <is>
          <t>boundaries</t>
        </is>
      </c>
      <c r="E195" s="4" t="inlineStr">
        <is>
          <t>degraded</t>
        </is>
      </c>
      <c r="F195" s="4" t="inlineStr">
        <is>
          <t>public_domain_us_federal</t>
        </is>
      </c>
      <c r="G195" s="4" t="inlineStr">
        <is>
          <t>tract (ZIP Code and census tract tables); a grid_90m raster version of each 2020 FAR level is offered via the ERS Geospatial Resources page</t>
        </is>
      </c>
      <c r="H195" s="4" t="inlineStr">
        <is>
          <t>Needs raster support</t>
        </is>
      </c>
      <c r="I195" s="4" t="n">
        <v>1</v>
      </c>
      <c r="J195" s="4" t="inlineStr"/>
      <c r="K195" s="4" t="inlineStr">
        <is>
          <t>Curated</t>
        </is>
      </c>
      <c r="L195" s="4" t="n">
        <v>2020</v>
      </c>
      <c r="M195" s="4" t="inlineStr">
        <is>
          <t>open</t>
        </is>
      </c>
      <c r="N195" s="4" t="inlineStr">
        <is>
          <t>2026-10-29</t>
        </is>
      </c>
      <c r="O195" s="14" t="inlineStr">
        <is>
          <t>pass</t>
        </is>
      </c>
      <c r="P195" s="14" t="inlineStr">
        <is>
          <t>pass</t>
        </is>
      </c>
      <c r="Q195" s="14" t="inlineStr">
        <is>
          <t>pass</t>
        </is>
      </c>
      <c r="R195" s="14" t="inlineStr">
        <is>
          <t>pass</t>
        </is>
      </c>
      <c r="S195" s="14" t="inlineStr">
        <is>
          <t>pass</t>
        </is>
      </c>
      <c r="T195" s="14" t="inlineStr">
        <is>
          <t>pass</t>
        </is>
      </c>
      <c r="U195" s="16" t="inlineStr">
        <is>
          <t>warn</t>
        </is>
      </c>
      <c r="V195" s="18" t="inlineStr">
        <is>
          <t>fail</t>
        </is>
      </c>
      <c r="W195" s="16" t="inlineStr">
        <is>
          <t>warn</t>
        </is>
      </c>
      <c r="X195" s="14" t="inlineStr">
        <is>
          <t>pass</t>
        </is>
      </c>
      <c r="Y195" s="14" t="inlineStr">
        <is>
          <t>pass</t>
        </is>
      </c>
      <c r="Z195" s="14" t="inlineStr">
        <is>
          <t>pass</t>
        </is>
      </c>
      <c r="AA195" s="14" t="inlineStr">
        <is>
          <t>pass</t>
        </is>
      </c>
      <c r="AB195" s="14" t="inlineStr">
        <is>
          <t>pass</t>
        </is>
      </c>
      <c r="AC195" s="14" t="inlineStr">
        <is>
          <t>pass</t>
        </is>
      </c>
      <c r="AD195" s="16" t="inlineStr">
        <is>
          <t>warn</t>
        </is>
      </c>
      <c r="AE195" s="14" t="inlineStr">
        <is>
          <t>pass</t>
        </is>
      </c>
      <c r="AF195" s="14" t="inlineStr">
        <is>
          <t>pass</t>
        </is>
      </c>
      <c r="AG195" s="16" t="inlineStr">
        <is>
          <t>warn</t>
        </is>
      </c>
      <c r="AH195" s="14" t="inlineStr">
        <is>
          <t>pass</t>
        </is>
      </c>
      <c r="AI195" s="15" t="inlineStr">
        <is>
          <t>n.a.</t>
        </is>
      </c>
      <c r="AJ195" s="15" t="inlineStr">
        <is>
          <t>n.a.</t>
        </is>
      </c>
      <c r="AK195" s="4" t="inlineStr">
        <is>
          <t>machine_metadata;format_match(warn);persistent_id(warn);unit(warn);join_key(warn)</t>
        </is>
      </c>
      <c r="AL195" s="17" t="inlineStr">
        <is>
          <t>http://www.ers.usda.gov/data-products/frontier-and-remote-area-codes</t>
        </is>
      </c>
      <c r="AM195" s="4" t="inlineStr">
        <is>
          <t>us_usda_ers_far_codes</t>
        </is>
      </c>
    </row>
    <row r="196">
      <c r="A196" s="4" t="inlineStr">
        <is>
          <t>Geographic Relationship Files (incl. 2010-2020 tract/block comparability)</t>
        </is>
      </c>
      <c r="B196" s="13" t="inlineStr">
        <is>
          <t>Gold</t>
        </is>
      </c>
      <c r="C196" s="4" t="n">
        <v>93</v>
      </c>
      <c r="D196" s="4" t="inlineStr">
        <is>
          <t>boundaries</t>
        </is>
      </c>
      <c r="E196" s="4" t="inlineStr">
        <is>
          <t>healthy</t>
        </is>
      </c>
      <c r="F196" s="4" t="inlineStr">
        <is>
          <t>public_domain_us_federal</t>
        </is>
      </c>
      <c r="G196" s="4" t="inlineStr">
        <is>
          <t>block (2020 Census Block Relationship Files and 2010 Census Block Relationship Files listed in the record-layout index); 2024 files are CD/SLD to county</t>
        </is>
      </c>
      <c r="H196" s="4" t="inlineStr">
        <is>
          <t>Joins today</t>
        </is>
      </c>
      <c r="I196" s="4" t="n">
        <v>1</v>
      </c>
      <c r="J196" s="4" t="inlineStr"/>
      <c r="K196" s="4" t="inlineStr">
        <is>
          <t>Curated</t>
        </is>
      </c>
      <c r="L196" s="4" t="n">
        <v>2024</v>
      </c>
      <c r="M196" s="4" t="inlineStr">
        <is>
          <t>open</t>
        </is>
      </c>
      <c r="N196" s="4" t="inlineStr">
        <is>
          <t>2026-10-29</t>
        </is>
      </c>
      <c r="O196" s="14" t="inlineStr">
        <is>
          <t>pass</t>
        </is>
      </c>
      <c r="P196" s="14" t="inlineStr">
        <is>
          <t>pass</t>
        </is>
      </c>
      <c r="Q196" s="14" t="inlineStr">
        <is>
          <t>pass</t>
        </is>
      </c>
      <c r="R196" s="14" t="inlineStr">
        <is>
          <t>pass</t>
        </is>
      </c>
      <c r="S196" s="14" t="inlineStr">
        <is>
          <t>pass</t>
        </is>
      </c>
      <c r="T196" s="14" t="inlineStr">
        <is>
          <t>pass</t>
        </is>
      </c>
      <c r="U196" s="16" t="inlineStr">
        <is>
          <t>warn</t>
        </is>
      </c>
      <c r="V196" s="16" t="inlineStr">
        <is>
          <t>warn</t>
        </is>
      </c>
      <c r="W196" s="16" t="inlineStr">
        <is>
          <t>warn</t>
        </is>
      </c>
      <c r="X196" s="14" t="inlineStr">
        <is>
          <t>pass</t>
        </is>
      </c>
      <c r="Y196" s="14" t="inlineStr">
        <is>
          <t>pass</t>
        </is>
      </c>
      <c r="Z196" s="14" t="inlineStr">
        <is>
          <t>pass</t>
        </is>
      </c>
      <c r="AA196" s="14" t="inlineStr">
        <is>
          <t>pass</t>
        </is>
      </c>
      <c r="AB196" s="16" t="inlineStr">
        <is>
          <t>warn</t>
        </is>
      </c>
      <c r="AC196" s="16" t="inlineStr">
        <is>
          <t>warn</t>
        </is>
      </c>
      <c r="AD196" s="14" t="inlineStr">
        <is>
          <t>pass</t>
        </is>
      </c>
      <c r="AE196" s="16" t="inlineStr">
        <is>
          <t>warn</t>
        </is>
      </c>
      <c r="AF196" s="14" t="inlineStr">
        <is>
          <t>pass</t>
        </is>
      </c>
      <c r="AG196" s="16" t="inlineStr">
        <is>
          <t>warn</t>
        </is>
      </c>
      <c r="AH196" s="16" t="inlineStr">
        <is>
          <t>warn</t>
        </is>
      </c>
      <c r="AI196" s="15" t="inlineStr">
        <is>
          <t>n.a.</t>
        </is>
      </c>
      <c r="AJ196" s="15" t="inlineStr">
        <is>
          <t>n.a.</t>
        </is>
      </c>
      <c r="AK196" s="4" t="inlineStr">
        <is>
          <t>format_match(warn);machine_metadata(warn);persistent_id(warn);cadence(warn);version(warn);coverage(warn);join_key(warn);format_gaia(warn)</t>
        </is>
      </c>
      <c r="AL196" s="17" t="inlineStr">
        <is>
          <t>https://www.census.gov/geographies/reference-files/time-series/geo/relationship-files.html</t>
        </is>
      </c>
      <c r="AM196" s="4" t="inlineStr">
        <is>
          <t>us_census_relationship_files</t>
        </is>
      </c>
    </row>
    <row r="197">
      <c r="A197" s="4" t="inlineStr">
        <is>
          <t>GeoPostcodes World Postal Code Database and Boundary Data</t>
        </is>
      </c>
      <c r="B197" s="20" t="inlineStr">
        <is>
          <t>Bronze</t>
        </is>
      </c>
      <c r="C197" s="4" t="n">
        <v>60</v>
      </c>
      <c r="D197" s="4" t="inlineStr">
        <is>
          <t>boundaries</t>
        </is>
      </c>
      <c r="E197" s="4" t="inlineStr">
        <is>
          <t>healthy</t>
        </is>
      </c>
      <c r="F197" s="4" t="inlineStr">
        <is>
          <t>restricted</t>
        </is>
      </c>
      <c r="G197" s="4" t="inlineStr">
        <is>
          <t>address (house-number precision in 51 countries; street-level in 81); postal code and admin polygons (up to five admin levels)</t>
        </is>
      </c>
      <c r="H197" s="4" t="inlineStr">
        <is>
          <t>Unknown</t>
        </is>
      </c>
      <c r="I197" s="4" t="n">
        <v>1</v>
      </c>
      <c r="J197" s="4" t="inlineStr"/>
      <c r="K197" s="4" t="inlineStr">
        <is>
          <t>Curated</t>
        </is>
      </c>
      <c r="L197" s="4" t="n">
        <v>2026</v>
      </c>
      <c r="M197" s="4" t="inlineStr">
        <is>
          <t>restricted</t>
        </is>
      </c>
      <c r="N197" s="4" t="inlineStr">
        <is>
          <t>2026-10-28</t>
        </is>
      </c>
      <c r="O197" s="14" t="inlineStr">
        <is>
          <t>pass</t>
        </is>
      </c>
      <c r="P197" s="14" t="inlineStr">
        <is>
          <t>pass</t>
        </is>
      </c>
      <c r="Q197" s="14" t="inlineStr">
        <is>
          <t>pass</t>
        </is>
      </c>
      <c r="R197" s="14" t="inlineStr">
        <is>
          <t>pass</t>
        </is>
      </c>
      <c r="S197" s="14" t="inlineStr">
        <is>
          <t>pass</t>
        </is>
      </c>
      <c r="T197" s="15" t="inlineStr">
        <is>
          <t>n.a.</t>
        </is>
      </c>
      <c r="U197" s="15" t="inlineStr">
        <is>
          <t>n.a.</t>
        </is>
      </c>
      <c r="V197" s="16" t="inlineStr">
        <is>
          <t>warn</t>
        </is>
      </c>
      <c r="W197" s="16" t="inlineStr">
        <is>
          <t>warn</t>
        </is>
      </c>
      <c r="X197" s="14" t="inlineStr">
        <is>
          <t>pass</t>
        </is>
      </c>
      <c r="Y197" s="18" t="inlineStr">
        <is>
          <t>fail</t>
        </is>
      </c>
      <c r="Z197" s="16" t="inlineStr">
        <is>
          <t>warn</t>
        </is>
      </c>
      <c r="AA197" s="14" t="inlineStr">
        <is>
          <t>pass</t>
        </is>
      </c>
      <c r="AB197" s="16" t="inlineStr">
        <is>
          <t>warn</t>
        </is>
      </c>
      <c r="AC197" s="15" t="inlineStr">
        <is>
          <t>not_checked</t>
        </is>
      </c>
      <c r="AD197" s="16" t="inlineStr">
        <is>
          <t>warn</t>
        </is>
      </c>
      <c r="AE197" s="14" t="inlineStr">
        <is>
          <t>pass</t>
        </is>
      </c>
      <c r="AF197" s="18" t="inlineStr">
        <is>
          <t>fail</t>
        </is>
      </c>
      <c r="AG197" s="16" t="inlineStr">
        <is>
          <t>warn</t>
        </is>
      </c>
      <c r="AH197" s="14" t="inlineStr">
        <is>
          <t>pass</t>
        </is>
      </c>
      <c r="AI197" s="15" t="inlineStr">
        <is>
          <t>n.a.</t>
        </is>
      </c>
      <c r="AJ197" s="15" t="inlineStr">
        <is>
          <t>n.a.</t>
        </is>
      </c>
      <c r="AK197" s="4" t="inlineStr">
        <is>
          <t>license;access;machine_metadata(warn);persistent_id(warn);temporal(warn);cadence(warn);unit(warn);join_key(warn)</t>
        </is>
      </c>
      <c r="AL197" s="17" t="inlineStr">
        <is>
          <t>https://www.geopostcodes.com/</t>
        </is>
      </c>
      <c r="AM197" s="4" t="inlineStr">
        <is>
          <t>global_geopostcodes</t>
        </is>
      </c>
    </row>
    <row r="198">
      <c r="A198" s="4" t="inlineStr">
        <is>
          <t>National Statistics Postcode Lookup (NSPL)</t>
        </is>
      </c>
      <c r="B198" s="20" t="inlineStr">
        <is>
          <t>Bronze</t>
        </is>
      </c>
      <c r="C198" s="4" t="n">
        <v>77</v>
      </c>
      <c r="D198" s="4" t="inlineStr">
        <is>
          <t>boundaries</t>
        </is>
      </c>
      <c r="E198" s="4" t="inlineStr">
        <is>
          <t>degraded</t>
        </is>
      </c>
      <c r="F198" s="4" t="inlineStr">
        <is>
          <t>unknown</t>
        </is>
      </c>
      <c r="G198" s="4" t="inlineStr">
        <is>
          <t>zip</t>
        </is>
      </c>
      <c r="H198" s="4" t="inlineStr">
        <is>
          <t>Joins today</t>
        </is>
      </c>
      <c r="I198" s="4" t="n">
        <v>1</v>
      </c>
      <c r="J198" s="4" t="inlineStr"/>
      <c r="K198" s="4" t="inlineStr">
        <is>
          <t>Curated</t>
        </is>
      </c>
      <c r="L198" s="4" t="n">
        <v>2026</v>
      </c>
      <c r="M198" s="4" t="inlineStr">
        <is>
          <t>open</t>
        </is>
      </c>
      <c r="N198" s="4" t="inlineStr">
        <is>
          <t>2026-10-28</t>
        </is>
      </c>
      <c r="O198" s="14" t="inlineStr">
        <is>
          <t>pass</t>
        </is>
      </c>
      <c r="P198" s="14" t="inlineStr">
        <is>
          <t>pass</t>
        </is>
      </c>
      <c r="Q198" s="14" t="inlineStr">
        <is>
          <t>pass</t>
        </is>
      </c>
      <c r="R198" s="14" t="inlineStr">
        <is>
          <t>pass</t>
        </is>
      </c>
      <c r="S198" s="14" t="inlineStr">
        <is>
          <t>pass</t>
        </is>
      </c>
      <c r="T198" s="14" t="inlineStr">
        <is>
          <t>pass</t>
        </is>
      </c>
      <c r="U198" s="14" t="inlineStr">
        <is>
          <t>pass</t>
        </is>
      </c>
      <c r="V198" s="18" t="inlineStr">
        <is>
          <t>fail</t>
        </is>
      </c>
      <c r="W198" s="16" t="inlineStr">
        <is>
          <t>warn</t>
        </is>
      </c>
      <c r="X198" s="14" t="inlineStr">
        <is>
          <t>pass</t>
        </is>
      </c>
      <c r="Y198" s="18" t="inlineStr">
        <is>
          <t>fail</t>
        </is>
      </c>
      <c r="Z198" s="14" t="inlineStr">
        <is>
          <t>pass</t>
        </is>
      </c>
      <c r="AA198" s="14" t="inlineStr">
        <is>
          <t>pass</t>
        </is>
      </c>
      <c r="AB198" s="14" t="inlineStr">
        <is>
          <t>pass</t>
        </is>
      </c>
      <c r="AC198" s="14" t="inlineStr">
        <is>
          <t>pass</t>
        </is>
      </c>
      <c r="AD198" s="14" t="inlineStr">
        <is>
          <t>pass</t>
        </is>
      </c>
      <c r="AE198" s="18" t="inlineStr">
        <is>
          <t>fail</t>
        </is>
      </c>
      <c r="AF198" s="14" t="inlineStr">
        <is>
          <t>pass</t>
        </is>
      </c>
      <c r="AG198" s="16" t="inlineStr">
        <is>
          <t>warn</t>
        </is>
      </c>
      <c r="AH198" s="14" t="inlineStr">
        <is>
          <t>pass</t>
        </is>
      </c>
      <c r="AI198" s="15" t="inlineStr">
        <is>
          <t>n.a.</t>
        </is>
      </c>
      <c r="AJ198" s="15" t="inlineStr">
        <is>
          <t>n.a.</t>
        </is>
      </c>
      <c r="AK198" s="4" t="inlineStr">
        <is>
          <t>machine_metadata;license;coverage;persistent_id(warn);join_key(warn)</t>
        </is>
      </c>
      <c r="AL198" s="17" t="inlineStr">
        <is>
          <t>https://www.data.gov.uk/dataset/fa9ec151-618c-4b01-adb4-ecf772bd16fb/national-statistics-postcode-lookup-august-2026</t>
        </is>
      </c>
      <c r="AM198" s="4" t="inlineStr">
        <is>
          <t>gb_ons_nspl</t>
        </is>
      </c>
    </row>
    <row r="199">
      <c r="A199" s="4" t="inlineStr">
        <is>
          <t>NCHS Urban-Rural Classification Scheme for Counties</t>
        </is>
      </c>
      <c r="B199" s="13" t="inlineStr">
        <is>
          <t>Gold</t>
        </is>
      </c>
      <c r="C199" s="4" t="n">
        <v>93</v>
      </c>
      <c r="D199" s="4" t="inlineStr">
        <is>
          <t>boundaries</t>
        </is>
      </c>
      <c r="E199" s="4" t="inlineStr">
        <is>
          <t>healthy</t>
        </is>
      </c>
      <c r="F199" s="4" t="inlineStr">
        <is>
          <t>public_domain_us_federal</t>
        </is>
      </c>
      <c r="G199" s="4" t="inlineStr">
        <is>
          <t>county</t>
        </is>
      </c>
      <c r="H199" s="4" t="inlineStr">
        <is>
          <t>Joins today</t>
        </is>
      </c>
      <c r="I199" s="4" t="n">
        <v>1</v>
      </c>
      <c r="J199" s="4" t="inlineStr"/>
      <c r="K199" s="4" t="inlineStr">
        <is>
          <t>Curated</t>
        </is>
      </c>
      <c r="L199" s="4" t="n">
        <v>2023</v>
      </c>
      <c r="M199" s="4" t="inlineStr">
        <is>
          <t>open</t>
        </is>
      </c>
      <c r="N199" s="4" t="inlineStr">
        <is>
          <t>2026-10-29</t>
        </is>
      </c>
      <c r="O199" s="14" t="inlineStr">
        <is>
          <t>pass</t>
        </is>
      </c>
      <c r="P199" s="14" t="inlineStr">
        <is>
          <t>pass</t>
        </is>
      </c>
      <c r="Q199" s="14" t="inlineStr">
        <is>
          <t>pass</t>
        </is>
      </c>
      <c r="R199" s="14" t="inlineStr">
        <is>
          <t>pass</t>
        </is>
      </c>
      <c r="S199" s="14" t="inlineStr">
        <is>
          <t>pass</t>
        </is>
      </c>
      <c r="T199" s="14" t="inlineStr">
        <is>
          <t>pass</t>
        </is>
      </c>
      <c r="U199" s="16" t="inlineStr">
        <is>
          <t>warn</t>
        </is>
      </c>
      <c r="V199" s="16" t="inlineStr">
        <is>
          <t>warn</t>
        </is>
      </c>
      <c r="W199" s="16" t="inlineStr">
        <is>
          <t>warn</t>
        </is>
      </c>
      <c r="X199" s="14" t="inlineStr">
        <is>
          <t>pass</t>
        </is>
      </c>
      <c r="Y199" s="14" t="inlineStr">
        <is>
          <t>pass</t>
        </is>
      </c>
      <c r="Z199" s="14" t="inlineStr">
        <is>
          <t>pass</t>
        </is>
      </c>
      <c r="AA199" s="14" t="inlineStr">
        <is>
          <t>pass</t>
        </is>
      </c>
      <c r="AB199" s="16" t="inlineStr">
        <is>
          <t>warn</t>
        </is>
      </c>
      <c r="AC199" s="14" t="inlineStr">
        <is>
          <t>pass</t>
        </is>
      </c>
      <c r="AD199" s="14" t="inlineStr">
        <is>
          <t>pass</t>
        </is>
      </c>
      <c r="AE199" s="14" t="inlineStr">
        <is>
          <t>pass</t>
        </is>
      </c>
      <c r="AF199" s="14" t="inlineStr">
        <is>
          <t>pass</t>
        </is>
      </c>
      <c r="AG199" s="16" t="inlineStr">
        <is>
          <t>warn</t>
        </is>
      </c>
      <c r="AH199" s="16" t="inlineStr">
        <is>
          <t>warn</t>
        </is>
      </c>
      <c r="AI199" s="15" t="inlineStr">
        <is>
          <t>n.a.</t>
        </is>
      </c>
      <c r="AJ199" s="15" t="inlineStr">
        <is>
          <t>n.a.</t>
        </is>
      </c>
      <c r="AK199" s="4" t="inlineStr">
        <is>
          <t>format_match(warn);machine_metadata(warn);persistent_id(warn);cadence(warn);join_key(warn);format_gaia(warn)</t>
        </is>
      </c>
      <c r="AL199" s="17" t="inlineStr">
        <is>
          <t>https://www.cdc.gov/nchs/data_access/urban_rural.htm</t>
        </is>
      </c>
      <c r="AM199" s="4" t="inlineStr">
        <is>
          <t>us_cdc_nchs_urban_rural</t>
        </is>
      </c>
    </row>
    <row r="200">
      <c r="A200" s="4" t="inlineStr">
        <is>
          <t>Qualified Opportunity Zones (designated census tracts)</t>
        </is>
      </c>
      <c r="B200" s="13" t="inlineStr">
        <is>
          <t>Gold</t>
        </is>
      </c>
      <c r="C200" s="4" t="n">
        <v>92</v>
      </c>
      <c r="D200" s="4" t="inlineStr">
        <is>
          <t>boundaries</t>
        </is>
      </c>
      <c r="E200" s="4" t="inlineStr">
        <is>
          <t>degraded</t>
        </is>
      </c>
      <c r="F200" s="4" t="inlineStr">
        <is>
          <t>public_domain_us_federal</t>
        </is>
      </c>
      <c r="G200" s="4" t="inlineStr">
        <is>
          <t>tract</t>
        </is>
      </c>
      <c r="H200" s="4" t="inlineStr">
        <is>
          <t>Joins today</t>
        </is>
      </c>
      <c r="I200" s="4" t="n">
        <v>1</v>
      </c>
      <c r="J200" s="4" t="inlineStr"/>
      <c r="K200" s="4" t="inlineStr">
        <is>
          <t>Curated</t>
        </is>
      </c>
      <c r="L200" s="4" t="n">
        <v>2018</v>
      </c>
      <c r="M200" s="4" t="inlineStr">
        <is>
          <t>open</t>
        </is>
      </c>
      <c r="N200" s="4" t="inlineStr">
        <is>
          <t>2026-10-29</t>
        </is>
      </c>
      <c r="O200" s="14" t="inlineStr">
        <is>
          <t>pass</t>
        </is>
      </c>
      <c r="P200" s="14" t="inlineStr">
        <is>
          <t>pass</t>
        </is>
      </c>
      <c r="Q200" s="14" t="inlineStr">
        <is>
          <t>pass</t>
        </is>
      </c>
      <c r="R200" s="14" t="inlineStr">
        <is>
          <t>pass</t>
        </is>
      </c>
      <c r="S200" s="14" t="inlineStr">
        <is>
          <t>pass</t>
        </is>
      </c>
      <c r="T200" s="14" t="inlineStr">
        <is>
          <t>pass</t>
        </is>
      </c>
      <c r="U200" s="14" t="inlineStr">
        <is>
          <t>pass</t>
        </is>
      </c>
      <c r="V200" s="18" t="inlineStr">
        <is>
          <t>fail</t>
        </is>
      </c>
      <c r="W200" s="16" t="inlineStr">
        <is>
          <t>warn</t>
        </is>
      </c>
      <c r="X200" s="14" t="inlineStr">
        <is>
          <t>pass</t>
        </is>
      </c>
      <c r="Y200" s="14" t="inlineStr">
        <is>
          <t>pass</t>
        </is>
      </c>
      <c r="Z200" s="14" t="inlineStr">
        <is>
          <t>pass</t>
        </is>
      </c>
      <c r="AA200" s="16" t="inlineStr">
        <is>
          <t>warn</t>
        </is>
      </c>
      <c r="AB200" s="14" t="inlineStr">
        <is>
          <t>pass</t>
        </is>
      </c>
      <c r="AC200" s="16" t="inlineStr">
        <is>
          <t>warn</t>
        </is>
      </c>
      <c r="AD200" s="14" t="inlineStr">
        <is>
          <t>pass</t>
        </is>
      </c>
      <c r="AE200" s="16" t="inlineStr">
        <is>
          <t>warn</t>
        </is>
      </c>
      <c r="AF200" s="14" t="inlineStr">
        <is>
          <t>pass</t>
        </is>
      </c>
      <c r="AG200" s="14" t="inlineStr">
        <is>
          <t>pass</t>
        </is>
      </c>
      <c r="AH200" s="14" t="inlineStr">
        <is>
          <t>pass</t>
        </is>
      </c>
      <c r="AI200" s="15" t="inlineStr">
        <is>
          <t>n.a.</t>
        </is>
      </c>
      <c r="AJ200" s="15" t="inlineStr">
        <is>
          <t>n.a.</t>
        </is>
      </c>
      <c r="AK200" s="4" t="inlineStr">
        <is>
          <t>machine_metadata;persistent_id(warn);recency(warn);version(warn);coverage(warn)</t>
        </is>
      </c>
      <c r="AL200" s="17" t="inlineStr">
        <is>
          <t>https://www.cdfifund.gov/opportunity-zones</t>
        </is>
      </c>
      <c r="AM200" s="4" t="inlineStr">
        <is>
          <t>us_treasury_opportunity_zones</t>
        </is>
      </c>
    </row>
    <row r="201">
      <c r="A201" s="4" t="inlineStr">
        <is>
          <t>Rural-Urban Commuting Area Codes (RUCA)</t>
        </is>
      </c>
      <c r="B201" s="13" t="inlineStr">
        <is>
          <t>Gold</t>
        </is>
      </c>
      <c r="C201" s="4" t="n">
        <v>91</v>
      </c>
      <c r="D201" s="4" t="inlineStr">
        <is>
          <t>boundaries</t>
        </is>
      </c>
      <c r="E201" s="4" t="inlineStr">
        <is>
          <t>degraded</t>
        </is>
      </c>
      <c r="F201" s="4" t="inlineStr">
        <is>
          <t>public_domain_us_federal</t>
        </is>
      </c>
      <c r="G201" s="4" t="inlineStr">
        <is>
          <t>tract</t>
        </is>
      </c>
      <c r="H201" s="4" t="inlineStr">
        <is>
          <t>Joins today</t>
        </is>
      </c>
      <c r="I201" s="4" t="n">
        <v>1</v>
      </c>
      <c r="J201" s="4" t="inlineStr"/>
      <c r="K201" s="4" t="inlineStr">
        <is>
          <t>Curated</t>
        </is>
      </c>
      <c r="L201" s="4" t="n">
        <v>2020</v>
      </c>
      <c r="M201" s="4" t="inlineStr">
        <is>
          <t>open</t>
        </is>
      </c>
      <c r="N201" s="4" t="inlineStr">
        <is>
          <t>2026-10-29</t>
        </is>
      </c>
      <c r="O201" s="14" t="inlineStr">
        <is>
          <t>pass</t>
        </is>
      </c>
      <c r="P201" s="14" t="inlineStr">
        <is>
          <t>pass</t>
        </is>
      </c>
      <c r="Q201" s="14" t="inlineStr">
        <is>
          <t>pass</t>
        </is>
      </c>
      <c r="R201" s="14" t="inlineStr">
        <is>
          <t>pass</t>
        </is>
      </c>
      <c r="S201" s="14" t="inlineStr">
        <is>
          <t>pass</t>
        </is>
      </c>
      <c r="T201" s="14" t="inlineStr">
        <is>
          <t>pass</t>
        </is>
      </c>
      <c r="U201" s="16" t="inlineStr">
        <is>
          <t>warn</t>
        </is>
      </c>
      <c r="V201" s="18" t="inlineStr">
        <is>
          <t>fail</t>
        </is>
      </c>
      <c r="W201" s="16" t="inlineStr">
        <is>
          <t>warn</t>
        </is>
      </c>
      <c r="X201" s="14" t="inlineStr">
        <is>
          <t>pass</t>
        </is>
      </c>
      <c r="Y201" s="14" t="inlineStr">
        <is>
          <t>pass</t>
        </is>
      </c>
      <c r="Z201" s="14" t="inlineStr">
        <is>
          <t>pass</t>
        </is>
      </c>
      <c r="AA201" s="14" t="inlineStr">
        <is>
          <t>pass</t>
        </is>
      </c>
      <c r="AB201" s="14" t="inlineStr">
        <is>
          <t>pass</t>
        </is>
      </c>
      <c r="AC201" s="14" t="inlineStr">
        <is>
          <t>pass</t>
        </is>
      </c>
      <c r="AD201" s="14" t="inlineStr">
        <is>
          <t>pass</t>
        </is>
      </c>
      <c r="AE201" s="14" t="inlineStr">
        <is>
          <t>pass</t>
        </is>
      </c>
      <c r="AF201" s="14" t="inlineStr">
        <is>
          <t>pass</t>
        </is>
      </c>
      <c r="AG201" s="16" t="inlineStr">
        <is>
          <t>warn</t>
        </is>
      </c>
      <c r="AH201" s="14" t="inlineStr">
        <is>
          <t>pass</t>
        </is>
      </c>
      <c r="AI201" s="15" t="inlineStr">
        <is>
          <t>n.a.</t>
        </is>
      </c>
      <c r="AJ201" s="15" t="inlineStr">
        <is>
          <t>n.a.</t>
        </is>
      </c>
      <c r="AK201" s="4" t="inlineStr">
        <is>
          <t>machine_metadata;format_match(warn);persistent_id(warn);join_key(warn)</t>
        </is>
      </c>
      <c r="AL201" s="17" t="inlineStr">
        <is>
          <t>http://www.ers.usda.gov/data-products/rural-urban-commuting-area-codes</t>
        </is>
      </c>
      <c r="AM201" s="4" t="inlineStr">
        <is>
          <t>us_usda_ers_ruca</t>
        </is>
      </c>
    </row>
    <row r="202">
      <c r="A202" s="4" t="inlineStr">
        <is>
          <t>Rural-Urban Continuum Codes (RUCC)</t>
        </is>
      </c>
      <c r="B202" s="13" t="inlineStr">
        <is>
          <t>Gold</t>
        </is>
      </c>
      <c r="C202" s="4" t="n">
        <v>91</v>
      </c>
      <c r="D202" s="4" t="inlineStr">
        <is>
          <t>boundaries</t>
        </is>
      </c>
      <c r="E202" s="4" t="inlineStr">
        <is>
          <t>degraded</t>
        </is>
      </c>
      <c r="F202" s="4" t="inlineStr">
        <is>
          <t>public_domain_us_federal</t>
        </is>
      </c>
      <c r="G202" s="4" t="inlineStr">
        <is>
          <t>county</t>
        </is>
      </c>
      <c r="H202" s="4" t="inlineStr">
        <is>
          <t>Joins today</t>
        </is>
      </c>
      <c r="I202" s="4" t="n">
        <v>1</v>
      </c>
      <c r="J202" s="4" t="inlineStr"/>
      <c r="K202" s="4" t="inlineStr">
        <is>
          <t>Curated</t>
        </is>
      </c>
      <c r="L202" s="4" t="n">
        <v>2023</v>
      </c>
      <c r="M202" s="4" t="inlineStr">
        <is>
          <t>open</t>
        </is>
      </c>
      <c r="N202" s="4" t="inlineStr">
        <is>
          <t>2026-10-29</t>
        </is>
      </c>
      <c r="O202" s="14" t="inlineStr">
        <is>
          <t>pass</t>
        </is>
      </c>
      <c r="P202" s="14" t="inlineStr">
        <is>
          <t>pass</t>
        </is>
      </c>
      <c r="Q202" s="14" t="inlineStr">
        <is>
          <t>pass</t>
        </is>
      </c>
      <c r="R202" s="14" t="inlineStr">
        <is>
          <t>pass</t>
        </is>
      </c>
      <c r="S202" s="14" t="inlineStr">
        <is>
          <t>pass</t>
        </is>
      </c>
      <c r="T202" s="14" t="inlineStr">
        <is>
          <t>pass</t>
        </is>
      </c>
      <c r="U202" s="16" t="inlineStr">
        <is>
          <t>warn</t>
        </is>
      </c>
      <c r="V202" s="18" t="inlineStr">
        <is>
          <t>fail</t>
        </is>
      </c>
      <c r="W202" s="16" t="inlineStr">
        <is>
          <t>warn</t>
        </is>
      </c>
      <c r="X202" s="14" t="inlineStr">
        <is>
          <t>pass</t>
        </is>
      </c>
      <c r="Y202" s="14" t="inlineStr">
        <is>
          <t>pass</t>
        </is>
      </c>
      <c r="Z202" s="14" t="inlineStr">
        <is>
          <t>pass</t>
        </is>
      </c>
      <c r="AA202" s="14" t="inlineStr">
        <is>
          <t>pass</t>
        </is>
      </c>
      <c r="AB202" s="14" t="inlineStr">
        <is>
          <t>pass</t>
        </is>
      </c>
      <c r="AC202" s="14" t="inlineStr">
        <is>
          <t>pass</t>
        </is>
      </c>
      <c r="AD202" s="14" t="inlineStr">
        <is>
          <t>pass</t>
        </is>
      </c>
      <c r="AE202" s="14" t="inlineStr">
        <is>
          <t>pass</t>
        </is>
      </c>
      <c r="AF202" s="14" t="inlineStr">
        <is>
          <t>pass</t>
        </is>
      </c>
      <c r="AG202" s="16" t="inlineStr">
        <is>
          <t>warn</t>
        </is>
      </c>
      <c r="AH202" s="14" t="inlineStr">
        <is>
          <t>pass</t>
        </is>
      </c>
      <c r="AI202" s="15" t="inlineStr">
        <is>
          <t>n.a.</t>
        </is>
      </c>
      <c r="AJ202" s="15" t="inlineStr">
        <is>
          <t>n.a.</t>
        </is>
      </c>
      <c r="AK202" s="4" t="inlineStr">
        <is>
          <t>machine_metadata;format_match(warn);persistent_id(warn);join_key(warn)</t>
        </is>
      </c>
      <c r="AL202" s="17" t="inlineStr">
        <is>
          <t>http://www.ers.usda.gov/data-products/rural-urban-continuum-codes</t>
        </is>
      </c>
      <c r="AM202" s="4" t="inlineStr">
        <is>
          <t>us_usda_ers_rucc</t>
        </is>
      </c>
    </row>
    <row r="203">
      <c r="A203" s="4" t="inlineStr">
        <is>
          <t>Territorial units for statistics (NUTS) - GISCO geodata</t>
        </is>
      </c>
      <c r="B203" s="20" t="inlineStr">
        <is>
          <t>Bronze</t>
        </is>
      </c>
      <c r="C203" s="4" t="n">
        <v>84</v>
      </c>
      <c r="D203" s="4" t="inlineStr">
        <is>
          <t>boundaries</t>
        </is>
      </c>
      <c r="E203" s="4" t="inlineStr">
        <is>
          <t>healthy</t>
        </is>
      </c>
      <c r="F203" s="4" t="inlineStr">
        <is>
          <t>unknown</t>
        </is>
      </c>
      <c r="G203" s="4" t="inlineStr">
        <is>
          <t>admin2 (NUTS 3, 'small regions for specific diagnoses')</t>
        </is>
      </c>
      <c r="H203" s="4" t="inlineStr">
        <is>
          <t>Joins today</t>
        </is>
      </c>
      <c r="I203" s="4" t="n">
        <v>1</v>
      </c>
      <c r="J203" s="4" t="inlineStr"/>
      <c r="K203" s="4" t="inlineStr">
        <is>
          <t>Curated</t>
        </is>
      </c>
      <c r="L203" s="4" t="n">
        <v>2024</v>
      </c>
      <c r="M203" s="4" t="inlineStr">
        <is>
          <t>open</t>
        </is>
      </c>
      <c r="N203" s="4" t="inlineStr">
        <is>
          <t>2026-10-28</t>
        </is>
      </c>
      <c r="O203" s="14" t="inlineStr">
        <is>
          <t>pass</t>
        </is>
      </c>
      <c r="P203" s="14" t="inlineStr">
        <is>
          <t>pass</t>
        </is>
      </c>
      <c r="Q203" s="14" t="inlineStr">
        <is>
          <t>pass</t>
        </is>
      </c>
      <c r="R203" s="14" t="inlineStr">
        <is>
          <t>pass</t>
        </is>
      </c>
      <c r="S203" s="14" t="inlineStr">
        <is>
          <t>pass</t>
        </is>
      </c>
      <c r="T203" s="14" t="inlineStr">
        <is>
          <t>pass</t>
        </is>
      </c>
      <c r="U203" s="16" t="inlineStr">
        <is>
          <t>warn</t>
        </is>
      </c>
      <c r="V203" s="16" t="inlineStr">
        <is>
          <t>warn</t>
        </is>
      </c>
      <c r="W203" s="16" t="inlineStr">
        <is>
          <t>warn</t>
        </is>
      </c>
      <c r="X203" s="14" t="inlineStr">
        <is>
          <t>pass</t>
        </is>
      </c>
      <c r="Y203" s="18" t="inlineStr">
        <is>
          <t>fail</t>
        </is>
      </c>
      <c r="Z203" s="14" t="inlineStr">
        <is>
          <t>pass</t>
        </is>
      </c>
      <c r="AA203" s="14" t="inlineStr">
        <is>
          <t>pass</t>
        </is>
      </c>
      <c r="AB203" s="16" t="inlineStr">
        <is>
          <t>warn</t>
        </is>
      </c>
      <c r="AC203" s="14" t="inlineStr">
        <is>
          <t>pass</t>
        </is>
      </c>
      <c r="AD203" s="14" t="inlineStr">
        <is>
          <t>pass</t>
        </is>
      </c>
      <c r="AE203" s="15" t="inlineStr">
        <is>
          <t>not_checked</t>
        </is>
      </c>
      <c r="AF203" s="14" t="inlineStr">
        <is>
          <t>pass</t>
        </is>
      </c>
      <c r="AG203" s="14" t="inlineStr">
        <is>
          <t>pass</t>
        </is>
      </c>
      <c r="AH203" s="14" t="inlineStr">
        <is>
          <t>pass</t>
        </is>
      </c>
      <c r="AI203" s="15" t="inlineStr">
        <is>
          <t>n.a.</t>
        </is>
      </c>
      <c r="AJ203" s="15" t="inlineStr">
        <is>
          <t>n.a.</t>
        </is>
      </c>
      <c r="AK203" s="4" t="inlineStr">
        <is>
          <t>license;format_match(warn);machine_metadata(warn);persistent_id(warn);cadence(warn)</t>
        </is>
      </c>
      <c r="AL203" s="17" t="inlineStr">
        <is>
          <t>https://ec.europa.eu/eurostat/web/gisco/geodata/statistical-units/territorial-units-statistics</t>
        </is>
      </c>
      <c r="AM203" s="4" t="inlineStr">
        <is>
          <t>eu_eurostat_gisco_nuts</t>
        </is>
      </c>
    </row>
    <row r="204">
      <c r="A204" s="4" t="inlineStr">
        <is>
          <t>The National Map (TNM) base layers</t>
        </is>
      </c>
      <c r="B204" s="19" t="inlineStr">
        <is>
          <t>Silver</t>
        </is>
      </c>
      <c r="C204" s="4" t="n">
        <v>96</v>
      </c>
      <c r="D204" s="4" t="inlineStr">
        <is>
          <t>boundaries</t>
        </is>
      </c>
      <c r="E204" s="4" t="inlineStr">
        <is>
          <t>healthy</t>
        </is>
      </c>
      <c r="F204" s="4" t="inlineStr">
        <is>
          <t>public_domain_us_federal</t>
        </is>
      </c>
      <c r="G204" s="4" t="inlineStr">
        <is>
          <t>grid_</t>
        </is>
      </c>
      <c r="H204" s="4" t="inlineStr">
        <is>
          <t>Needs raster support</t>
        </is>
      </c>
      <c r="I204" s="4" t="n">
        <v>1</v>
      </c>
      <c r="J204" s="4" t="inlineStr"/>
      <c r="K204" s="4" t="inlineStr">
        <is>
          <t>Curated</t>
        </is>
      </c>
      <c r="L204" s="4" t="inlineStr">
        <is>
          <t>current</t>
        </is>
      </c>
      <c r="M204" s="4" t="inlineStr">
        <is>
          <t>open</t>
        </is>
      </c>
      <c r="N204" s="4" t="inlineStr">
        <is>
          <t>2026-10-29</t>
        </is>
      </c>
      <c r="O204" s="14" t="inlineStr">
        <is>
          <t>pass</t>
        </is>
      </c>
      <c r="P204" s="14" t="inlineStr">
        <is>
          <t>pass</t>
        </is>
      </c>
      <c r="Q204" s="14" t="inlineStr">
        <is>
          <t>pass</t>
        </is>
      </c>
      <c r="R204" s="14" t="inlineStr">
        <is>
          <t>pass</t>
        </is>
      </c>
      <c r="S204" s="14" t="inlineStr">
        <is>
          <t>pass</t>
        </is>
      </c>
      <c r="T204" s="14" t="inlineStr">
        <is>
          <t>pass</t>
        </is>
      </c>
      <c r="U204" s="14" t="inlineStr">
        <is>
          <t>pass</t>
        </is>
      </c>
      <c r="V204" s="16" t="inlineStr">
        <is>
          <t>warn</t>
        </is>
      </c>
      <c r="W204" s="16" t="inlineStr">
        <is>
          <t>warn</t>
        </is>
      </c>
      <c r="X204" s="14" t="inlineStr">
        <is>
          <t>pass</t>
        </is>
      </c>
      <c r="Y204" s="14" t="inlineStr">
        <is>
          <t>pass</t>
        </is>
      </c>
      <c r="Z204" s="15" t="inlineStr">
        <is>
          <t>not_checked</t>
        </is>
      </c>
      <c r="AA204" s="15" t="inlineStr">
        <is>
          <t>not_checked</t>
        </is>
      </c>
      <c r="AB204" s="15" t="inlineStr">
        <is>
          <t>not_checked</t>
        </is>
      </c>
      <c r="AC204" s="15" t="inlineStr">
        <is>
          <t>not_checked</t>
        </is>
      </c>
      <c r="AD204" s="15" t="inlineStr">
        <is>
          <t>not_checked</t>
        </is>
      </c>
      <c r="AE204" s="14" t="inlineStr">
        <is>
          <t>pass</t>
        </is>
      </c>
      <c r="AF204" s="14" t="inlineStr">
        <is>
          <t>pass</t>
        </is>
      </c>
      <c r="AG204" s="15" t="inlineStr">
        <is>
          <t>not_checked</t>
        </is>
      </c>
      <c r="AH204" s="15" t="inlineStr">
        <is>
          <t>not_checked</t>
        </is>
      </c>
      <c r="AI204" s="15" t="inlineStr">
        <is>
          <t>n.a.</t>
        </is>
      </c>
      <c r="AJ204" s="15" t="inlineStr">
        <is>
          <t>n.a.</t>
        </is>
      </c>
      <c r="AK204" s="4" t="inlineStr">
        <is>
          <t>machine_metadata(warn);persistent_id(warn)</t>
        </is>
      </c>
      <c r="AL204" s="17" t="inlineStr">
        <is>
          <t>https://www.usgs.gov/programs/national-geospatial-program/national-map</t>
        </is>
      </c>
      <c r="AM204" s="4" t="inlineStr">
        <is>
          <t>us_usgs_national_map</t>
        </is>
      </c>
    </row>
    <row r="205">
      <c r="A205" s="4" t="inlineStr">
        <is>
          <t>TIGER/Line Shapefiles</t>
        </is>
      </c>
      <c r="B205" s="19" t="inlineStr">
        <is>
          <t>Silver</t>
        </is>
      </c>
      <c r="C205" s="4" t="n">
        <v>97</v>
      </c>
      <c r="D205" s="4" t="inlineStr">
        <is>
          <t>boundaries</t>
        </is>
      </c>
      <c r="E205" s="4" t="inlineStr">
        <is>
          <t>healthy</t>
        </is>
      </c>
      <c r="F205" s="4" t="inlineStr">
        <is>
          <t>public_domain_us_federal</t>
        </is>
      </c>
      <c r="G205" s="4" t="inlineStr">
        <is>
          <t>block</t>
        </is>
      </c>
      <c r="H205" s="4" t="inlineStr">
        <is>
          <t>Joins today</t>
        </is>
      </c>
      <c r="I205" s="4" t="n">
        <v>1</v>
      </c>
      <c r="J205" s="4" t="inlineStr">
        <is>
          <t>fl_2019_tl_tract;fl_2020_tl_tract;fl_2021_tl_tract;fl_2022_tl_cousub;fl_2022_tl_tract;fl_2023_tl_tract;fl_2024_tl_tract;fl_2025_tl_tract;us_2019_prisecroads_tl;us_2019_tract_tl</t>
        </is>
      </c>
      <c r="K205" s="4" t="inlineStr">
        <is>
          <t>Curated</t>
        </is>
      </c>
      <c r="L205" s="4" t="n">
        <v>2026</v>
      </c>
      <c r="M205" s="4" t="inlineStr">
        <is>
          <t>open</t>
        </is>
      </c>
      <c r="N205" s="4" t="inlineStr">
        <is>
          <t>2026-10-29</t>
        </is>
      </c>
      <c r="O205" s="14" t="inlineStr">
        <is>
          <t>pass</t>
        </is>
      </c>
      <c r="P205" s="14" t="inlineStr">
        <is>
          <t>pass</t>
        </is>
      </c>
      <c r="Q205" s="14" t="inlineStr">
        <is>
          <t>pass</t>
        </is>
      </c>
      <c r="R205" s="14" t="inlineStr">
        <is>
          <t>pass</t>
        </is>
      </c>
      <c r="S205" s="14" t="inlineStr">
        <is>
          <t>pass</t>
        </is>
      </c>
      <c r="T205" s="14" t="inlineStr">
        <is>
          <t>pass</t>
        </is>
      </c>
      <c r="U205" s="16" t="inlineStr">
        <is>
          <t>warn</t>
        </is>
      </c>
      <c r="V205" s="16" t="inlineStr">
        <is>
          <t>warn</t>
        </is>
      </c>
      <c r="W205" s="16" t="inlineStr">
        <is>
          <t>warn</t>
        </is>
      </c>
      <c r="X205" s="14" t="inlineStr">
        <is>
          <t>pass</t>
        </is>
      </c>
      <c r="Y205" s="14" t="inlineStr">
        <is>
          <t>pass</t>
        </is>
      </c>
      <c r="Z205" s="14" t="inlineStr">
        <is>
          <t>pass</t>
        </is>
      </c>
      <c r="AA205" s="14" t="inlineStr">
        <is>
          <t>pass</t>
        </is>
      </c>
      <c r="AB205" s="16" t="inlineStr">
        <is>
          <t>warn</t>
        </is>
      </c>
      <c r="AC205" s="14" t="inlineStr">
        <is>
          <t>pass</t>
        </is>
      </c>
      <c r="AD205" s="15" t="inlineStr">
        <is>
          <t>not_checked</t>
        </is>
      </c>
      <c r="AE205" s="15" t="inlineStr">
        <is>
          <t>not_checked</t>
        </is>
      </c>
      <c r="AF205" s="14" t="inlineStr">
        <is>
          <t>pass</t>
        </is>
      </c>
      <c r="AG205" s="14" t="inlineStr">
        <is>
          <t>pass</t>
        </is>
      </c>
      <c r="AH205" s="14" t="inlineStr">
        <is>
          <t>pass</t>
        </is>
      </c>
      <c r="AI205" s="14" t="inlineStr">
        <is>
          <t>pass</t>
        </is>
      </c>
      <c r="AJ205" s="15" t="inlineStr">
        <is>
          <t>not_checked</t>
        </is>
      </c>
      <c r="AK205" s="4" t="inlineStr">
        <is>
          <t>format_match(warn);machine_metadata(warn);persistent_id(warn);cadence(warn)</t>
        </is>
      </c>
      <c r="AL205" s="17" t="inlineStr">
        <is>
          <t>https://www.census.gov/geographies/mapping-files/time-series/geo/tiger-line-file.html</t>
        </is>
      </c>
      <c r="AM205" s="4" t="inlineStr">
        <is>
          <t>us_census_tiger_line</t>
        </is>
      </c>
    </row>
    <row r="206">
      <c r="A206" s="4" t="inlineStr">
        <is>
          <t>TIGER/Line Shapefiles - Counties</t>
        </is>
      </c>
      <c r="B206" s="19" t="inlineStr">
        <is>
          <t>Silver</t>
        </is>
      </c>
      <c r="C206" s="4" t="n">
        <v>97</v>
      </c>
      <c r="D206" s="4" t="inlineStr">
        <is>
          <t>boundaries</t>
        </is>
      </c>
      <c r="E206" s="4" t="inlineStr">
        <is>
          <t>healthy</t>
        </is>
      </c>
      <c r="F206" s="4" t="inlineStr">
        <is>
          <t>public_domain_us_federal</t>
        </is>
      </c>
      <c r="G206" s="4" t="inlineStr">
        <is>
          <t>county</t>
        </is>
      </c>
      <c r="H206" s="4" t="inlineStr">
        <is>
          <t>Joins today</t>
        </is>
      </c>
      <c r="I206" s="4" t="n">
        <v>1</v>
      </c>
      <c r="J206" s="4" t="inlineStr">
        <is>
          <t>us_2019_county_tl;us_2020_county_tl;us_2022_county_tl;us_2023_county_tl</t>
        </is>
      </c>
      <c r="K206" s="4" t="inlineStr">
        <is>
          <t>Curated</t>
        </is>
      </c>
      <c r="L206" s="4" t="n">
        <v>2026</v>
      </c>
      <c r="M206" s="4" t="inlineStr">
        <is>
          <t>open</t>
        </is>
      </c>
      <c r="N206" s="4" t="inlineStr">
        <is>
          <t>2026-10-29</t>
        </is>
      </c>
      <c r="O206" s="14" t="inlineStr">
        <is>
          <t>pass</t>
        </is>
      </c>
      <c r="P206" s="14" t="inlineStr">
        <is>
          <t>pass</t>
        </is>
      </c>
      <c r="Q206" s="14" t="inlineStr">
        <is>
          <t>pass</t>
        </is>
      </c>
      <c r="R206" s="14" t="inlineStr">
        <is>
          <t>pass</t>
        </is>
      </c>
      <c r="S206" s="14" t="inlineStr">
        <is>
          <t>pass</t>
        </is>
      </c>
      <c r="T206" s="14" t="inlineStr">
        <is>
          <t>pass</t>
        </is>
      </c>
      <c r="U206" s="16" t="inlineStr">
        <is>
          <t>warn</t>
        </is>
      </c>
      <c r="V206" s="16" t="inlineStr">
        <is>
          <t>warn</t>
        </is>
      </c>
      <c r="W206" s="16" t="inlineStr">
        <is>
          <t>warn</t>
        </is>
      </c>
      <c r="X206" s="14" t="inlineStr">
        <is>
          <t>pass</t>
        </is>
      </c>
      <c r="Y206" s="14" t="inlineStr">
        <is>
          <t>pass</t>
        </is>
      </c>
      <c r="Z206" s="14" t="inlineStr">
        <is>
          <t>pass</t>
        </is>
      </c>
      <c r="AA206" s="14" t="inlineStr">
        <is>
          <t>pass</t>
        </is>
      </c>
      <c r="AB206" s="16" t="inlineStr">
        <is>
          <t>warn</t>
        </is>
      </c>
      <c r="AC206" s="14" t="inlineStr">
        <is>
          <t>pass</t>
        </is>
      </c>
      <c r="AD206" s="15" t="inlineStr">
        <is>
          <t>not_checked</t>
        </is>
      </c>
      <c r="AE206" s="15" t="inlineStr">
        <is>
          <t>not_checked</t>
        </is>
      </c>
      <c r="AF206" s="14" t="inlineStr">
        <is>
          <t>pass</t>
        </is>
      </c>
      <c r="AG206" s="14" t="inlineStr">
        <is>
          <t>pass</t>
        </is>
      </c>
      <c r="AH206" s="14" t="inlineStr">
        <is>
          <t>pass</t>
        </is>
      </c>
      <c r="AI206" s="14" t="inlineStr">
        <is>
          <t>pass</t>
        </is>
      </c>
      <c r="AJ206" s="14" t="inlineStr">
        <is>
          <t>pass</t>
        </is>
      </c>
      <c r="AK206" s="4" t="inlineStr">
        <is>
          <t>format_match(warn);machine_metadata(warn);persistent_id(warn);cadence(warn)</t>
        </is>
      </c>
      <c r="AL206" s="17" t="inlineStr">
        <is>
          <t>https://www.census.gov/geographies/mapping-files/time-series/geo/tiger-line-file.html</t>
        </is>
      </c>
      <c r="AM206" s="4" t="inlineStr">
        <is>
          <t>us_census_tiger_line_county</t>
        </is>
      </c>
    </row>
    <row r="207">
      <c r="A207" s="4" t="inlineStr">
        <is>
          <t>U.S. Gazetteer Files</t>
        </is>
      </c>
      <c r="B207" s="13" t="inlineStr">
        <is>
          <t>Gold</t>
        </is>
      </c>
      <c r="C207" s="4" t="n">
        <v>98</v>
      </c>
      <c r="D207" s="4" t="inlineStr">
        <is>
          <t>boundaries</t>
        </is>
      </c>
      <c r="E207" s="4" t="inlineStr">
        <is>
          <t>healthy</t>
        </is>
      </c>
      <c r="F207" s="4" t="inlineStr">
        <is>
          <t>public_domain_us_federal</t>
        </is>
      </c>
      <c r="G207" s="4" t="inlineStr">
        <is>
          <t>tract</t>
        </is>
      </c>
      <c r="H207" s="4" t="inlineStr">
        <is>
          <t>Joins today</t>
        </is>
      </c>
      <c r="I207" s="4" t="n">
        <v>1</v>
      </c>
      <c r="J207" s="4" t="inlineStr"/>
      <c r="K207" s="4" t="inlineStr">
        <is>
          <t>Curated</t>
        </is>
      </c>
      <c r="L207" s="4" t="n">
        <v>2026</v>
      </c>
      <c r="M207" s="4" t="inlineStr">
        <is>
          <t>open</t>
        </is>
      </c>
      <c r="N207" s="4" t="inlineStr">
        <is>
          <t>2026-10-29</t>
        </is>
      </c>
      <c r="O207" s="14" t="inlineStr">
        <is>
          <t>pass</t>
        </is>
      </c>
      <c r="P207" s="14" t="inlineStr">
        <is>
          <t>pass</t>
        </is>
      </c>
      <c r="Q207" s="14" t="inlineStr">
        <is>
          <t>pass</t>
        </is>
      </c>
      <c r="R207" s="14" t="inlineStr">
        <is>
          <t>pass</t>
        </is>
      </c>
      <c r="S207" s="14" t="inlineStr">
        <is>
          <t>pass</t>
        </is>
      </c>
      <c r="T207" s="14" t="inlineStr">
        <is>
          <t>pass</t>
        </is>
      </c>
      <c r="U207" s="16" t="inlineStr">
        <is>
          <t>warn</t>
        </is>
      </c>
      <c r="V207" s="16" t="inlineStr">
        <is>
          <t>warn</t>
        </is>
      </c>
      <c r="W207" s="16" t="inlineStr">
        <is>
          <t>warn</t>
        </is>
      </c>
      <c r="X207" s="14" t="inlineStr">
        <is>
          <t>pass</t>
        </is>
      </c>
      <c r="Y207" s="14" t="inlineStr">
        <is>
          <t>pass</t>
        </is>
      </c>
      <c r="Z207" s="14" t="inlineStr">
        <is>
          <t>pass</t>
        </is>
      </c>
      <c r="AA207" s="14" t="inlineStr">
        <is>
          <t>pass</t>
        </is>
      </c>
      <c r="AB207" s="16" t="inlineStr">
        <is>
          <t>warn</t>
        </is>
      </c>
      <c r="AC207" s="14" t="inlineStr">
        <is>
          <t>pass</t>
        </is>
      </c>
      <c r="AD207" s="14" t="inlineStr">
        <is>
          <t>pass</t>
        </is>
      </c>
      <c r="AE207" s="14" t="inlineStr">
        <is>
          <t>pass</t>
        </is>
      </c>
      <c r="AF207" s="14" t="inlineStr">
        <is>
          <t>pass</t>
        </is>
      </c>
      <c r="AG207" s="14" t="inlineStr">
        <is>
          <t>pass</t>
        </is>
      </c>
      <c r="AH207" s="14" t="inlineStr">
        <is>
          <t>pass</t>
        </is>
      </c>
      <c r="AI207" s="15" t="inlineStr">
        <is>
          <t>n.a.</t>
        </is>
      </c>
      <c r="AJ207" s="15" t="inlineStr">
        <is>
          <t>n.a.</t>
        </is>
      </c>
      <c r="AK207" s="4" t="inlineStr">
        <is>
          <t>format_match(warn);machine_metadata(warn);persistent_id(warn);cadence(warn)</t>
        </is>
      </c>
      <c r="AL207" s="17" t="inlineStr">
        <is>
          <t>https://www.census.gov/geographies/reference-files/time-series/geo/gazetteer-files.html</t>
        </is>
      </c>
      <c r="AM207" s="4" t="inlineStr">
        <is>
          <t>us_census_gazetteer</t>
        </is>
      </c>
    </row>
    <row r="208">
      <c r="A208" s="4" t="inlineStr">
        <is>
          <t>Urban and Rural Classification (2020 Census Urban Areas)</t>
        </is>
      </c>
      <c r="B208" s="13" t="inlineStr">
        <is>
          <t>Gold</t>
        </is>
      </c>
      <c r="C208" s="4" t="n">
        <v>98</v>
      </c>
      <c r="D208" s="4" t="inlineStr">
        <is>
          <t>boundaries</t>
        </is>
      </c>
      <c r="E208" s="4" t="inlineStr">
        <is>
          <t>healthy</t>
        </is>
      </c>
      <c r="F208" s="4" t="inlineStr">
        <is>
          <t>public_domain_us_federal</t>
        </is>
      </c>
      <c r="G208" s="4" t="inlineStr">
        <is>
          <t>block</t>
        </is>
      </c>
      <c r="H208" s="4" t="inlineStr">
        <is>
          <t>Joins today</t>
        </is>
      </c>
      <c r="I208" s="4" t="n">
        <v>1</v>
      </c>
      <c r="J208" s="4" t="inlineStr"/>
      <c r="K208" s="4" t="inlineStr">
        <is>
          <t>Curated</t>
        </is>
      </c>
      <c r="L208" s="4" t="n">
        <v>2020</v>
      </c>
      <c r="M208" s="4" t="inlineStr">
        <is>
          <t>open</t>
        </is>
      </c>
      <c r="N208" s="4" t="inlineStr">
        <is>
          <t>2026-10-29</t>
        </is>
      </c>
      <c r="O208" s="14" t="inlineStr">
        <is>
          <t>pass</t>
        </is>
      </c>
      <c r="P208" s="14" t="inlineStr">
        <is>
          <t>pass</t>
        </is>
      </c>
      <c r="Q208" s="14" t="inlineStr">
        <is>
          <t>pass</t>
        </is>
      </c>
      <c r="R208" s="14" t="inlineStr">
        <is>
          <t>pass</t>
        </is>
      </c>
      <c r="S208" s="14" t="inlineStr">
        <is>
          <t>pass</t>
        </is>
      </c>
      <c r="T208" s="14" t="inlineStr">
        <is>
          <t>pass</t>
        </is>
      </c>
      <c r="U208" s="16" t="inlineStr">
        <is>
          <t>warn</t>
        </is>
      </c>
      <c r="V208" s="16" t="inlineStr">
        <is>
          <t>warn</t>
        </is>
      </c>
      <c r="W208" s="16" t="inlineStr">
        <is>
          <t>warn</t>
        </is>
      </c>
      <c r="X208" s="14" t="inlineStr">
        <is>
          <t>pass</t>
        </is>
      </c>
      <c r="Y208" s="14" t="inlineStr">
        <is>
          <t>pass</t>
        </is>
      </c>
      <c r="Z208" s="14" t="inlineStr">
        <is>
          <t>pass</t>
        </is>
      </c>
      <c r="AA208" s="14" t="inlineStr">
        <is>
          <t>pass</t>
        </is>
      </c>
      <c r="AB208" s="14" t="inlineStr">
        <is>
          <t>pass</t>
        </is>
      </c>
      <c r="AC208" s="14" t="inlineStr">
        <is>
          <t>pass</t>
        </is>
      </c>
      <c r="AD208" s="14" t="inlineStr">
        <is>
          <t>pass</t>
        </is>
      </c>
      <c r="AE208" s="14" t="inlineStr">
        <is>
          <t>pass</t>
        </is>
      </c>
      <c r="AF208" s="14" t="inlineStr">
        <is>
          <t>pass</t>
        </is>
      </c>
      <c r="AG208" s="14" t="inlineStr">
        <is>
          <t>pass</t>
        </is>
      </c>
      <c r="AH208" s="14" t="inlineStr">
        <is>
          <t>pass</t>
        </is>
      </c>
      <c r="AI208" s="15" t="inlineStr">
        <is>
          <t>n.a.</t>
        </is>
      </c>
      <c r="AJ208" s="15" t="inlineStr">
        <is>
          <t>n.a.</t>
        </is>
      </c>
      <c r="AK208" s="4" t="inlineStr">
        <is>
          <t>format_match(warn);machine_metadata(warn);persistent_id(warn)</t>
        </is>
      </c>
      <c r="AL208" s="17" t="inlineStr">
        <is>
          <t>https://www.census.gov/programs-surveys/geography/guidance/geo-areas/urban-rural.html</t>
        </is>
      </c>
      <c r="AM208" s="4" t="inlineStr">
        <is>
          <t>us_census_urban_rural</t>
        </is>
      </c>
    </row>
    <row r="209">
      <c r="A209" s="4" t="inlineStr">
        <is>
          <t>Urban Influence Codes (UIC)</t>
        </is>
      </c>
      <c r="B209" s="13" t="inlineStr">
        <is>
          <t>Gold</t>
        </is>
      </c>
      <c r="C209" s="4" t="n">
        <v>91</v>
      </c>
      <c r="D209" s="4" t="inlineStr">
        <is>
          <t>boundaries</t>
        </is>
      </c>
      <c r="E209" s="4" t="inlineStr">
        <is>
          <t>degraded</t>
        </is>
      </c>
      <c r="F209" s="4" t="inlineStr">
        <is>
          <t>public_domain_us_federal</t>
        </is>
      </c>
      <c r="G209" s="4" t="inlineStr">
        <is>
          <t>county</t>
        </is>
      </c>
      <c r="H209" s="4" t="inlineStr">
        <is>
          <t>Joins today</t>
        </is>
      </c>
      <c r="I209" s="4" t="n">
        <v>1</v>
      </c>
      <c r="J209" s="4" t="inlineStr"/>
      <c r="K209" s="4" t="inlineStr">
        <is>
          <t>Curated</t>
        </is>
      </c>
      <c r="L209" s="4" t="n">
        <v>2024</v>
      </c>
      <c r="M209" s="4" t="inlineStr">
        <is>
          <t>open</t>
        </is>
      </c>
      <c r="N209" s="4" t="inlineStr">
        <is>
          <t>2026-10-29</t>
        </is>
      </c>
      <c r="O209" s="14" t="inlineStr">
        <is>
          <t>pass</t>
        </is>
      </c>
      <c r="P209" s="14" t="inlineStr">
        <is>
          <t>pass</t>
        </is>
      </c>
      <c r="Q209" s="14" t="inlineStr">
        <is>
          <t>pass</t>
        </is>
      </c>
      <c r="R209" s="14" t="inlineStr">
        <is>
          <t>pass</t>
        </is>
      </c>
      <c r="S209" s="14" t="inlineStr">
        <is>
          <t>pass</t>
        </is>
      </c>
      <c r="T209" s="14" t="inlineStr">
        <is>
          <t>pass</t>
        </is>
      </c>
      <c r="U209" s="16" t="inlineStr">
        <is>
          <t>warn</t>
        </is>
      </c>
      <c r="V209" s="18" t="inlineStr">
        <is>
          <t>fail</t>
        </is>
      </c>
      <c r="W209" s="16" t="inlineStr">
        <is>
          <t>warn</t>
        </is>
      </c>
      <c r="X209" s="14" t="inlineStr">
        <is>
          <t>pass</t>
        </is>
      </c>
      <c r="Y209" s="14" t="inlineStr">
        <is>
          <t>pass</t>
        </is>
      </c>
      <c r="Z209" s="14" t="inlineStr">
        <is>
          <t>pass</t>
        </is>
      </c>
      <c r="AA209" s="14" t="inlineStr">
        <is>
          <t>pass</t>
        </is>
      </c>
      <c r="AB209" s="14" t="inlineStr">
        <is>
          <t>pass</t>
        </is>
      </c>
      <c r="AC209" s="14" t="inlineStr">
        <is>
          <t>pass</t>
        </is>
      </c>
      <c r="AD209" s="14" t="inlineStr">
        <is>
          <t>pass</t>
        </is>
      </c>
      <c r="AE209" s="14" t="inlineStr">
        <is>
          <t>pass</t>
        </is>
      </c>
      <c r="AF209" s="14" t="inlineStr">
        <is>
          <t>pass</t>
        </is>
      </c>
      <c r="AG209" s="16" t="inlineStr">
        <is>
          <t>warn</t>
        </is>
      </c>
      <c r="AH209" s="16" t="inlineStr">
        <is>
          <t>warn</t>
        </is>
      </c>
      <c r="AI209" s="15" t="inlineStr">
        <is>
          <t>n.a.</t>
        </is>
      </c>
      <c r="AJ209" s="15" t="inlineStr">
        <is>
          <t>n.a.</t>
        </is>
      </c>
      <c r="AK209" s="4" t="inlineStr">
        <is>
          <t>machine_metadata;format_match(warn);persistent_id(warn);join_key(warn);format_gaia(warn)</t>
        </is>
      </c>
      <c r="AL209" s="17" t="inlineStr">
        <is>
          <t>http://www.ers.usda.gov/data-products/urban-influence-codes</t>
        </is>
      </c>
      <c r="AM209" s="4" t="inlineStr">
        <is>
          <t>us_usda_ers_uic</t>
        </is>
      </c>
    </row>
    <row r="210">
      <c r="A210" s="4" t="inlineStr">
        <is>
          <t>ZIP Code Tabulation Areas (ZCTAs)</t>
        </is>
      </c>
      <c r="B210" s="13" t="inlineStr">
        <is>
          <t>Gold</t>
        </is>
      </c>
      <c r="C210" s="4" t="n">
        <v>98</v>
      </c>
      <c r="D210" s="4" t="inlineStr">
        <is>
          <t>boundaries</t>
        </is>
      </c>
      <c r="E210" s="4" t="inlineStr">
        <is>
          <t>healthy</t>
        </is>
      </c>
      <c r="F210" s="4" t="inlineStr">
        <is>
          <t>public_domain_us_federal</t>
        </is>
      </c>
      <c r="G210" s="4" t="inlineStr">
        <is>
          <t>zcta</t>
        </is>
      </c>
      <c r="H210" s="4" t="inlineStr">
        <is>
          <t>Joins today</t>
        </is>
      </c>
      <c r="I210" s="4" t="n">
        <v>1</v>
      </c>
      <c r="J210" s="4" t="inlineStr">
        <is>
          <t>mdc_2020_zcta;us_2020_zcta</t>
        </is>
      </c>
      <c r="K210" s="4" t="inlineStr">
        <is>
          <t>Curated</t>
        </is>
      </c>
      <c r="L210" s="4" t="n">
        <v>2026</v>
      </c>
      <c r="M210" s="4" t="inlineStr">
        <is>
          <t>open</t>
        </is>
      </c>
      <c r="N210" s="4" t="inlineStr">
        <is>
          <t>2026-10-29</t>
        </is>
      </c>
      <c r="O210" s="14" t="inlineStr">
        <is>
          <t>pass</t>
        </is>
      </c>
      <c r="P210" s="14" t="inlineStr">
        <is>
          <t>pass</t>
        </is>
      </c>
      <c r="Q210" s="14" t="inlineStr">
        <is>
          <t>pass</t>
        </is>
      </c>
      <c r="R210" s="14" t="inlineStr">
        <is>
          <t>pass</t>
        </is>
      </c>
      <c r="S210" s="14" t="inlineStr">
        <is>
          <t>pass</t>
        </is>
      </c>
      <c r="T210" s="14" t="inlineStr">
        <is>
          <t>pass</t>
        </is>
      </c>
      <c r="U210" s="16" t="inlineStr">
        <is>
          <t>warn</t>
        </is>
      </c>
      <c r="V210" s="16" t="inlineStr">
        <is>
          <t>warn</t>
        </is>
      </c>
      <c r="W210" s="16" t="inlineStr">
        <is>
          <t>warn</t>
        </is>
      </c>
      <c r="X210" s="14" t="inlineStr">
        <is>
          <t>pass</t>
        </is>
      </c>
      <c r="Y210" s="14" t="inlineStr">
        <is>
          <t>pass</t>
        </is>
      </c>
      <c r="Z210" s="14" t="inlineStr">
        <is>
          <t>pass</t>
        </is>
      </c>
      <c r="AA210" s="14" t="inlineStr">
        <is>
          <t>pass</t>
        </is>
      </c>
      <c r="AB210" s="16" t="inlineStr">
        <is>
          <t>warn</t>
        </is>
      </c>
      <c r="AC210" s="14" t="inlineStr">
        <is>
          <t>pass</t>
        </is>
      </c>
      <c r="AD210" s="14" t="inlineStr">
        <is>
          <t>pass</t>
        </is>
      </c>
      <c r="AE210" s="14" t="inlineStr">
        <is>
          <t>pass</t>
        </is>
      </c>
      <c r="AF210" s="14" t="inlineStr">
        <is>
          <t>pass</t>
        </is>
      </c>
      <c r="AG210" s="14" t="inlineStr">
        <is>
          <t>pass</t>
        </is>
      </c>
      <c r="AH210" s="14" t="inlineStr">
        <is>
          <t>pass</t>
        </is>
      </c>
      <c r="AI210" s="14" t="inlineStr">
        <is>
          <t>pass</t>
        </is>
      </c>
      <c r="AJ210" s="15" t="inlineStr">
        <is>
          <t>not_checked</t>
        </is>
      </c>
      <c r="AK210" s="4" t="inlineStr">
        <is>
          <t>format_match(warn);machine_metadata(warn);persistent_id(warn);cadence(warn)</t>
        </is>
      </c>
      <c r="AL210" s="17" t="inlineStr">
        <is>
          <t>https://www.census.gov/geographies/reference-files/time-series/geo/gazetteer-files.html</t>
        </is>
      </c>
      <c r="AM210" s="4" t="inlineStr">
        <is>
          <t>us_census_zcta</t>
        </is>
      </c>
    </row>
    <row r="211">
      <c r="A211" s="4" t="inlineStr">
        <is>
          <t>Dewey Data: SafeGraph Places/Spend and Advan foot traffic</t>
        </is>
      </c>
      <c r="B211" s="20" t="inlineStr">
        <is>
          <t>Bronze</t>
        </is>
      </c>
      <c r="C211" s="4" t="n">
        <v>68</v>
      </c>
      <c r="D211" s="4" t="inlineStr">
        <is>
          <t>built_environment</t>
        </is>
      </c>
      <c r="E211" s="4" t="inlineStr">
        <is>
          <t>healthy</t>
        </is>
      </c>
      <c r="F211" s="4" t="inlineStr">
        <is>
          <t>restricted</t>
        </is>
      </c>
      <c r="G211" s="4" t="inlineStr">
        <is>
          <t>point</t>
        </is>
      </c>
      <c r="H211" s="4" t="inlineStr">
        <is>
          <t>Needs a count/distance step</t>
        </is>
      </c>
      <c r="I211" s="4" t="n">
        <v>3</v>
      </c>
      <c r="J211" s="4" t="inlineStr"/>
      <c r="K211" s="4" t="inlineStr">
        <is>
          <t>Curated</t>
        </is>
      </c>
      <c r="L211" s="4" t="inlineStr"/>
      <c r="M211" s="4" t="inlineStr">
        <is>
          <t>restricted</t>
        </is>
      </c>
      <c r="N211" s="4" t="inlineStr">
        <is>
          <t>2026-10-22</t>
        </is>
      </c>
      <c r="O211" s="14" t="inlineStr">
        <is>
          <t>pass</t>
        </is>
      </c>
      <c r="P211" s="14" t="inlineStr">
        <is>
          <t>pass</t>
        </is>
      </c>
      <c r="Q211" s="14" t="inlineStr">
        <is>
          <t>pass</t>
        </is>
      </c>
      <c r="R211" s="14" t="inlineStr">
        <is>
          <t>pass</t>
        </is>
      </c>
      <c r="S211" s="14" t="inlineStr">
        <is>
          <t>pass</t>
        </is>
      </c>
      <c r="T211" s="15" t="inlineStr">
        <is>
          <t>n.a.</t>
        </is>
      </c>
      <c r="U211" s="15" t="inlineStr">
        <is>
          <t>n.a.</t>
        </is>
      </c>
      <c r="V211" s="16" t="inlineStr">
        <is>
          <t>warn</t>
        </is>
      </c>
      <c r="W211" s="16" t="inlineStr">
        <is>
          <t>warn</t>
        </is>
      </c>
      <c r="X211" s="14" t="inlineStr">
        <is>
          <t>pass</t>
        </is>
      </c>
      <c r="Y211" s="18" t="inlineStr">
        <is>
          <t>fail</t>
        </is>
      </c>
      <c r="Z211" s="15" t="inlineStr">
        <is>
          <t>not_checked</t>
        </is>
      </c>
      <c r="AA211" s="15" t="inlineStr">
        <is>
          <t>not_checked</t>
        </is>
      </c>
      <c r="AB211" s="16" t="inlineStr">
        <is>
          <t>warn</t>
        </is>
      </c>
      <c r="AC211" s="15" t="inlineStr">
        <is>
          <t>not_checked</t>
        </is>
      </c>
      <c r="AD211" s="14" t="inlineStr">
        <is>
          <t>pass</t>
        </is>
      </c>
      <c r="AE211" s="14" t="inlineStr">
        <is>
          <t>pass</t>
        </is>
      </c>
      <c r="AF211" s="18" t="inlineStr">
        <is>
          <t>fail</t>
        </is>
      </c>
      <c r="AG211" s="15" t="inlineStr">
        <is>
          <t>not_checked</t>
        </is>
      </c>
      <c r="AH211" s="15" t="inlineStr">
        <is>
          <t>not_checked</t>
        </is>
      </c>
      <c r="AI211" s="15" t="inlineStr">
        <is>
          <t>n.a.</t>
        </is>
      </c>
      <c r="AJ211" s="15" t="inlineStr">
        <is>
          <t>n.a.</t>
        </is>
      </c>
      <c r="AK211" s="4" t="inlineStr">
        <is>
          <t>license;access;machine_metadata(warn);persistent_id(warn);cadence(warn)</t>
        </is>
      </c>
      <c r="AL211" s="17" t="inlineStr">
        <is>
          <t>https://www.deweydata.io/</t>
        </is>
      </c>
      <c r="AM211" s="4" t="inlineStr">
        <is>
          <t>us_dewey_safegraph_advan_poi</t>
        </is>
      </c>
    </row>
    <row r="212">
      <c r="A212" s="4" t="inlineStr">
        <is>
          <t>EnviroAtlas Community Data (block-group metrics for selected communities)</t>
        </is>
      </c>
      <c r="B212" s="19" t="inlineStr">
        <is>
          <t>Silver</t>
        </is>
      </c>
      <c r="C212" s="4" t="n">
        <v>94</v>
      </c>
      <c r="D212" s="4" t="inlineStr">
        <is>
          <t>built_environment</t>
        </is>
      </c>
      <c r="E212" s="4" t="inlineStr">
        <is>
          <t>healthy</t>
        </is>
      </c>
      <c r="F212" s="4" t="inlineStr">
        <is>
          <t>public_domain_us_federal</t>
        </is>
      </c>
      <c r="G212" s="4" t="inlineStr">
        <is>
          <t>block_group</t>
        </is>
      </c>
      <c r="H212" s="4" t="inlineStr">
        <is>
          <t>Joins today</t>
        </is>
      </c>
      <c r="I212" s="4" t="n">
        <v>3</v>
      </c>
      <c r="J212" s="4" t="inlineStr"/>
      <c r="K212" s="4" t="inlineStr">
        <is>
          <t>Curated</t>
        </is>
      </c>
      <c r="L212" s="4" t="n">
        <v>2023</v>
      </c>
      <c r="M212" s="4" t="inlineStr">
        <is>
          <t>open</t>
        </is>
      </c>
      <c r="N212" s="4" t="inlineStr">
        <is>
          <t>2026-10-29</t>
        </is>
      </c>
      <c r="O212" s="14" t="inlineStr">
        <is>
          <t>pass</t>
        </is>
      </c>
      <c r="P212" s="14" t="inlineStr">
        <is>
          <t>pass</t>
        </is>
      </c>
      <c r="Q212" s="14" t="inlineStr">
        <is>
          <t>pass</t>
        </is>
      </c>
      <c r="R212" s="14" t="inlineStr">
        <is>
          <t>pass</t>
        </is>
      </c>
      <c r="S212" s="14" t="inlineStr">
        <is>
          <t>pass</t>
        </is>
      </c>
      <c r="T212" s="14" t="inlineStr">
        <is>
          <t>pass</t>
        </is>
      </c>
      <c r="U212" s="16" t="inlineStr">
        <is>
          <t>warn</t>
        </is>
      </c>
      <c r="V212" s="16" t="inlineStr">
        <is>
          <t>warn</t>
        </is>
      </c>
      <c r="W212" s="16" t="inlineStr">
        <is>
          <t>warn</t>
        </is>
      </c>
      <c r="X212" s="14" t="inlineStr">
        <is>
          <t>pass</t>
        </is>
      </c>
      <c r="Y212" s="14" t="inlineStr">
        <is>
          <t>pass</t>
        </is>
      </c>
      <c r="Z212" s="16" t="inlineStr">
        <is>
          <t>warn</t>
        </is>
      </c>
      <c r="AA212" s="14" t="inlineStr">
        <is>
          <t>pass</t>
        </is>
      </c>
      <c r="AB212" s="15" t="inlineStr">
        <is>
          <t>not_checked</t>
        </is>
      </c>
      <c r="AC212" s="16" t="inlineStr">
        <is>
          <t>warn</t>
        </is>
      </c>
      <c r="AD212" s="14" t="inlineStr">
        <is>
          <t>pass</t>
        </is>
      </c>
      <c r="AE212" s="14" t="inlineStr">
        <is>
          <t>pass</t>
        </is>
      </c>
      <c r="AF212" s="14" t="inlineStr">
        <is>
          <t>pass</t>
        </is>
      </c>
      <c r="AG212" s="14" t="inlineStr">
        <is>
          <t>pass</t>
        </is>
      </c>
      <c r="AH212" s="14" t="inlineStr">
        <is>
          <t>pass</t>
        </is>
      </c>
      <c r="AI212" s="15" t="inlineStr">
        <is>
          <t>n.a.</t>
        </is>
      </c>
      <c r="AJ212" s="15" t="inlineStr">
        <is>
          <t>n.a.</t>
        </is>
      </c>
      <c r="AK212" s="4" t="inlineStr">
        <is>
          <t>format_match(warn);machine_metadata(warn);persistent_id(warn);temporal(warn);version(warn)</t>
        </is>
      </c>
      <c r="AL212" s="17" t="inlineStr">
        <is>
          <t>https://www.epa.gov/enviroatlas/data-download</t>
        </is>
      </c>
      <c r="AM212" s="4" t="inlineStr">
        <is>
          <t>us_epa_enviroatlas_community</t>
        </is>
      </c>
    </row>
    <row r="213">
      <c r="A213" s="4" t="inlineStr">
        <is>
          <t>Geolocated Health Facilities Data (GHFD) initiative</t>
        </is>
      </c>
      <c r="B213" s="20" t="inlineStr">
        <is>
          <t>Bronze</t>
        </is>
      </c>
      <c r="C213" s="4" t="n">
        <v>65</v>
      </c>
      <c r="D213" s="4" t="inlineStr">
        <is>
          <t>built_environment</t>
        </is>
      </c>
      <c r="E213" s="4" t="inlineStr">
        <is>
          <t>healthy</t>
        </is>
      </c>
      <c r="F213" s="4" t="inlineStr">
        <is>
          <t>unknown</t>
        </is>
      </c>
      <c r="G213" s="4" t="inlineStr">
        <is>
          <t>point</t>
        </is>
      </c>
      <c r="H213" s="4" t="inlineStr">
        <is>
          <t>Needs a count/distance step</t>
        </is>
      </c>
      <c r="I213" s="4" t="n">
        <v>3</v>
      </c>
      <c r="J213" s="4" t="inlineStr"/>
      <c r="K213" s="4" t="inlineStr">
        <is>
          <t>Curated</t>
        </is>
      </c>
      <c r="L213" s="4" t="n">
        <v>2027</v>
      </c>
      <c r="M213" s="4" t="inlineStr">
        <is>
          <t>restricted</t>
        </is>
      </c>
      <c r="N213" s="4" t="inlineStr">
        <is>
          <t>2026-10-22</t>
        </is>
      </c>
      <c r="O213" s="14" t="inlineStr">
        <is>
          <t>pass</t>
        </is>
      </c>
      <c r="P213" s="14" t="inlineStr">
        <is>
          <t>pass</t>
        </is>
      </c>
      <c r="Q213" s="14" t="inlineStr">
        <is>
          <t>pass</t>
        </is>
      </c>
      <c r="R213" s="14" t="inlineStr">
        <is>
          <t>pass</t>
        </is>
      </c>
      <c r="S213" s="14" t="inlineStr">
        <is>
          <t>pass</t>
        </is>
      </c>
      <c r="T213" s="15" t="inlineStr">
        <is>
          <t>n.a.</t>
        </is>
      </c>
      <c r="U213" s="15" t="inlineStr">
        <is>
          <t>n.a.</t>
        </is>
      </c>
      <c r="V213" s="16" t="inlineStr">
        <is>
          <t>warn</t>
        </is>
      </c>
      <c r="W213" s="16" t="inlineStr">
        <is>
          <t>warn</t>
        </is>
      </c>
      <c r="X213" s="14" t="inlineStr">
        <is>
          <t>pass</t>
        </is>
      </c>
      <c r="Y213" s="18" t="inlineStr">
        <is>
          <t>fail</t>
        </is>
      </c>
      <c r="Z213" s="16" t="inlineStr">
        <is>
          <t>warn</t>
        </is>
      </c>
      <c r="AA213" s="15" t="inlineStr">
        <is>
          <t>not_checked</t>
        </is>
      </c>
      <c r="AB213" s="16" t="inlineStr">
        <is>
          <t>warn</t>
        </is>
      </c>
      <c r="AC213" s="15" t="inlineStr">
        <is>
          <t>not_checked</t>
        </is>
      </c>
      <c r="AD213" s="14" t="inlineStr">
        <is>
          <t>pass</t>
        </is>
      </c>
      <c r="AE213" s="14" t="inlineStr">
        <is>
          <t>pass</t>
        </is>
      </c>
      <c r="AF213" s="18" t="inlineStr">
        <is>
          <t>fail</t>
        </is>
      </c>
      <c r="AG213" s="16" t="inlineStr">
        <is>
          <t>warn</t>
        </is>
      </c>
      <c r="AH213" s="18" t="inlineStr">
        <is>
          <t>fail</t>
        </is>
      </c>
      <c r="AI213" s="15" t="inlineStr">
        <is>
          <t>n.a.</t>
        </is>
      </c>
      <c r="AJ213" s="15" t="inlineStr">
        <is>
          <t>n.a.</t>
        </is>
      </c>
      <c r="AK213" s="4" t="inlineStr">
        <is>
          <t>license;access;format_gaia;machine_metadata(warn);persistent_id(warn);temporal(warn);cadence(warn);join_key(warn)</t>
        </is>
      </c>
      <c r="AL213" s="17" t="inlineStr">
        <is>
          <t>https://www.who.int/data/GIS/GHFD</t>
        </is>
      </c>
      <c r="AM213" s="4" t="inlineStr">
        <is>
          <t>global_who_ghfd_health_facilities</t>
        </is>
      </c>
    </row>
    <row r="214">
      <c r="A214" s="4" t="inlineStr">
        <is>
          <t>HIFLD Next (archived DHS HIFLD Open infrastructure layers)</t>
        </is>
      </c>
      <c r="B214" s="20" t="inlineStr">
        <is>
          <t>Bronze</t>
        </is>
      </c>
      <c r="C214" s="4" t="n">
        <v>69</v>
      </c>
      <c r="D214" s="4" t="inlineStr">
        <is>
          <t>built_environment</t>
        </is>
      </c>
      <c r="E214" s="4" t="inlineStr">
        <is>
          <t>degraded</t>
        </is>
      </c>
      <c r="F214" s="4" t="inlineStr">
        <is>
          <t>unknown</t>
        </is>
      </c>
      <c r="G214" s="4" t="inlineStr">
        <is>
          <t>point</t>
        </is>
      </c>
      <c r="H214" s="4" t="inlineStr">
        <is>
          <t>Needs a count/distance step</t>
        </is>
      </c>
      <c r="I214" s="4" t="n">
        <v>3</v>
      </c>
      <c r="J214" s="4" t="inlineStr"/>
      <c r="K214" s="4" t="inlineStr">
        <is>
          <t>Mirror</t>
        </is>
      </c>
      <c r="L214" s="4" t="inlineStr"/>
      <c r="M214" s="4" t="inlineStr">
        <is>
          <t>open</t>
        </is>
      </c>
      <c r="N214" s="4" t="inlineStr">
        <is>
          <t>2026-10-28</t>
        </is>
      </c>
      <c r="O214" s="14" t="inlineStr">
        <is>
          <t>pass</t>
        </is>
      </c>
      <c r="P214" s="14" t="inlineStr">
        <is>
          <t>pass</t>
        </is>
      </c>
      <c r="Q214" s="14" t="inlineStr">
        <is>
          <t>pass</t>
        </is>
      </c>
      <c r="R214" s="14" t="inlineStr">
        <is>
          <t>pass</t>
        </is>
      </c>
      <c r="S214" s="14" t="inlineStr">
        <is>
          <t>pass</t>
        </is>
      </c>
      <c r="T214" s="14" t="inlineStr">
        <is>
          <t>pass</t>
        </is>
      </c>
      <c r="U214" s="16" t="inlineStr">
        <is>
          <t>warn</t>
        </is>
      </c>
      <c r="V214" s="18" t="inlineStr">
        <is>
          <t>fail</t>
        </is>
      </c>
      <c r="W214" s="16" t="inlineStr">
        <is>
          <t>warn</t>
        </is>
      </c>
      <c r="X214" s="14" t="inlineStr">
        <is>
          <t>pass</t>
        </is>
      </c>
      <c r="Y214" s="18" t="inlineStr">
        <is>
          <t>fail</t>
        </is>
      </c>
      <c r="Z214" s="15" t="inlineStr">
        <is>
          <t>not_checked</t>
        </is>
      </c>
      <c r="AA214" s="15" t="inlineStr">
        <is>
          <t>not_checked</t>
        </is>
      </c>
      <c r="AB214" s="16" t="inlineStr">
        <is>
          <t>warn</t>
        </is>
      </c>
      <c r="AC214" s="16" t="inlineStr">
        <is>
          <t>warn</t>
        </is>
      </c>
      <c r="AD214" s="15" t="inlineStr">
        <is>
          <t>not_checked</t>
        </is>
      </c>
      <c r="AE214" s="15" t="inlineStr">
        <is>
          <t>not_checked</t>
        </is>
      </c>
      <c r="AF214" s="14" t="inlineStr">
        <is>
          <t>pass</t>
        </is>
      </c>
      <c r="AG214" s="16" t="inlineStr">
        <is>
          <t>warn</t>
        </is>
      </c>
      <c r="AH214" s="14" t="inlineStr">
        <is>
          <t>pass</t>
        </is>
      </c>
      <c r="AI214" s="15" t="inlineStr">
        <is>
          <t>n.a.</t>
        </is>
      </c>
      <c r="AJ214" s="15" t="inlineStr">
        <is>
          <t>n.a.</t>
        </is>
      </c>
      <c r="AK214" s="4" t="inlineStr">
        <is>
          <t>machine_metadata;license;format_match(warn);persistent_id(warn);cadence(warn);version(warn);join_key(warn)</t>
        </is>
      </c>
      <c r="AL214" s="17" t="inlineStr">
        <is>
          <t>https://hifld.publicenvirodata.org</t>
        </is>
      </c>
      <c r="AM214" s="4" t="inlineStr">
        <is>
          <t>us_hifld_next_pedp</t>
        </is>
      </c>
    </row>
    <row r="215">
      <c r="A215" s="4" t="inlineStr">
        <is>
          <t>HIFLD Open Natural Gas Interstate and Intrastate Pipelines (archived)</t>
        </is>
      </c>
      <c r="B215" s="20" t="inlineStr">
        <is>
          <t>Bronze</t>
        </is>
      </c>
      <c r="C215" s="4" t="n">
        <v>74</v>
      </c>
      <c r="D215" s="4" t="inlineStr">
        <is>
          <t>built_environment</t>
        </is>
      </c>
      <c r="E215" s="4" t="inlineStr">
        <is>
          <t>healthy</t>
        </is>
      </c>
      <c r="F215" s="4" t="inlineStr">
        <is>
          <t>unknown</t>
        </is>
      </c>
      <c r="G215" s="4" t="inlineStr">
        <is>
          <t>line</t>
        </is>
      </c>
      <c r="H215" s="4" t="inlineStr">
        <is>
          <t>Needs a count/distance step</t>
        </is>
      </c>
      <c r="I215" s="4" t="n">
        <v>3</v>
      </c>
      <c r="J215" s="4" t="inlineStr"/>
      <c r="K215" s="4" t="inlineStr">
        <is>
          <t>Curated</t>
        </is>
      </c>
      <c r="L215" s="4" t="n">
        <v>2020</v>
      </c>
      <c r="M215" s="4" t="inlineStr">
        <is>
          <t>open</t>
        </is>
      </c>
      <c r="N215" s="4" t="inlineStr">
        <is>
          <t>2026-10-22</t>
        </is>
      </c>
      <c r="O215" s="14" t="inlineStr">
        <is>
          <t>pass</t>
        </is>
      </c>
      <c r="P215" s="14" t="inlineStr">
        <is>
          <t>pass</t>
        </is>
      </c>
      <c r="Q215" s="14" t="inlineStr">
        <is>
          <t>pass</t>
        </is>
      </c>
      <c r="R215" s="14" t="inlineStr">
        <is>
          <t>pass</t>
        </is>
      </c>
      <c r="S215" s="14" t="inlineStr">
        <is>
          <t>pass</t>
        </is>
      </c>
      <c r="T215" s="16" t="inlineStr">
        <is>
          <t>warn</t>
        </is>
      </c>
      <c r="U215" s="15" t="inlineStr">
        <is>
          <t>n.a.</t>
        </is>
      </c>
      <c r="V215" s="14" t="inlineStr">
        <is>
          <t>pass</t>
        </is>
      </c>
      <c r="W215" s="16" t="inlineStr">
        <is>
          <t>warn</t>
        </is>
      </c>
      <c r="X215" s="14" t="inlineStr">
        <is>
          <t>pass</t>
        </is>
      </c>
      <c r="Y215" s="18" t="inlineStr">
        <is>
          <t>fail</t>
        </is>
      </c>
      <c r="Z215" s="16" t="inlineStr">
        <is>
          <t>warn</t>
        </is>
      </c>
      <c r="AA215" s="14" t="inlineStr">
        <is>
          <t>pass</t>
        </is>
      </c>
      <c r="AB215" s="15" t="inlineStr">
        <is>
          <t>not_checked</t>
        </is>
      </c>
      <c r="AC215" s="16" t="inlineStr">
        <is>
          <t>warn</t>
        </is>
      </c>
      <c r="AD215" s="14" t="inlineStr">
        <is>
          <t>pass</t>
        </is>
      </c>
      <c r="AE215" s="14" t="inlineStr">
        <is>
          <t>pass</t>
        </is>
      </c>
      <c r="AF215" s="16" t="inlineStr">
        <is>
          <t>warn</t>
        </is>
      </c>
      <c r="AG215" s="16" t="inlineStr">
        <is>
          <t>warn</t>
        </is>
      </c>
      <c r="AH215" s="15" t="inlineStr">
        <is>
          <t>not_checked</t>
        </is>
      </c>
      <c r="AI215" s="15" t="inlineStr">
        <is>
          <t>n.a.</t>
        </is>
      </c>
      <c r="AJ215" s="15" t="inlineStr">
        <is>
          <t>n.a.</t>
        </is>
      </c>
      <c r="AK215" s="4" t="inlineStr">
        <is>
          <t>license;access_url(warn);persistent_id(warn);temporal(warn);version(warn);access(warn);join_key(warn)</t>
        </is>
      </c>
      <c r="AL215" s="17" t="inlineStr">
        <is>
          <t>https://portal.datarescueproject.org/datasets/hifld-open-natural-gas-interstate-and-intrastate-pipelines/</t>
        </is>
      </c>
      <c r="AM215" s="4" t="inlineStr">
        <is>
          <t>us_hifld_open_natural_gas_pipelines</t>
        </is>
      </c>
    </row>
    <row r="216">
      <c r="A216" s="4" t="inlineStr">
        <is>
          <t>HIFLD Open Power Plants (archived)</t>
        </is>
      </c>
      <c r="B216" s="20" t="inlineStr">
        <is>
          <t>Bronze</t>
        </is>
      </c>
      <c r="C216" s="4" t="n">
        <v>79</v>
      </c>
      <c r="D216" s="4" t="inlineStr">
        <is>
          <t>built_environment</t>
        </is>
      </c>
      <c r="E216" s="4" t="inlineStr">
        <is>
          <t>healthy</t>
        </is>
      </c>
      <c r="F216" s="4" t="inlineStr">
        <is>
          <t>unknown</t>
        </is>
      </c>
      <c r="G216" s="4" t="inlineStr">
        <is>
          <t>point</t>
        </is>
      </c>
      <c r="H216" s="4" t="inlineStr">
        <is>
          <t>Needs a count/distance step</t>
        </is>
      </c>
      <c r="I216" s="4" t="n">
        <v>3</v>
      </c>
      <c r="J216" s="4" t="inlineStr"/>
      <c r="K216" s="4" t="inlineStr">
        <is>
          <t>Curated</t>
        </is>
      </c>
      <c r="L216" s="4" t="n">
        <v>2025</v>
      </c>
      <c r="M216" s="4" t="inlineStr">
        <is>
          <t>open</t>
        </is>
      </c>
      <c r="N216" s="4" t="inlineStr">
        <is>
          <t>2026-10-22</t>
        </is>
      </c>
      <c r="O216" s="14" t="inlineStr">
        <is>
          <t>pass</t>
        </is>
      </c>
      <c r="P216" s="14" t="inlineStr">
        <is>
          <t>pass</t>
        </is>
      </c>
      <c r="Q216" s="14" t="inlineStr">
        <is>
          <t>pass</t>
        </is>
      </c>
      <c r="R216" s="14" t="inlineStr">
        <is>
          <t>pass</t>
        </is>
      </c>
      <c r="S216" s="14" t="inlineStr">
        <is>
          <t>pass</t>
        </is>
      </c>
      <c r="T216" s="16" t="inlineStr">
        <is>
          <t>warn</t>
        </is>
      </c>
      <c r="U216" s="15" t="inlineStr">
        <is>
          <t>n.a.</t>
        </is>
      </c>
      <c r="V216" s="14" t="inlineStr">
        <is>
          <t>pass</t>
        </is>
      </c>
      <c r="W216" s="16" t="inlineStr">
        <is>
          <t>warn</t>
        </is>
      </c>
      <c r="X216" s="18" t="inlineStr">
        <is>
          <t>fail</t>
        </is>
      </c>
      <c r="Y216" s="18" t="inlineStr">
        <is>
          <t>fail</t>
        </is>
      </c>
      <c r="Z216" s="15" t="inlineStr">
        <is>
          <t>not_checked</t>
        </is>
      </c>
      <c r="AA216" s="15" t="inlineStr">
        <is>
          <t>not_checked</t>
        </is>
      </c>
      <c r="AB216" s="15" t="inlineStr">
        <is>
          <t>not_checked</t>
        </is>
      </c>
      <c r="AC216" s="16" t="inlineStr">
        <is>
          <t>warn</t>
        </is>
      </c>
      <c r="AD216" s="14" t="inlineStr">
        <is>
          <t>pass</t>
        </is>
      </c>
      <c r="AE216" s="15" t="inlineStr">
        <is>
          <t>not_checked</t>
        </is>
      </c>
      <c r="AF216" s="16" t="inlineStr">
        <is>
          <t>warn</t>
        </is>
      </c>
      <c r="AG216" s="14" t="inlineStr">
        <is>
          <t>pass</t>
        </is>
      </c>
      <c r="AH216" s="14" t="inlineStr">
        <is>
          <t>pass</t>
        </is>
      </c>
      <c r="AI216" s="15" t="inlineStr">
        <is>
          <t>n.a.</t>
        </is>
      </c>
      <c r="AJ216" s="15" t="inlineStr">
        <is>
          <t>n.a.</t>
        </is>
      </c>
      <c r="AK216" s="4" t="inlineStr">
        <is>
          <t>archived;license;access_url(warn);persistent_id(warn);version(warn);access(warn)</t>
        </is>
      </c>
      <c r="AL216" s="17" t="inlineStr">
        <is>
          <t>https://portal.datarescueproject.org/datasets/hifld-open-power-plants/</t>
        </is>
      </c>
      <c r="AM216" s="4" t="inlineStr">
        <is>
          <t>us_hifld_open_power_plants</t>
        </is>
      </c>
    </row>
    <row r="217">
      <c r="A217" s="4" t="inlineStr">
        <is>
          <t>Indicators of Broadband Need map</t>
        </is>
      </c>
      <c r="B217" s="19" t="inlineStr">
        <is>
          <t>Silver</t>
        </is>
      </c>
      <c r="C217" s="4" t="n">
        <v>86</v>
      </c>
      <c r="D217" s="4" t="inlineStr">
        <is>
          <t>built_environment</t>
        </is>
      </c>
      <c r="E217" s="4" t="inlineStr">
        <is>
          <t>degraded</t>
        </is>
      </c>
      <c r="F217" s="4" t="inlineStr">
        <is>
          <t>public_domain_us_federal</t>
        </is>
      </c>
      <c r="G217" s="4" t="inlineStr">
        <is>
          <t>block</t>
        </is>
      </c>
      <c r="H217" s="4" t="inlineStr">
        <is>
          <t>Joins today</t>
        </is>
      </c>
      <c r="I217" s="4" t="n">
        <v>3</v>
      </c>
      <c r="J217" s="4" t="inlineStr"/>
      <c r="K217" s="4" t="inlineStr">
        <is>
          <t>Curated</t>
        </is>
      </c>
      <c r="L217" s="4" t="n">
        <v>2021</v>
      </c>
      <c r="M217" s="4" t="inlineStr">
        <is>
          <t>unknown</t>
        </is>
      </c>
      <c r="N217" s="4" t="inlineStr">
        <is>
          <t>2026-10-29</t>
        </is>
      </c>
      <c r="O217" s="14" t="inlineStr">
        <is>
          <t>pass</t>
        </is>
      </c>
      <c r="P217" s="14" t="inlineStr">
        <is>
          <t>pass</t>
        </is>
      </c>
      <c r="Q217" s="14" t="inlineStr">
        <is>
          <t>pass</t>
        </is>
      </c>
      <c r="R217" s="14" t="inlineStr">
        <is>
          <t>pass</t>
        </is>
      </c>
      <c r="S217" s="14" t="inlineStr">
        <is>
          <t>pass</t>
        </is>
      </c>
      <c r="T217" s="14" t="inlineStr">
        <is>
          <t>pass</t>
        </is>
      </c>
      <c r="U217" s="18" t="inlineStr">
        <is>
          <t>fail</t>
        </is>
      </c>
      <c r="V217" s="18" t="inlineStr">
        <is>
          <t>fail</t>
        </is>
      </c>
      <c r="W217" s="16" t="inlineStr">
        <is>
          <t>warn</t>
        </is>
      </c>
      <c r="X217" s="14" t="inlineStr">
        <is>
          <t>pass</t>
        </is>
      </c>
      <c r="Y217" s="14" t="inlineStr">
        <is>
          <t>pass</t>
        </is>
      </c>
      <c r="Z217" s="16" t="inlineStr">
        <is>
          <t>warn</t>
        </is>
      </c>
      <c r="AA217" s="14" t="inlineStr">
        <is>
          <t>pass</t>
        </is>
      </c>
      <c r="AB217" s="15" t="inlineStr">
        <is>
          <t>not_checked</t>
        </is>
      </c>
      <c r="AC217" s="16" t="inlineStr">
        <is>
          <t>warn</t>
        </is>
      </c>
      <c r="AD217" s="14" t="inlineStr">
        <is>
          <t>pass</t>
        </is>
      </c>
      <c r="AE217" s="16" t="inlineStr">
        <is>
          <t>warn</t>
        </is>
      </c>
      <c r="AF217" s="16" t="inlineStr">
        <is>
          <t>warn</t>
        </is>
      </c>
      <c r="AG217" s="15" t="inlineStr">
        <is>
          <t>not_checked</t>
        </is>
      </c>
      <c r="AH217" s="16" t="inlineStr">
        <is>
          <t>warn</t>
        </is>
      </c>
      <c r="AI217" s="15" t="inlineStr">
        <is>
          <t>n.a.</t>
        </is>
      </c>
      <c r="AJ217" s="15" t="inlineStr">
        <is>
          <t>n.a.</t>
        </is>
      </c>
      <c r="AK217" s="4" t="inlineStr">
        <is>
          <t>format_match;machine_metadata;persistent_id(warn);temporal(warn);version(warn);coverage(warn);access(warn);format_gaia(warn)</t>
        </is>
      </c>
      <c r="AL217" s="17" t="inlineStr">
        <is>
          <t>https://broadbandusa.ntia.gov/node/7522</t>
        </is>
      </c>
      <c r="AM217" s="4" t="inlineStr">
        <is>
          <t>us_ntia_indicators_broadband_need</t>
        </is>
      </c>
    </row>
    <row r="218">
      <c r="A218" s="4" t="inlineStr">
        <is>
          <t>VIIRS/NPP Lunar BRDF-Adjusted Nighttime Lights Yearly L3 Global 15 arc second (VNP46A4)</t>
        </is>
      </c>
      <c r="B218" s="19" t="inlineStr">
        <is>
          <t>Silver</t>
        </is>
      </c>
      <c r="C218" s="4" t="n">
        <v>87</v>
      </c>
      <c r="D218" s="4" t="inlineStr">
        <is>
          <t>built_environment</t>
        </is>
      </c>
      <c r="E218" s="4" t="inlineStr">
        <is>
          <t>degraded</t>
        </is>
      </c>
      <c r="F218" s="4" t="inlineStr">
        <is>
          <t>public_domain_us_federal</t>
        </is>
      </c>
      <c r="G218" s="4" t="inlineStr">
        <is>
          <t>grid_15arcsec</t>
        </is>
      </c>
      <c r="H218" s="4" t="inlineStr">
        <is>
          <t>Needs raster support</t>
        </is>
      </c>
      <c r="I218" s="4" t="n">
        <v>3</v>
      </c>
      <c r="J218" s="4" t="inlineStr">
        <is>
          <t>egom_2012_viirs_vnp46a4;egom_2013_viirs_vnp46a4;egom_2014_viirs_vnp46a4;egom_2015_viirs_vnp46a4;egom_2016_viirs_vnp46a4;egom_2017_viirs_vnp46a4;egom_2018_viirs_vnp46a4;egom_2019_viirs_vnp46a4;egom_2020_viirs_vnp46a4;egom_2021_viirs_vnp46a4;egom_2022_viirs_vnp46a4;egom_2023_viirs_vnp46a4;egom_2024_viirs_vnp46a4;mdc_2012_viirs_vnp46a4;mdc_2013_viirs_vnp46a4;mdc_2014_viirs_vnp46a4;mdc_2015_viirs_vnp46a4;mdc_2016_viirs_vnp46a4;mdc_2017_viirs_vnp46a4;mdc_2018_viirs_vnp46a4;mdc_2019_viirs_vnp46a4;mdc_2020_viirs_vnp46a4;mdc_2023_viirs_vnp46a4</t>
        </is>
      </c>
      <c r="K218" s="4" t="inlineStr">
        <is>
          <t>Curated</t>
        </is>
      </c>
      <c r="L218" s="4" t="n">
        <v>2023</v>
      </c>
      <c r="M218" s="4" t="inlineStr">
        <is>
          <t>registration</t>
        </is>
      </c>
      <c r="N218" s="4" t="inlineStr">
        <is>
          <t>2026-10-29</t>
        </is>
      </c>
      <c r="O218" s="14" t="inlineStr">
        <is>
          <t>pass</t>
        </is>
      </c>
      <c r="P218" s="14" t="inlineStr">
        <is>
          <t>pass</t>
        </is>
      </c>
      <c r="Q218" s="14" t="inlineStr">
        <is>
          <t>pass</t>
        </is>
      </c>
      <c r="R218" s="14" t="inlineStr">
        <is>
          <t>pass</t>
        </is>
      </c>
      <c r="S218" s="14" t="inlineStr">
        <is>
          <t>pass</t>
        </is>
      </c>
      <c r="T218" s="14" t="inlineStr">
        <is>
          <t>pass</t>
        </is>
      </c>
      <c r="U218" s="16" t="inlineStr">
        <is>
          <t>warn</t>
        </is>
      </c>
      <c r="V218" s="18" t="inlineStr">
        <is>
          <t>fail</t>
        </is>
      </c>
      <c r="W218" s="14" t="inlineStr">
        <is>
          <t>pass</t>
        </is>
      </c>
      <c r="X218" s="14" t="inlineStr">
        <is>
          <t>pass</t>
        </is>
      </c>
      <c r="Y218" s="14" t="inlineStr">
        <is>
          <t>pass</t>
        </is>
      </c>
      <c r="Z218" s="16" t="inlineStr">
        <is>
          <t>warn</t>
        </is>
      </c>
      <c r="AA218" s="15" t="inlineStr">
        <is>
          <t>not_checked</t>
        </is>
      </c>
      <c r="AB218" s="16" t="inlineStr">
        <is>
          <t>warn</t>
        </is>
      </c>
      <c r="AC218" s="14" t="inlineStr">
        <is>
          <t>pass</t>
        </is>
      </c>
      <c r="AD218" s="14" t="inlineStr">
        <is>
          <t>pass</t>
        </is>
      </c>
      <c r="AE218" s="14" t="inlineStr">
        <is>
          <t>pass</t>
        </is>
      </c>
      <c r="AF218" s="16" t="inlineStr">
        <is>
          <t>warn</t>
        </is>
      </c>
      <c r="AG218" s="14" t="inlineStr">
        <is>
          <t>pass</t>
        </is>
      </c>
      <c r="AH218" s="18" t="inlineStr">
        <is>
          <t>fail</t>
        </is>
      </c>
      <c r="AI218" s="14" t="inlineStr">
        <is>
          <t>pass</t>
        </is>
      </c>
      <c r="AJ218" s="15" t="inlineStr">
        <is>
          <t>not_checked</t>
        </is>
      </c>
      <c r="AK218" s="4" t="inlineStr">
        <is>
          <t>machine_metadata;format_gaia;format_match(warn);temporal(warn);cadence(warn);access(warn)</t>
        </is>
      </c>
      <c r="AL218" s="17" t="inlineStr">
        <is>
          <t>https://ladsweb.modaps.eosdis.nasa.gov/missions-and-measurements/products/VNP46A4/</t>
        </is>
      </c>
      <c r="AM218" s="4" t="inlineStr">
        <is>
          <t>global_nasa_viirs_vnp46a4</t>
        </is>
      </c>
    </row>
    <row r="219">
      <c r="A219" s="4" t="inlineStr">
        <is>
          <t>2015 Street Tree Census - Tree Data (TreesCount!)</t>
        </is>
      </c>
      <c r="B219" s="20" t="inlineStr">
        <is>
          <t>Bronze</t>
        </is>
      </c>
      <c r="C219" s="4" t="n">
        <v>83</v>
      </c>
      <c r="D219" s="4" t="inlineStr">
        <is>
          <t>built_environment</t>
        </is>
      </c>
      <c r="E219" s="4" t="inlineStr">
        <is>
          <t>healthy</t>
        </is>
      </c>
      <c r="F219" s="4" t="inlineStr">
        <is>
          <t>unknown</t>
        </is>
      </c>
      <c r="G219" s="4" t="inlineStr">
        <is>
          <t>point</t>
        </is>
      </c>
      <c r="H219" s="4" t="inlineStr">
        <is>
          <t>Needs a count/distance step</t>
        </is>
      </c>
      <c r="I219" s="4" t="n">
        <v>2</v>
      </c>
      <c r="J219" s="4" t="inlineStr"/>
      <c r="K219" s="4" t="inlineStr">
        <is>
          <t>Curated</t>
        </is>
      </c>
      <c r="L219" s="4" t="n">
        <v>2016</v>
      </c>
      <c r="M219" s="4" t="inlineStr">
        <is>
          <t>open</t>
        </is>
      </c>
      <c r="N219" s="4" t="inlineStr">
        <is>
          <t>2026-10-28</t>
        </is>
      </c>
      <c r="O219" s="14" t="inlineStr">
        <is>
          <t>pass</t>
        </is>
      </c>
      <c r="P219" s="14" t="inlineStr">
        <is>
          <t>pass</t>
        </is>
      </c>
      <c r="Q219" s="14" t="inlineStr">
        <is>
          <t>pass</t>
        </is>
      </c>
      <c r="R219" s="14" t="inlineStr">
        <is>
          <t>pass</t>
        </is>
      </c>
      <c r="S219" s="14" t="inlineStr">
        <is>
          <t>pass</t>
        </is>
      </c>
      <c r="T219" s="14" t="inlineStr">
        <is>
          <t>pass</t>
        </is>
      </c>
      <c r="U219" s="16" t="inlineStr">
        <is>
          <t>warn</t>
        </is>
      </c>
      <c r="V219" s="14" t="inlineStr">
        <is>
          <t>pass</t>
        </is>
      </c>
      <c r="W219" s="16" t="inlineStr">
        <is>
          <t>warn</t>
        </is>
      </c>
      <c r="X219" s="14" t="inlineStr">
        <is>
          <t>pass</t>
        </is>
      </c>
      <c r="Y219" s="18" t="inlineStr">
        <is>
          <t>fail</t>
        </is>
      </c>
      <c r="Z219" s="14" t="inlineStr">
        <is>
          <t>pass</t>
        </is>
      </c>
      <c r="AA219" s="16" t="inlineStr">
        <is>
          <t>warn</t>
        </is>
      </c>
      <c r="AB219" s="16" t="inlineStr">
        <is>
          <t>warn</t>
        </is>
      </c>
      <c r="AC219" s="16" t="inlineStr">
        <is>
          <t>warn</t>
        </is>
      </c>
      <c r="AD219" s="14" t="inlineStr">
        <is>
          <t>pass</t>
        </is>
      </c>
      <c r="AE219" s="14" t="inlineStr">
        <is>
          <t>pass</t>
        </is>
      </c>
      <c r="AF219" s="14" t="inlineStr">
        <is>
          <t>pass</t>
        </is>
      </c>
      <c r="AG219" s="14" t="inlineStr">
        <is>
          <t>pass</t>
        </is>
      </c>
      <c r="AH219" s="14" t="inlineStr">
        <is>
          <t>pass</t>
        </is>
      </c>
      <c r="AI219" s="15" t="inlineStr">
        <is>
          <t>n.a.</t>
        </is>
      </c>
      <c r="AJ219" s="15" t="inlineStr">
        <is>
          <t>n.a.</t>
        </is>
      </c>
      <c r="AK219" s="4" t="inlineStr">
        <is>
          <t>license;format_match(warn);persistent_id(warn);recency(warn);cadence(warn);version(warn)</t>
        </is>
      </c>
      <c r="AL219" s="17" t="inlineStr">
        <is>
          <t>https://catalog.data.gov/dataset/2015-street-tree-census-tree-data</t>
        </is>
      </c>
      <c r="AM219" s="4" t="inlineStr">
        <is>
          <t>us_nyc_street_tree_census_2015</t>
        </is>
      </c>
    </row>
    <row r="220">
      <c r="A220" s="4" t="inlineStr">
        <is>
          <t>C-CAP Regional Land Cover and Change</t>
        </is>
      </c>
      <c r="B220" s="13" t="inlineStr">
        <is>
          <t>Gold</t>
        </is>
      </c>
      <c r="C220" s="4" t="n">
        <v>93</v>
      </c>
      <c r="D220" s="4" t="inlineStr">
        <is>
          <t>built_environment</t>
        </is>
      </c>
      <c r="E220" s="4" t="inlineStr">
        <is>
          <t>healthy</t>
        </is>
      </c>
      <c r="F220" s="4" t="inlineStr">
        <is>
          <t>public_domain_us_federal</t>
        </is>
      </c>
      <c r="G220" s="4" t="inlineStr">
        <is>
          <t>grid_30m</t>
        </is>
      </c>
      <c r="H220" s="4" t="inlineStr">
        <is>
          <t>Needs raster support</t>
        </is>
      </c>
      <c r="I220" s="4" t="n">
        <v>2</v>
      </c>
      <c r="J220" s="4" t="inlineStr"/>
      <c r="K220" s="4" t="inlineStr">
        <is>
          <t>Curated</t>
        </is>
      </c>
      <c r="L220" s="4" t="n">
        <v>2021</v>
      </c>
      <c r="M220" s="4" t="inlineStr">
        <is>
          <t>open</t>
        </is>
      </c>
      <c r="N220" s="4" t="inlineStr">
        <is>
          <t>2026-10-29</t>
        </is>
      </c>
      <c r="O220" s="14" t="inlineStr">
        <is>
          <t>pass</t>
        </is>
      </c>
      <c r="P220" s="14" t="inlineStr">
        <is>
          <t>pass</t>
        </is>
      </c>
      <c r="Q220" s="14" t="inlineStr">
        <is>
          <t>pass</t>
        </is>
      </c>
      <c r="R220" s="14" t="inlineStr">
        <is>
          <t>pass</t>
        </is>
      </c>
      <c r="S220" s="14" t="inlineStr">
        <is>
          <t>pass</t>
        </is>
      </c>
      <c r="T220" s="14" t="inlineStr">
        <is>
          <t>pass</t>
        </is>
      </c>
      <c r="U220" s="14" t="inlineStr">
        <is>
          <t>pass</t>
        </is>
      </c>
      <c r="V220" s="16" t="inlineStr">
        <is>
          <t>warn</t>
        </is>
      </c>
      <c r="W220" s="16" t="inlineStr">
        <is>
          <t>warn</t>
        </is>
      </c>
      <c r="X220" s="14" t="inlineStr">
        <is>
          <t>pass</t>
        </is>
      </c>
      <c r="Y220" s="14" t="inlineStr">
        <is>
          <t>pass</t>
        </is>
      </c>
      <c r="Z220" s="14" t="inlineStr">
        <is>
          <t>pass</t>
        </is>
      </c>
      <c r="AA220" s="14" t="inlineStr">
        <is>
          <t>pass</t>
        </is>
      </c>
      <c r="AB220" s="14" t="inlineStr">
        <is>
          <t>pass</t>
        </is>
      </c>
      <c r="AC220" s="16" t="inlineStr">
        <is>
          <t>warn</t>
        </is>
      </c>
      <c r="AD220" s="14" t="inlineStr">
        <is>
          <t>pass</t>
        </is>
      </c>
      <c r="AE220" s="14" t="inlineStr">
        <is>
          <t>pass</t>
        </is>
      </c>
      <c r="AF220" s="14" t="inlineStr">
        <is>
          <t>pass</t>
        </is>
      </c>
      <c r="AG220" s="16" t="inlineStr">
        <is>
          <t>warn</t>
        </is>
      </c>
      <c r="AH220" s="16" t="inlineStr">
        <is>
          <t>warn</t>
        </is>
      </c>
      <c r="AI220" s="15" t="inlineStr">
        <is>
          <t>n.a.</t>
        </is>
      </c>
      <c r="AJ220" s="15" t="inlineStr">
        <is>
          <t>n.a.</t>
        </is>
      </c>
      <c r="AK220" s="4" t="inlineStr">
        <is>
          <t>machine_metadata(warn);persistent_id(warn);version(warn);join_key(warn);format_gaia(warn)</t>
        </is>
      </c>
      <c r="AL220" s="17" t="inlineStr">
        <is>
          <t>https://coast.noaa.gov/digitalcoast/data/ccapregional.html</t>
        </is>
      </c>
      <c r="AM220" s="4" t="inlineStr">
        <is>
          <t>us_noaa_ccap_land_cover</t>
        </is>
      </c>
    </row>
    <row r="221">
      <c r="A221" s="4" t="inlineStr">
        <is>
          <t>Cotality (formerly CoreLogic) property and parcel data</t>
        </is>
      </c>
      <c r="B221" s="20" t="inlineStr">
        <is>
          <t>Bronze</t>
        </is>
      </c>
      <c r="C221" s="4" t="n">
        <v>60</v>
      </c>
      <c r="D221" s="4" t="inlineStr">
        <is>
          <t>built_environment</t>
        </is>
      </c>
      <c r="E221" s="4" t="inlineStr">
        <is>
          <t>healthy</t>
        </is>
      </c>
      <c r="F221" s="4" t="inlineStr">
        <is>
          <t>unknown</t>
        </is>
      </c>
      <c r="G221" s="4" t="inlineStr">
        <is>
          <t>point</t>
        </is>
      </c>
      <c r="H221" s="4" t="inlineStr">
        <is>
          <t>Needs a count/distance step</t>
        </is>
      </c>
      <c r="I221" s="4" t="n">
        <v>2</v>
      </c>
      <c r="J221" s="4" t="inlineStr"/>
      <c r="K221" s="4" t="inlineStr">
        <is>
          <t>Curated</t>
        </is>
      </c>
      <c r="L221" s="4" t="inlineStr"/>
      <c r="M221" s="4" t="inlineStr">
        <is>
          <t>restricted</t>
        </is>
      </c>
      <c r="N221" s="4" t="inlineStr">
        <is>
          <t>2026-10-28</t>
        </is>
      </c>
      <c r="O221" s="14" t="inlineStr">
        <is>
          <t>pass</t>
        </is>
      </c>
      <c r="P221" s="14" t="inlineStr">
        <is>
          <t>pass</t>
        </is>
      </c>
      <c r="Q221" s="14" t="inlineStr">
        <is>
          <t>pass</t>
        </is>
      </c>
      <c r="R221" s="14" t="inlineStr">
        <is>
          <t>pass</t>
        </is>
      </c>
      <c r="S221" s="14" t="inlineStr">
        <is>
          <t>pass</t>
        </is>
      </c>
      <c r="T221" s="14" t="inlineStr">
        <is>
          <t>pass</t>
        </is>
      </c>
      <c r="U221" s="16" t="inlineStr">
        <is>
          <t>warn</t>
        </is>
      </c>
      <c r="V221" s="16" t="inlineStr">
        <is>
          <t>warn</t>
        </is>
      </c>
      <c r="W221" s="16" t="inlineStr">
        <is>
          <t>warn</t>
        </is>
      </c>
      <c r="X221" s="18" t="inlineStr">
        <is>
          <t>fail</t>
        </is>
      </c>
      <c r="Y221" s="18" t="inlineStr">
        <is>
          <t>fail</t>
        </is>
      </c>
      <c r="Z221" s="16" t="inlineStr">
        <is>
          <t>warn</t>
        </is>
      </c>
      <c r="AA221" s="15" t="inlineStr">
        <is>
          <t>not_checked</t>
        </is>
      </c>
      <c r="AB221" s="15" t="inlineStr">
        <is>
          <t>not_checked</t>
        </is>
      </c>
      <c r="AC221" s="15" t="inlineStr">
        <is>
          <t>not_checked</t>
        </is>
      </c>
      <c r="AD221" s="15" t="inlineStr">
        <is>
          <t>not_checked</t>
        </is>
      </c>
      <c r="AE221" s="14" t="inlineStr">
        <is>
          <t>pass</t>
        </is>
      </c>
      <c r="AF221" s="18" t="inlineStr">
        <is>
          <t>fail</t>
        </is>
      </c>
      <c r="AG221" s="15" t="inlineStr">
        <is>
          <t>not_checked</t>
        </is>
      </c>
      <c r="AH221" s="15" t="inlineStr">
        <is>
          <t>not_checked</t>
        </is>
      </c>
      <c r="AI221" s="15" t="inlineStr">
        <is>
          <t>n.a.</t>
        </is>
      </c>
      <c r="AJ221" s="15" t="inlineStr">
        <is>
          <t>n.a.</t>
        </is>
      </c>
      <c r="AK221" s="4" t="inlineStr">
        <is>
          <t>archived;license;access;format_match(warn);machine_metadata(warn);persistent_id(warn);temporal(warn)</t>
        </is>
      </c>
      <c r="AL221" s="17" t="inlineStr">
        <is>
          <t>https://www.cotality.com/resources/cotality-property-data-for-academic-research</t>
        </is>
      </c>
      <c r="AM221" s="4" t="inlineStr">
        <is>
          <t>us_cotality_corelogic_property_data</t>
        </is>
      </c>
    </row>
    <row r="222">
      <c r="A222" s="4" t="inlineStr">
        <is>
          <t>County Business Patterns</t>
        </is>
      </c>
      <c r="B222" s="13" t="inlineStr">
        <is>
          <t>Gold</t>
        </is>
      </c>
      <c r="C222" s="4" t="n">
        <v>93</v>
      </c>
      <c r="D222" s="4" t="inlineStr">
        <is>
          <t>built_environment</t>
        </is>
      </c>
      <c r="E222" s="4" t="inlineStr">
        <is>
          <t>healthy</t>
        </is>
      </c>
      <c r="F222" s="4" t="inlineStr">
        <is>
          <t>public_domain_us_federal</t>
        </is>
      </c>
      <c r="G222" s="4" t="inlineStr">
        <is>
          <t>zip</t>
        </is>
      </c>
      <c r="H222" s="4" t="inlineStr">
        <is>
          <t>Joins today</t>
        </is>
      </c>
      <c r="I222" s="4" t="n">
        <v>2</v>
      </c>
      <c r="J222" s="4" t="inlineStr"/>
      <c r="K222" s="4" t="inlineStr">
        <is>
          <t>Curated</t>
        </is>
      </c>
      <c r="L222" s="4" t="n">
        <v>2023</v>
      </c>
      <c r="M222" s="4" t="inlineStr">
        <is>
          <t>open</t>
        </is>
      </c>
      <c r="N222" s="4" t="inlineStr">
        <is>
          <t>2026-10-29</t>
        </is>
      </c>
      <c r="O222" s="14" t="inlineStr">
        <is>
          <t>pass</t>
        </is>
      </c>
      <c r="P222" s="14" t="inlineStr">
        <is>
          <t>pass</t>
        </is>
      </c>
      <c r="Q222" s="14" t="inlineStr">
        <is>
          <t>pass</t>
        </is>
      </c>
      <c r="R222" s="14" t="inlineStr">
        <is>
          <t>pass</t>
        </is>
      </c>
      <c r="S222" s="14" t="inlineStr">
        <is>
          <t>pass</t>
        </is>
      </c>
      <c r="T222" s="14" t="inlineStr">
        <is>
          <t>pass</t>
        </is>
      </c>
      <c r="U222" s="14" t="inlineStr">
        <is>
          <t>pass</t>
        </is>
      </c>
      <c r="V222" s="16" t="inlineStr">
        <is>
          <t>warn</t>
        </is>
      </c>
      <c r="W222" s="16" t="inlineStr">
        <is>
          <t>warn</t>
        </is>
      </c>
      <c r="X222" s="14" t="inlineStr">
        <is>
          <t>pass</t>
        </is>
      </c>
      <c r="Y222" s="14" t="inlineStr">
        <is>
          <t>pass</t>
        </is>
      </c>
      <c r="Z222" s="14" t="inlineStr">
        <is>
          <t>pass</t>
        </is>
      </c>
      <c r="AA222" s="14" t="inlineStr">
        <is>
          <t>pass</t>
        </is>
      </c>
      <c r="AB222" s="14" t="inlineStr">
        <is>
          <t>pass</t>
        </is>
      </c>
      <c r="AC222" s="14" t="inlineStr">
        <is>
          <t>pass</t>
        </is>
      </c>
      <c r="AD222" s="14" t="inlineStr">
        <is>
          <t>pass</t>
        </is>
      </c>
      <c r="AE222" s="14" t="inlineStr">
        <is>
          <t>pass</t>
        </is>
      </c>
      <c r="AF222" s="14" t="inlineStr">
        <is>
          <t>pass</t>
        </is>
      </c>
      <c r="AG222" s="16" t="inlineStr">
        <is>
          <t>warn</t>
        </is>
      </c>
      <c r="AH222" s="14" t="inlineStr">
        <is>
          <t>pass</t>
        </is>
      </c>
      <c r="AI222" s="15" t="inlineStr">
        <is>
          <t>n.a.</t>
        </is>
      </c>
      <c r="AJ222" s="15" t="inlineStr">
        <is>
          <t>n.a.</t>
        </is>
      </c>
      <c r="AK222" s="4" t="inlineStr">
        <is>
          <t>machine_metadata(warn);persistent_id(warn);join_key(warn)</t>
        </is>
      </c>
      <c r="AL222" s="17" t="inlineStr">
        <is>
          <t>https://www.census.gov/programs-surveys/cbp.html</t>
        </is>
      </c>
      <c r="AM222" s="4" t="inlineStr">
        <is>
          <t>us_census_cbp</t>
        </is>
      </c>
    </row>
    <row r="223">
      <c r="A223" s="4" t="inlineStr">
        <is>
          <t>Directorio Estadistico Nacional de Unidades Economicas (DENUE)</t>
        </is>
      </c>
      <c r="B223" s="20" t="inlineStr">
        <is>
          <t>Bronze</t>
        </is>
      </c>
      <c r="C223" s="4" t="n">
        <v>76</v>
      </c>
      <c r="D223" s="4" t="inlineStr">
        <is>
          <t>built_environment</t>
        </is>
      </c>
      <c r="E223" s="4" t="inlineStr">
        <is>
          <t>healthy</t>
        </is>
      </c>
      <c r="F223" s="4" t="inlineStr">
        <is>
          <t>unknown</t>
        </is>
      </c>
      <c r="G223" s="4" t="inlineStr">
        <is>
          <t>point</t>
        </is>
      </c>
      <c r="H223" s="4" t="inlineStr">
        <is>
          <t>Needs a count/distance step</t>
        </is>
      </c>
      <c r="I223" s="4" t="n">
        <v>2</v>
      </c>
      <c r="J223" s="4" t="inlineStr"/>
      <c r="K223" s="4" t="inlineStr">
        <is>
          <t>Curated</t>
        </is>
      </c>
      <c r="L223" s="4" t="n">
        <v>2024</v>
      </c>
      <c r="M223" s="4" t="inlineStr">
        <is>
          <t>open</t>
        </is>
      </c>
      <c r="N223" s="4" t="inlineStr">
        <is>
          <t>2026-10-28</t>
        </is>
      </c>
      <c r="O223" s="14" t="inlineStr">
        <is>
          <t>pass</t>
        </is>
      </c>
      <c r="P223" s="14" t="inlineStr">
        <is>
          <t>pass</t>
        </is>
      </c>
      <c r="Q223" s="14" t="inlineStr">
        <is>
          <t>pass</t>
        </is>
      </c>
      <c r="R223" s="14" t="inlineStr">
        <is>
          <t>pass</t>
        </is>
      </c>
      <c r="S223" s="14" t="inlineStr">
        <is>
          <t>pass</t>
        </is>
      </c>
      <c r="T223" s="14" t="inlineStr">
        <is>
          <t>pass</t>
        </is>
      </c>
      <c r="U223" s="14" t="inlineStr">
        <is>
          <t>pass</t>
        </is>
      </c>
      <c r="V223" s="16" t="inlineStr">
        <is>
          <t>warn</t>
        </is>
      </c>
      <c r="W223" s="16" t="inlineStr">
        <is>
          <t>warn</t>
        </is>
      </c>
      <c r="X223" s="14" t="inlineStr">
        <is>
          <t>pass</t>
        </is>
      </c>
      <c r="Y223" s="18" t="inlineStr">
        <is>
          <t>fail</t>
        </is>
      </c>
      <c r="Z223" s="16" t="inlineStr">
        <is>
          <t>warn</t>
        </is>
      </c>
      <c r="AA223" s="14" t="inlineStr">
        <is>
          <t>pass</t>
        </is>
      </c>
      <c r="AB223" s="15" t="inlineStr">
        <is>
          <t>not_checked</t>
        </is>
      </c>
      <c r="AC223" s="16" t="inlineStr">
        <is>
          <t>warn</t>
        </is>
      </c>
      <c r="AD223" s="14" t="inlineStr">
        <is>
          <t>pass</t>
        </is>
      </c>
      <c r="AE223" s="14" t="inlineStr">
        <is>
          <t>pass</t>
        </is>
      </c>
      <c r="AF223" s="14" t="inlineStr">
        <is>
          <t>pass</t>
        </is>
      </c>
      <c r="AG223" s="16" t="inlineStr">
        <is>
          <t>warn</t>
        </is>
      </c>
      <c r="AH223" s="15" t="inlineStr">
        <is>
          <t>not_checked</t>
        </is>
      </c>
      <c r="AI223" s="15" t="inlineStr">
        <is>
          <t>n.a.</t>
        </is>
      </c>
      <c r="AJ223" s="15" t="inlineStr">
        <is>
          <t>n.a.</t>
        </is>
      </c>
      <c r="AK223" s="4" t="inlineStr">
        <is>
          <t>license;machine_metadata(warn);persistent_id(warn);temporal(warn);version(warn);join_key(warn)</t>
        </is>
      </c>
      <c r="AL223" s="17" t="inlineStr">
        <is>
          <t>https://www.inegi.org.mx/app/mapa/denue/</t>
        </is>
      </c>
      <c r="AM223" s="4" t="inlineStr">
        <is>
          <t>mx_inegi_denue</t>
        </is>
      </c>
    </row>
    <row r="224">
      <c r="A224" s="4" t="inlineStr">
        <is>
          <t>Highway Performance Monitoring System (HPMS) Public Release</t>
        </is>
      </c>
      <c r="B224" s="19" t="inlineStr">
        <is>
          <t>Silver</t>
        </is>
      </c>
      <c r="C224" s="4" t="n">
        <v>89</v>
      </c>
      <c r="D224" s="4" t="inlineStr">
        <is>
          <t>built_environment</t>
        </is>
      </c>
      <c r="E224" s="4" t="inlineStr">
        <is>
          <t>degraded</t>
        </is>
      </c>
      <c r="F224" s="4" t="inlineStr">
        <is>
          <t>public_domain_us_federal</t>
        </is>
      </c>
      <c r="G224" s="4" t="inlineStr">
        <is>
          <t>line</t>
        </is>
      </c>
      <c r="H224" s="4" t="inlineStr">
        <is>
          <t>Needs a count/distance step</t>
        </is>
      </c>
      <c r="I224" s="4" t="n">
        <v>2</v>
      </c>
      <c r="J224" s="4" t="inlineStr"/>
      <c r="K224" s="4" t="inlineStr">
        <is>
          <t>Curated</t>
        </is>
      </c>
      <c r="L224" s="4" t="n">
        <v>2018</v>
      </c>
      <c r="M224" s="4" t="inlineStr">
        <is>
          <t>open</t>
        </is>
      </c>
      <c r="N224" s="4" t="inlineStr">
        <is>
          <t>2026-10-29</t>
        </is>
      </c>
      <c r="O224" s="14" t="inlineStr">
        <is>
          <t>pass</t>
        </is>
      </c>
      <c r="P224" s="14" t="inlineStr">
        <is>
          <t>pass</t>
        </is>
      </c>
      <c r="Q224" s="14" t="inlineStr">
        <is>
          <t>pass</t>
        </is>
      </c>
      <c r="R224" s="14" t="inlineStr">
        <is>
          <t>pass</t>
        </is>
      </c>
      <c r="S224" s="14" t="inlineStr">
        <is>
          <t>pass</t>
        </is>
      </c>
      <c r="T224" s="14" t="inlineStr">
        <is>
          <t>pass</t>
        </is>
      </c>
      <c r="U224" s="14" t="inlineStr">
        <is>
          <t>pass</t>
        </is>
      </c>
      <c r="V224" s="18" t="inlineStr">
        <is>
          <t>fail</t>
        </is>
      </c>
      <c r="W224" s="16" t="inlineStr">
        <is>
          <t>warn</t>
        </is>
      </c>
      <c r="X224" s="14" t="inlineStr">
        <is>
          <t>pass</t>
        </is>
      </c>
      <c r="Y224" s="14" t="inlineStr">
        <is>
          <t>pass</t>
        </is>
      </c>
      <c r="Z224" s="16" t="inlineStr">
        <is>
          <t>warn</t>
        </is>
      </c>
      <c r="AA224" s="16" t="inlineStr">
        <is>
          <t>warn</t>
        </is>
      </c>
      <c r="AB224" s="14" t="inlineStr">
        <is>
          <t>pass</t>
        </is>
      </c>
      <c r="AC224" s="14" t="inlineStr">
        <is>
          <t>pass</t>
        </is>
      </c>
      <c r="AD224" s="14" t="inlineStr">
        <is>
          <t>pass</t>
        </is>
      </c>
      <c r="AE224" s="14" t="inlineStr">
        <is>
          <t>pass</t>
        </is>
      </c>
      <c r="AF224" s="14" t="inlineStr">
        <is>
          <t>pass</t>
        </is>
      </c>
      <c r="AG224" s="14" t="inlineStr">
        <is>
          <t>pass</t>
        </is>
      </c>
      <c r="AH224" s="14" t="inlineStr">
        <is>
          <t>pass</t>
        </is>
      </c>
      <c r="AI224" s="15" t="inlineStr">
        <is>
          <t>n.a.</t>
        </is>
      </c>
      <c r="AJ224" s="15" t="inlineStr">
        <is>
          <t>n.a.</t>
        </is>
      </c>
      <c r="AK224" s="4" t="inlineStr">
        <is>
          <t>machine_metadata;persistent_id(warn);temporal(warn);recency(warn)</t>
        </is>
      </c>
      <c r="AL224" s="17" t="inlineStr">
        <is>
          <t>https://www.fhwa.dot.gov/policyinformation/hpms.cfm</t>
        </is>
      </c>
      <c r="AM224" s="4" t="inlineStr">
        <is>
          <t>us_fhwa_hpms</t>
        </is>
      </c>
    </row>
    <row r="225">
      <c r="A225" s="4" t="inlineStr">
        <is>
          <t>LCMAP (Land Change Monitoring, Assessment, and Projection) - legacy</t>
        </is>
      </c>
      <c r="B225" s="19" t="inlineStr">
        <is>
          <t>Silver</t>
        </is>
      </c>
      <c r="C225" s="4" t="n">
        <v>93</v>
      </c>
      <c r="D225" s="4" t="inlineStr">
        <is>
          <t>built_environment</t>
        </is>
      </c>
      <c r="E225" s="4" t="inlineStr">
        <is>
          <t>healthy</t>
        </is>
      </c>
      <c r="F225" s="4" t="inlineStr">
        <is>
          <t>public_domain_us_federal</t>
        </is>
      </c>
      <c r="G225" s="4" t="inlineStr">
        <is>
          <t>grid_30m</t>
        </is>
      </c>
      <c r="H225" s="4" t="inlineStr">
        <is>
          <t>Needs raster support</t>
        </is>
      </c>
      <c r="I225" s="4" t="n">
        <v>2</v>
      </c>
      <c r="J225" s="4" t="inlineStr"/>
      <c r="K225" s="4" t="inlineStr">
        <is>
          <t>Curated</t>
        </is>
      </c>
      <c r="L225" s="4" t="n">
        <v>2021</v>
      </c>
      <c r="M225" s="4" t="inlineStr">
        <is>
          <t>open</t>
        </is>
      </c>
      <c r="N225" s="4" t="inlineStr">
        <is>
          <t>2026-10-29</t>
        </is>
      </c>
      <c r="O225" s="14" t="inlineStr">
        <is>
          <t>pass</t>
        </is>
      </c>
      <c r="P225" s="14" t="inlineStr">
        <is>
          <t>pass</t>
        </is>
      </c>
      <c r="Q225" s="14" t="inlineStr">
        <is>
          <t>pass</t>
        </is>
      </c>
      <c r="R225" s="14" t="inlineStr">
        <is>
          <t>pass</t>
        </is>
      </c>
      <c r="S225" s="14" t="inlineStr">
        <is>
          <t>pass</t>
        </is>
      </c>
      <c r="T225" s="14" t="inlineStr">
        <is>
          <t>pass</t>
        </is>
      </c>
      <c r="U225" s="16" t="inlineStr">
        <is>
          <t>warn</t>
        </is>
      </c>
      <c r="V225" s="16" t="inlineStr">
        <is>
          <t>warn</t>
        </is>
      </c>
      <c r="W225" s="16" t="inlineStr">
        <is>
          <t>warn</t>
        </is>
      </c>
      <c r="X225" s="14" t="inlineStr">
        <is>
          <t>pass</t>
        </is>
      </c>
      <c r="Y225" s="14" t="inlineStr">
        <is>
          <t>pass</t>
        </is>
      </c>
      <c r="Z225" s="14" t="inlineStr">
        <is>
          <t>pass</t>
        </is>
      </c>
      <c r="AA225" s="16" t="inlineStr">
        <is>
          <t>warn</t>
        </is>
      </c>
      <c r="AB225" s="16" t="inlineStr">
        <is>
          <t>warn</t>
        </is>
      </c>
      <c r="AC225" s="14" t="inlineStr">
        <is>
          <t>pass</t>
        </is>
      </c>
      <c r="AD225" s="15" t="inlineStr">
        <is>
          <t>not_checked</t>
        </is>
      </c>
      <c r="AE225" s="14" t="inlineStr">
        <is>
          <t>pass</t>
        </is>
      </c>
      <c r="AF225" s="14" t="inlineStr">
        <is>
          <t>pass</t>
        </is>
      </c>
      <c r="AG225" s="14" t="inlineStr">
        <is>
          <t>pass</t>
        </is>
      </c>
      <c r="AH225" s="14" t="inlineStr">
        <is>
          <t>pass</t>
        </is>
      </c>
      <c r="AI225" s="15" t="inlineStr">
        <is>
          <t>n.a.</t>
        </is>
      </c>
      <c r="AJ225" s="15" t="inlineStr">
        <is>
          <t>n.a.</t>
        </is>
      </c>
      <c r="AK225" s="4" t="inlineStr">
        <is>
          <t>format_match(warn);machine_metadata(warn);persistent_id(warn);recency(warn);cadence(warn)</t>
        </is>
      </c>
      <c r="AL225" s="17" t="inlineStr">
        <is>
          <t>https://www.usgs.gov/special-topics/lcmap</t>
        </is>
      </c>
      <c r="AM225" s="4" t="inlineStr">
        <is>
          <t>us_usgs_lcmap</t>
        </is>
      </c>
    </row>
    <row r="226">
      <c r="A226" s="4" t="inlineStr">
        <is>
          <t>Miami-Dade Bus Stops</t>
        </is>
      </c>
      <c r="B226" s="20" t="inlineStr">
        <is>
          <t>Bronze</t>
        </is>
      </c>
      <c r="C226" s="4" t="n">
        <v>86</v>
      </c>
      <c r="D226" s="4" t="inlineStr">
        <is>
          <t>built_environment</t>
        </is>
      </c>
      <c r="E226" s="4" t="inlineStr">
        <is>
          <t>degraded</t>
        </is>
      </c>
      <c r="F226" s="4" t="inlineStr">
        <is>
          <t>not checked</t>
        </is>
      </c>
      <c r="G226" s="4" t="inlineStr">
        <is>
          <t>unknown</t>
        </is>
      </c>
      <c r="H226" s="4" t="inlineStr">
        <is>
          <t>Unknown</t>
        </is>
      </c>
      <c r="I226" s="4" t="n">
        <v>2</v>
      </c>
      <c r="J226" s="4" t="inlineStr"/>
      <c r="K226" s="4" t="inlineStr">
        <is>
          <t>Curated</t>
        </is>
      </c>
      <c r="L226" s="4" t="inlineStr"/>
      <c r="M226" s="4" t="inlineStr">
        <is>
          <t>unknown</t>
        </is>
      </c>
      <c r="N226" s="4" t="inlineStr">
        <is>
          <t>2026-10-22</t>
        </is>
      </c>
      <c r="O226" s="14" t="inlineStr">
        <is>
          <t>pass</t>
        </is>
      </c>
      <c r="P226" s="14" t="inlineStr">
        <is>
          <t>pass</t>
        </is>
      </c>
      <c r="Q226" s="14" t="inlineStr">
        <is>
          <t>pass</t>
        </is>
      </c>
      <c r="R226" s="16" t="inlineStr">
        <is>
          <t>warn</t>
        </is>
      </c>
      <c r="S226" s="15" t="inlineStr">
        <is>
          <t>not_checked</t>
        </is>
      </c>
      <c r="T226" s="15" t="inlineStr">
        <is>
          <t>n.a.</t>
        </is>
      </c>
      <c r="U226" s="15" t="inlineStr">
        <is>
          <t>n.a.</t>
        </is>
      </c>
      <c r="V226" s="14" t="inlineStr">
        <is>
          <t>pass</t>
        </is>
      </c>
      <c r="W226" s="16" t="inlineStr">
        <is>
          <t>warn</t>
        </is>
      </c>
      <c r="X226" s="14" t="inlineStr">
        <is>
          <t>pass</t>
        </is>
      </c>
      <c r="Y226" s="15" t="inlineStr">
        <is>
          <t>not_checked</t>
        </is>
      </c>
      <c r="Z226" s="15" t="inlineStr">
        <is>
          <t>not_checked</t>
        </is>
      </c>
      <c r="AA226" s="15" t="inlineStr">
        <is>
          <t>not_checked</t>
        </is>
      </c>
      <c r="AB226" s="15" t="inlineStr">
        <is>
          <t>not_checked</t>
        </is>
      </c>
      <c r="AC226" s="15" t="inlineStr">
        <is>
          <t>not_checked</t>
        </is>
      </c>
      <c r="AD226" s="15" t="inlineStr">
        <is>
          <t>not_checked</t>
        </is>
      </c>
      <c r="AE226" s="15" t="inlineStr">
        <is>
          <t>not_checked</t>
        </is>
      </c>
      <c r="AF226" s="15" t="inlineStr">
        <is>
          <t>not_checked</t>
        </is>
      </c>
      <c r="AG226" s="15" t="inlineStr">
        <is>
          <t>not_checked</t>
        </is>
      </c>
      <c r="AH226" s="15" t="inlineStr">
        <is>
          <t>not_checked</t>
        </is>
      </c>
      <c r="AI226" s="15" t="inlineStr">
        <is>
          <t>n.a.</t>
        </is>
      </c>
      <c r="AJ226" s="15" t="inlineStr">
        <is>
          <t>n.a.</t>
        </is>
      </c>
      <c r="AK226" s="4" t="inlineStr">
        <is>
          <t>soft404(warn);persistent_id(warn)</t>
        </is>
      </c>
      <c r="AL226" s="17" t="inlineStr">
        <is>
          <t>https://gis-mdc.opendata.arcgis.com/datasets/MDC::bus-stop/about</t>
        </is>
      </c>
      <c r="AM226" s="4" t="inlineStr">
        <is>
          <t>us_mdc_bus_stops</t>
        </is>
      </c>
    </row>
    <row r="227">
      <c r="A227" s="4" t="inlineStr">
        <is>
          <t>Miami-Dade County Libraries</t>
        </is>
      </c>
      <c r="B227" s="20" t="inlineStr">
        <is>
          <t>Bronze</t>
        </is>
      </c>
      <c r="C227" s="4" t="n">
        <v>86</v>
      </c>
      <c r="D227" s="4" t="inlineStr">
        <is>
          <t>built_environment</t>
        </is>
      </c>
      <c r="E227" s="4" t="inlineStr">
        <is>
          <t>degraded</t>
        </is>
      </c>
      <c r="F227" s="4" t="inlineStr">
        <is>
          <t>not checked</t>
        </is>
      </c>
      <c r="G227" s="4" t="inlineStr">
        <is>
          <t>unknown</t>
        </is>
      </c>
      <c r="H227" s="4" t="inlineStr">
        <is>
          <t>Unknown</t>
        </is>
      </c>
      <c r="I227" s="4" t="n">
        <v>2</v>
      </c>
      <c r="J227" s="4" t="inlineStr"/>
      <c r="K227" s="4" t="inlineStr">
        <is>
          <t>Curated</t>
        </is>
      </c>
      <c r="L227" s="4" t="inlineStr"/>
      <c r="M227" s="4" t="inlineStr">
        <is>
          <t>unknown</t>
        </is>
      </c>
      <c r="N227" s="4" t="inlineStr">
        <is>
          <t>2026-10-22</t>
        </is>
      </c>
      <c r="O227" s="14" t="inlineStr">
        <is>
          <t>pass</t>
        </is>
      </c>
      <c r="P227" s="14" t="inlineStr">
        <is>
          <t>pass</t>
        </is>
      </c>
      <c r="Q227" s="14" t="inlineStr">
        <is>
          <t>pass</t>
        </is>
      </c>
      <c r="R227" s="16" t="inlineStr">
        <is>
          <t>warn</t>
        </is>
      </c>
      <c r="S227" s="15" t="inlineStr">
        <is>
          <t>not_checked</t>
        </is>
      </c>
      <c r="T227" s="15" t="inlineStr">
        <is>
          <t>n.a.</t>
        </is>
      </c>
      <c r="U227" s="15" t="inlineStr">
        <is>
          <t>n.a.</t>
        </is>
      </c>
      <c r="V227" s="14" t="inlineStr">
        <is>
          <t>pass</t>
        </is>
      </c>
      <c r="W227" s="16" t="inlineStr">
        <is>
          <t>warn</t>
        </is>
      </c>
      <c r="X227" s="14" t="inlineStr">
        <is>
          <t>pass</t>
        </is>
      </c>
      <c r="Y227" s="15" t="inlineStr">
        <is>
          <t>not_checked</t>
        </is>
      </c>
      <c r="Z227" s="15" t="inlineStr">
        <is>
          <t>not_checked</t>
        </is>
      </c>
      <c r="AA227" s="15" t="inlineStr">
        <is>
          <t>not_checked</t>
        </is>
      </c>
      <c r="AB227" s="15" t="inlineStr">
        <is>
          <t>not_checked</t>
        </is>
      </c>
      <c r="AC227" s="15" t="inlineStr">
        <is>
          <t>not_checked</t>
        </is>
      </c>
      <c r="AD227" s="15" t="inlineStr">
        <is>
          <t>not_checked</t>
        </is>
      </c>
      <c r="AE227" s="15" t="inlineStr">
        <is>
          <t>not_checked</t>
        </is>
      </c>
      <c r="AF227" s="15" t="inlineStr">
        <is>
          <t>not_checked</t>
        </is>
      </c>
      <c r="AG227" s="15" t="inlineStr">
        <is>
          <t>not_checked</t>
        </is>
      </c>
      <c r="AH227" s="15" t="inlineStr">
        <is>
          <t>not_checked</t>
        </is>
      </c>
      <c r="AI227" s="15" t="inlineStr">
        <is>
          <t>n.a.</t>
        </is>
      </c>
      <c r="AJ227" s="15" t="inlineStr">
        <is>
          <t>n.a.</t>
        </is>
      </c>
      <c r="AK227" s="4" t="inlineStr">
        <is>
          <t>soft404(warn);persistent_id(warn)</t>
        </is>
      </c>
      <c r="AL227" s="17" t="inlineStr">
        <is>
          <t>https://gis-mdc.opendata.arcgis.com/datasets/MDC::county-library/about</t>
        </is>
      </c>
      <c r="AM227" s="4" t="inlineStr">
        <is>
          <t>us_mdc_county_library</t>
        </is>
      </c>
    </row>
    <row r="228">
      <c r="A228" s="4" t="inlineStr">
        <is>
          <t>Miami-Dade County Zoning</t>
        </is>
      </c>
      <c r="B228" s="20" t="inlineStr">
        <is>
          <t>Bronze</t>
        </is>
      </c>
      <c r="C228" s="4" t="n">
        <v>78</v>
      </c>
      <c r="D228" s="4" t="inlineStr">
        <is>
          <t>built_environment</t>
        </is>
      </c>
      <c r="E228" s="4" t="inlineStr">
        <is>
          <t>degraded</t>
        </is>
      </c>
      <c r="F228" s="4" t="inlineStr">
        <is>
          <t>not checked</t>
        </is>
      </c>
      <c r="G228" s="4" t="inlineStr">
        <is>
          <t>unknown</t>
        </is>
      </c>
      <c r="H228" s="4" t="inlineStr">
        <is>
          <t>Unknown</t>
        </is>
      </c>
      <c r="I228" s="4" t="n">
        <v>2</v>
      </c>
      <c r="J228" s="4" t="inlineStr"/>
      <c r="K228" s="4" t="inlineStr">
        <is>
          <t>Curated</t>
        </is>
      </c>
      <c r="L228" s="4" t="inlineStr"/>
      <c r="M228" s="4" t="inlineStr">
        <is>
          <t>unknown</t>
        </is>
      </c>
      <c r="N228" s="4" t="inlineStr">
        <is>
          <t>2026-10-22</t>
        </is>
      </c>
      <c r="O228" s="14" t="inlineStr">
        <is>
          <t>pass</t>
        </is>
      </c>
      <c r="P228" s="14" t="inlineStr">
        <is>
          <t>pass</t>
        </is>
      </c>
      <c r="Q228" s="14" t="inlineStr">
        <is>
          <t>pass</t>
        </is>
      </c>
      <c r="R228" s="16" t="inlineStr">
        <is>
          <t>warn</t>
        </is>
      </c>
      <c r="S228" s="14" t="inlineStr">
        <is>
          <t>pass</t>
        </is>
      </c>
      <c r="T228" s="15" t="inlineStr">
        <is>
          <t>n.a.</t>
        </is>
      </c>
      <c r="U228" s="15" t="inlineStr">
        <is>
          <t>n.a.</t>
        </is>
      </c>
      <c r="V228" s="18" t="inlineStr">
        <is>
          <t>fail</t>
        </is>
      </c>
      <c r="W228" s="16" t="inlineStr">
        <is>
          <t>warn</t>
        </is>
      </c>
      <c r="X228" s="14" t="inlineStr">
        <is>
          <t>pass</t>
        </is>
      </c>
      <c r="Y228" s="15" t="inlineStr">
        <is>
          <t>not_checked</t>
        </is>
      </c>
      <c r="Z228" s="15" t="inlineStr">
        <is>
          <t>not_checked</t>
        </is>
      </c>
      <c r="AA228" s="15" t="inlineStr">
        <is>
          <t>not_checked</t>
        </is>
      </c>
      <c r="AB228" s="15" t="inlineStr">
        <is>
          <t>not_checked</t>
        </is>
      </c>
      <c r="AC228" s="15" t="inlineStr">
        <is>
          <t>not_checked</t>
        </is>
      </c>
      <c r="AD228" s="15" t="inlineStr">
        <is>
          <t>not_checked</t>
        </is>
      </c>
      <c r="AE228" s="15" t="inlineStr">
        <is>
          <t>not_checked</t>
        </is>
      </c>
      <c r="AF228" s="15" t="inlineStr">
        <is>
          <t>not_checked</t>
        </is>
      </c>
      <c r="AG228" s="15" t="inlineStr">
        <is>
          <t>not_checked</t>
        </is>
      </c>
      <c r="AH228" s="15" t="inlineStr">
        <is>
          <t>not_checked</t>
        </is>
      </c>
      <c r="AI228" s="15" t="inlineStr">
        <is>
          <t>n.a.</t>
        </is>
      </c>
      <c r="AJ228" s="15" t="inlineStr">
        <is>
          <t>n.a.</t>
        </is>
      </c>
      <c r="AK228" s="4" t="inlineStr">
        <is>
          <t>machine_metadata;soft404(warn);persistent_id(warn)</t>
        </is>
      </c>
      <c r="AL228" s="17" t="inlineStr">
        <is>
          <t>https://gisweb.miamidade.gov/arcgis/rest/services/LandManagement/MD_Zoning/MapServer/1</t>
        </is>
      </c>
      <c r="AM228" s="4" t="inlineStr">
        <is>
          <t>us_mdc_county_zoning</t>
        </is>
      </c>
    </row>
    <row r="229">
      <c r="A229" s="4" t="inlineStr">
        <is>
          <t>Miami-Dade Fire Stations</t>
        </is>
      </c>
      <c r="B229" s="20" t="inlineStr">
        <is>
          <t>Bronze</t>
        </is>
      </c>
      <c r="C229" s="4" t="n">
        <v>86</v>
      </c>
      <c r="D229" s="4" t="inlineStr">
        <is>
          <t>built_environment</t>
        </is>
      </c>
      <c r="E229" s="4" t="inlineStr">
        <is>
          <t>degraded</t>
        </is>
      </c>
      <c r="F229" s="4" t="inlineStr">
        <is>
          <t>not checked</t>
        </is>
      </c>
      <c r="G229" s="4" t="inlineStr">
        <is>
          <t>unknown</t>
        </is>
      </c>
      <c r="H229" s="4" t="inlineStr">
        <is>
          <t>Unknown</t>
        </is>
      </c>
      <c r="I229" s="4" t="n">
        <v>2</v>
      </c>
      <c r="J229" s="4" t="inlineStr"/>
      <c r="K229" s="4" t="inlineStr">
        <is>
          <t>Curated</t>
        </is>
      </c>
      <c r="L229" s="4" t="inlineStr"/>
      <c r="M229" s="4" t="inlineStr">
        <is>
          <t>unknown</t>
        </is>
      </c>
      <c r="N229" s="4" t="inlineStr">
        <is>
          <t>2026-10-22</t>
        </is>
      </c>
      <c r="O229" s="14" t="inlineStr">
        <is>
          <t>pass</t>
        </is>
      </c>
      <c r="P229" s="14" t="inlineStr">
        <is>
          <t>pass</t>
        </is>
      </c>
      <c r="Q229" s="14" t="inlineStr">
        <is>
          <t>pass</t>
        </is>
      </c>
      <c r="R229" s="16" t="inlineStr">
        <is>
          <t>warn</t>
        </is>
      </c>
      <c r="S229" s="15" t="inlineStr">
        <is>
          <t>not_checked</t>
        </is>
      </c>
      <c r="T229" s="15" t="inlineStr">
        <is>
          <t>n.a.</t>
        </is>
      </c>
      <c r="U229" s="15" t="inlineStr">
        <is>
          <t>n.a.</t>
        </is>
      </c>
      <c r="V229" s="14" t="inlineStr">
        <is>
          <t>pass</t>
        </is>
      </c>
      <c r="W229" s="16" t="inlineStr">
        <is>
          <t>warn</t>
        </is>
      </c>
      <c r="X229" s="14" t="inlineStr">
        <is>
          <t>pass</t>
        </is>
      </c>
      <c r="Y229" s="15" t="inlineStr">
        <is>
          <t>not_checked</t>
        </is>
      </c>
      <c r="Z229" s="15" t="inlineStr">
        <is>
          <t>not_checked</t>
        </is>
      </c>
      <c r="AA229" s="15" t="inlineStr">
        <is>
          <t>not_checked</t>
        </is>
      </c>
      <c r="AB229" s="15" t="inlineStr">
        <is>
          <t>not_checked</t>
        </is>
      </c>
      <c r="AC229" s="15" t="inlineStr">
        <is>
          <t>not_checked</t>
        </is>
      </c>
      <c r="AD229" s="15" t="inlineStr">
        <is>
          <t>not_checked</t>
        </is>
      </c>
      <c r="AE229" s="15" t="inlineStr">
        <is>
          <t>not_checked</t>
        </is>
      </c>
      <c r="AF229" s="15" t="inlineStr">
        <is>
          <t>not_checked</t>
        </is>
      </c>
      <c r="AG229" s="15" t="inlineStr">
        <is>
          <t>not_checked</t>
        </is>
      </c>
      <c r="AH229" s="15" t="inlineStr">
        <is>
          <t>not_checked</t>
        </is>
      </c>
      <c r="AI229" s="15" t="inlineStr">
        <is>
          <t>n.a.</t>
        </is>
      </c>
      <c r="AJ229" s="15" t="inlineStr">
        <is>
          <t>n.a.</t>
        </is>
      </c>
      <c r="AK229" s="4" t="inlineStr">
        <is>
          <t>soft404(warn);persistent_id(warn)</t>
        </is>
      </c>
      <c r="AL229" s="17" t="inlineStr">
        <is>
          <t>https://gis-mdc.opendata.arcgis.com/datasets/MDC::fire-station/about</t>
        </is>
      </c>
      <c r="AM229" s="4" t="inlineStr">
        <is>
          <t>us_mdc_fire_stations</t>
        </is>
      </c>
    </row>
    <row r="230">
      <c r="A230" s="4" t="inlineStr">
        <is>
          <t>Miami-Dade Metrorail Stations</t>
        </is>
      </c>
      <c r="B230" s="20" t="inlineStr">
        <is>
          <t>Bronze</t>
        </is>
      </c>
      <c r="C230" s="4" t="n">
        <v>86</v>
      </c>
      <c r="D230" s="4" t="inlineStr">
        <is>
          <t>built_environment</t>
        </is>
      </c>
      <c r="E230" s="4" t="inlineStr">
        <is>
          <t>degraded</t>
        </is>
      </c>
      <c r="F230" s="4" t="inlineStr">
        <is>
          <t>not checked</t>
        </is>
      </c>
      <c r="G230" s="4" t="inlineStr">
        <is>
          <t>unknown</t>
        </is>
      </c>
      <c r="H230" s="4" t="inlineStr">
        <is>
          <t>Unknown</t>
        </is>
      </c>
      <c r="I230" s="4" t="n">
        <v>2</v>
      </c>
      <c r="J230" s="4" t="inlineStr"/>
      <c r="K230" s="4" t="inlineStr">
        <is>
          <t>Curated</t>
        </is>
      </c>
      <c r="L230" s="4" t="inlineStr"/>
      <c r="M230" s="4" t="inlineStr">
        <is>
          <t>unknown</t>
        </is>
      </c>
      <c r="N230" s="4" t="inlineStr">
        <is>
          <t>2026-10-22</t>
        </is>
      </c>
      <c r="O230" s="14" t="inlineStr">
        <is>
          <t>pass</t>
        </is>
      </c>
      <c r="P230" s="14" t="inlineStr">
        <is>
          <t>pass</t>
        </is>
      </c>
      <c r="Q230" s="14" t="inlineStr">
        <is>
          <t>pass</t>
        </is>
      </c>
      <c r="R230" s="16" t="inlineStr">
        <is>
          <t>warn</t>
        </is>
      </c>
      <c r="S230" s="15" t="inlineStr">
        <is>
          <t>not_checked</t>
        </is>
      </c>
      <c r="T230" s="15" t="inlineStr">
        <is>
          <t>n.a.</t>
        </is>
      </c>
      <c r="U230" s="15" t="inlineStr">
        <is>
          <t>n.a.</t>
        </is>
      </c>
      <c r="V230" s="14" t="inlineStr">
        <is>
          <t>pass</t>
        </is>
      </c>
      <c r="W230" s="16" t="inlineStr">
        <is>
          <t>warn</t>
        </is>
      </c>
      <c r="X230" s="14" t="inlineStr">
        <is>
          <t>pass</t>
        </is>
      </c>
      <c r="Y230" s="15" t="inlineStr">
        <is>
          <t>not_checked</t>
        </is>
      </c>
      <c r="Z230" s="15" t="inlineStr">
        <is>
          <t>not_checked</t>
        </is>
      </c>
      <c r="AA230" s="15" t="inlineStr">
        <is>
          <t>not_checked</t>
        </is>
      </c>
      <c r="AB230" s="15" t="inlineStr">
        <is>
          <t>not_checked</t>
        </is>
      </c>
      <c r="AC230" s="15" t="inlineStr">
        <is>
          <t>not_checked</t>
        </is>
      </c>
      <c r="AD230" s="15" t="inlineStr">
        <is>
          <t>not_checked</t>
        </is>
      </c>
      <c r="AE230" s="15" t="inlineStr">
        <is>
          <t>not_checked</t>
        </is>
      </c>
      <c r="AF230" s="15" t="inlineStr">
        <is>
          <t>not_checked</t>
        </is>
      </c>
      <c r="AG230" s="15" t="inlineStr">
        <is>
          <t>not_checked</t>
        </is>
      </c>
      <c r="AH230" s="15" t="inlineStr">
        <is>
          <t>not_checked</t>
        </is>
      </c>
      <c r="AI230" s="15" t="inlineStr">
        <is>
          <t>n.a.</t>
        </is>
      </c>
      <c r="AJ230" s="15" t="inlineStr">
        <is>
          <t>n.a.</t>
        </is>
      </c>
      <c r="AK230" s="4" t="inlineStr">
        <is>
          <t>soft404(warn);persistent_id(warn)</t>
        </is>
      </c>
      <c r="AL230" s="17" t="inlineStr">
        <is>
          <t>https://gis-mdc.opendata.arcgis.com/datasets/MDC::metrorail-station/about</t>
        </is>
      </c>
      <c r="AM230" s="4" t="inlineStr">
        <is>
          <t>us_mdc_metrorail_stations</t>
        </is>
      </c>
    </row>
    <row r="231">
      <c r="A231" s="4" t="inlineStr">
        <is>
          <t>Miami-Dade Parcels, Property Boundary and Property Point views</t>
        </is>
      </c>
      <c r="B231" s="20" t="inlineStr">
        <is>
          <t>Bronze</t>
        </is>
      </c>
      <c r="C231" s="4" t="n">
        <v>86</v>
      </c>
      <c r="D231" s="4" t="inlineStr">
        <is>
          <t>built_environment</t>
        </is>
      </c>
      <c r="E231" s="4" t="inlineStr">
        <is>
          <t>degraded</t>
        </is>
      </c>
      <c r="F231" s="4" t="inlineStr">
        <is>
          <t>not checked</t>
        </is>
      </c>
      <c r="G231" s="4" t="inlineStr">
        <is>
          <t>unknown</t>
        </is>
      </c>
      <c r="H231" s="4" t="inlineStr">
        <is>
          <t>Unknown</t>
        </is>
      </c>
      <c r="I231" s="4" t="n">
        <v>2</v>
      </c>
      <c r="J231" s="4" t="inlineStr"/>
      <c r="K231" s="4" t="inlineStr">
        <is>
          <t>Curated</t>
        </is>
      </c>
      <c r="L231" s="4" t="inlineStr"/>
      <c r="M231" s="4" t="inlineStr">
        <is>
          <t>unknown</t>
        </is>
      </c>
      <c r="N231" s="4" t="inlineStr">
        <is>
          <t>2026-10-22</t>
        </is>
      </c>
      <c r="O231" s="14" t="inlineStr">
        <is>
          <t>pass</t>
        </is>
      </c>
      <c r="P231" s="14" t="inlineStr">
        <is>
          <t>pass</t>
        </is>
      </c>
      <c r="Q231" s="14" t="inlineStr">
        <is>
          <t>pass</t>
        </is>
      </c>
      <c r="R231" s="16" t="inlineStr">
        <is>
          <t>warn</t>
        </is>
      </c>
      <c r="S231" s="15" t="inlineStr">
        <is>
          <t>not_checked</t>
        </is>
      </c>
      <c r="T231" s="15" t="inlineStr">
        <is>
          <t>n.a.</t>
        </is>
      </c>
      <c r="U231" s="15" t="inlineStr">
        <is>
          <t>n.a.</t>
        </is>
      </c>
      <c r="V231" s="14" t="inlineStr">
        <is>
          <t>pass</t>
        </is>
      </c>
      <c r="W231" s="16" t="inlineStr">
        <is>
          <t>warn</t>
        </is>
      </c>
      <c r="X231" s="14" t="inlineStr">
        <is>
          <t>pass</t>
        </is>
      </c>
      <c r="Y231" s="15" t="inlineStr">
        <is>
          <t>not_checked</t>
        </is>
      </c>
      <c r="Z231" s="15" t="inlineStr">
        <is>
          <t>not_checked</t>
        </is>
      </c>
      <c r="AA231" s="15" t="inlineStr">
        <is>
          <t>not_checked</t>
        </is>
      </c>
      <c r="AB231" s="15" t="inlineStr">
        <is>
          <t>not_checked</t>
        </is>
      </c>
      <c r="AC231" s="15" t="inlineStr">
        <is>
          <t>not_checked</t>
        </is>
      </c>
      <c r="AD231" s="15" t="inlineStr">
        <is>
          <t>not_checked</t>
        </is>
      </c>
      <c r="AE231" s="15" t="inlineStr">
        <is>
          <t>not_checked</t>
        </is>
      </c>
      <c r="AF231" s="15" t="inlineStr">
        <is>
          <t>not_checked</t>
        </is>
      </c>
      <c r="AG231" s="15" t="inlineStr">
        <is>
          <t>not_checked</t>
        </is>
      </c>
      <c r="AH231" s="15" t="inlineStr">
        <is>
          <t>not_checked</t>
        </is>
      </c>
      <c r="AI231" s="15" t="inlineStr">
        <is>
          <t>n.a.</t>
        </is>
      </c>
      <c r="AJ231" s="15" t="inlineStr">
        <is>
          <t>n.a.</t>
        </is>
      </c>
      <c r="AK231" s="4" t="inlineStr">
        <is>
          <t>soft404(warn);persistent_id(warn)</t>
        </is>
      </c>
      <c r="AL231" s="17" t="inlineStr">
        <is>
          <t>https://gis-mdc.opendata.arcgis.com/datasets/MDC::property-point-view/about</t>
        </is>
      </c>
      <c r="AM231" s="4" t="inlineStr">
        <is>
          <t>us_mdc_parcels</t>
        </is>
      </c>
    </row>
    <row r="232">
      <c r="A232" s="4" t="inlineStr">
        <is>
          <t>Miami-Dade Police Stations</t>
        </is>
      </c>
      <c r="B232" s="20" t="inlineStr">
        <is>
          <t>Bronze</t>
        </is>
      </c>
      <c r="C232" s="4" t="n">
        <v>86</v>
      </c>
      <c r="D232" s="4" t="inlineStr">
        <is>
          <t>built_environment</t>
        </is>
      </c>
      <c r="E232" s="4" t="inlineStr">
        <is>
          <t>degraded</t>
        </is>
      </c>
      <c r="F232" s="4" t="inlineStr">
        <is>
          <t>not checked</t>
        </is>
      </c>
      <c r="G232" s="4" t="inlineStr">
        <is>
          <t>unknown</t>
        </is>
      </c>
      <c r="H232" s="4" t="inlineStr">
        <is>
          <t>Unknown</t>
        </is>
      </c>
      <c r="I232" s="4" t="n">
        <v>2</v>
      </c>
      <c r="J232" s="4" t="inlineStr">
        <is>
          <t>mdc_cooling_stations</t>
        </is>
      </c>
      <c r="K232" s="4" t="inlineStr">
        <is>
          <t>Curated</t>
        </is>
      </c>
      <c r="L232" s="4" t="inlineStr"/>
      <c r="M232" s="4" t="inlineStr">
        <is>
          <t>unknown</t>
        </is>
      </c>
      <c r="N232" s="4" t="inlineStr">
        <is>
          <t>2026-10-22</t>
        </is>
      </c>
      <c r="O232" s="14" t="inlineStr">
        <is>
          <t>pass</t>
        </is>
      </c>
      <c r="P232" s="14" t="inlineStr">
        <is>
          <t>pass</t>
        </is>
      </c>
      <c r="Q232" s="14" t="inlineStr">
        <is>
          <t>pass</t>
        </is>
      </c>
      <c r="R232" s="16" t="inlineStr">
        <is>
          <t>warn</t>
        </is>
      </c>
      <c r="S232" s="15" t="inlineStr">
        <is>
          <t>not_checked</t>
        </is>
      </c>
      <c r="T232" s="15" t="inlineStr">
        <is>
          <t>n.a.</t>
        </is>
      </c>
      <c r="U232" s="15" t="inlineStr">
        <is>
          <t>n.a.</t>
        </is>
      </c>
      <c r="V232" s="14" t="inlineStr">
        <is>
          <t>pass</t>
        </is>
      </c>
      <c r="W232" s="16" t="inlineStr">
        <is>
          <t>warn</t>
        </is>
      </c>
      <c r="X232" s="14" t="inlineStr">
        <is>
          <t>pass</t>
        </is>
      </c>
      <c r="Y232" s="15" t="inlineStr">
        <is>
          <t>not_checked</t>
        </is>
      </c>
      <c r="Z232" s="15" t="inlineStr">
        <is>
          <t>not_checked</t>
        </is>
      </c>
      <c r="AA232" s="15" t="inlineStr">
        <is>
          <t>not_checked</t>
        </is>
      </c>
      <c r="AB232" s="15" t="inlineStr">
        <is>
          <t>not_checked</t>
        </is>
      </c>
      <c r="AC232" s="15" t="inlineStr">
        <is>
          <t>not_checked</t>
        </is>
      </c>
      <c r="AD232" s="15" t="inlineStr">
        <is>
          <t>not_checked</t>
        </is>
      </c>
      <c r="AE232" s="15" t="inlineStr">
        <is>
          <t>not_checked</t>
        </is>
      </c>
      <c r="AF232" s="15" t="inlineStr">
        <is>
          <t>not_checked</t>
        </is>
      </c>
      <c r="AG232" s="15" t="inlineStr">
        <is>
          <t>not_checked</t>
        </is>
      </c>
      <c r="AH232" s="15" t="inlineStr">
        <is>
          <t>not_checked</t>
        </is>
      </c>
      <c r="AI232" s="14" t="inlineStr">
        <is>
          <t>pass</t>
        </is>
      </c>
      <c r="AJ232" s="15" t="inlineStr">
        <is>
          <t>not_checked</t>
        </is>
      </c>
      <c r="AK232" s="4" t="inlineStr">
        <is>
          <t>soft404(warn);persistent_id(warn)</t>
        </is>
      </c>
      <c r="AL232" s="17" t="inlineStr">
        <is>
          <t>https://gis-mdc.opendata.arcgis.com/datasets/MDC::police-station/about</t>
        </is>
      </c>
      <c r="AM232" s="4" t="inlineStr">
        <is>
          <t>us_mdc_police_stations</t>
        </is>
      </c>
    </row>
    <row r="233">
      <c r="A233" s="4" t="inlineStr">
        <is>
          <t>Miami-Dade Streets</t>
        </is>
      </c>
      <c r="B233" s="20" t="inlineStr">
        <is>
          <t>Bronze</t>
        </is>
      </c>
      <c r="C233" s="4" t="n">
        <v>86</v>
      </c>
      <c r="D233" s="4" t="inlineStr">
        <is>
          <t>built_environment</t>
        </is>
      </c>
      <c r="E233" s="4" t="inlineStr">
        <is>
          <t>degraded</t>
        </is>
      </c>
      <c r="F233" s="4" t="inlineStr">
        <is>
          <t>not checked</t>
        </is>
      </c>
      <c r="G233" s="4" t="inlineStr">
        <is>
          <t>unknown</t>
        </is>
      </c>
      <c r="H233" s="4" t="inlineStr">
        <is>
          <t>Unknown</t>
        </is>
      </c>
      <c r="I233" s="4" t="n">
        <v>2</v>
      </c>
      <c r="J233" s="4" t="inlineStr">
        <is>
          <t>mdc_streets</t>
        </is>
      </c>
      <c r="K233" s="4" t="inlineStr">
        <is>
          <t>Curated</t>
        </is>
      </c>
      <c r="L233" s="4" t="inlineStr"/>
      <c r="M233" s="4" t="inlineStr">
        <is>
          <t>unknown</t>
        </is>
      </c>
      <c r="N233" s="4" t="inlineStr">
        <is>
          <t>2026-10-22</t>
        </is>
      </c>
      <c r="O233" s="14" t="inlineStr">
        <is>
          <t>pass</t>
        </is>
      </c>
      <c r="P233" s="14" t="inlineStr">
        <is>
          <t>pass</t>
        </is>
      </c>
      <c r="Q233" s="14" t="inlineStr">
        <is>
          <t>pass</t>
        </is>
      </c>
      <c r="R233" s="16" t="inlineStr">
        <is>
          <t>warn</t>
        </is>
      </c>
      <c r="S233" s="15" t="inlineStr">
        <is>
          <t>not_checked</t>
        </is>
      </c>
      <c r="T233" s="14" t="inlineStr">
        <is>
          <t>pass</t>
        </is>
      </c>
      <c r="U233" s="14" t="inlineStr">
        <is>
          <t>pass</t>
        </is>
      </c>
      <c r="V233" s="14" t="inlineStr">
        <is>
          <t>pass</t>
        </is>
      </c>
      <c r="W233" s="16" t="inlineStr">
        <is>
          <t>warn</t>
        </is>
      </c>
      <c r="X233" s="14" t="inlineStr">
        <is>
          <t>pass</t>
        </is>
      </c>
      <c r="Y233" s="15" t="inlineStr">
        <is>
          <t>not_checked</t>
        </is>
      </c>
      <c r="Z233" s="15" t="inlineStr">
        <is>
          <t>not_checked</t>
        </is>
      </c>
      <c r="AA233" s="15" t="inlineStr">
        <is>
          <t>not_checked</t>
        </is>
      </c>
      <c r="AB233" s="15" t="inlineStr">
        <is>
          <t>not_checked</t>
        </is>
      </c>
      <c r="AC233" s="15" t="inlineStr">
        <is>
          <t>not_checked</t>
        </is>
      </c>
      <c r="AD233" s="15" t="inlineStr">
        <is>
          <t>not_checked</t>
        </is>
      </c>
      <c r="AE233" s="15" t="inlineStr">
        <is>
          <t>not_checked</t>
        </is>
      </c>
      <c r="AF233" s="15" t="inlineStr">
        <is>
          <t>not_checked</t>
        </is>
      </c>
      <c r="AG233" s="15" t="inlineStr">
        <is>
          <t>not_checked</t>
        </is>
      </c>
      <c r="AH233" s="15" t="inlineStr">
        <is>
          <t>not_checked</t>
        </is>
      </c>
      <c r="AI233" s="14" t="inlineStr">
        <is>
          <t>pass</t>
        </is>
      </c>
      <c r="AJ233" s="15" t="inlineStr">
        <is>
          <t>not_checked</t>
        </is>
      </c>
      <c r="AK233" s="4" t="inlineStr">
        <is>
          <t>soft404(warn);persistent_id(warn)</t>
        </is>
      </c>
      <c r="AL233" s="17" t="inlineStr">
        <is>
          <t>https://gis-mdc.opendata.arcgis.com/datasets/MDC::street/about</t>
        </is>
      </c>
      <c r="AM233" s="4" t="inlineStr">
        <is>
          <t>gaia_mdc_streets</t>
        </is>
      </c>
    </row>
    <row r="234">
      <c r="A234" s="4" t="inlineStr">
        <is>
          <t>Protected Areas Database of the United States (PAD-US)</t>
        </is>
      </c>
      <c r="B234" s="19" t="inlineStr">
        <is>
          <t>Silver</t>
        </is>
      </c>
      <c r="C234" s="4" t="n">
        <v>94</v>
      </c>
      <c r="D234" s="4" t="inlineStr">
        <is>
          <t>built_environment</t>
        </is>
      </c>
      <c r="E234" s="4" t="inlineStr">
        <is>
          <t>healthy</t>
        </is>
      </c>
      <c r="F234" s="4" t="inlineStr">
        <is>
          <t>public_domain_us_federal</t>
        </is>
      </c>
      <c r="G234" s="4" t="inlineStr">
        <is>
          <t>polygon</t>
        </is>
      </c>
      <c r="H234" s="4" t="inlineStr">
        <is>
          <t>Joins today</t>
        </is>
      </c>
      <c r="I234" s="4" t="n">
        <v>2</v>
      </c>
      <c r="J234" s="4" t="inlineStr"/>
      <c r="K234" s="4" t="inlineStr">
        <is>
          <t>Curated</t>
        </is>
      </c>
      <c r="L234" s="4" t="n">
        <v>2024</v>
      </c>
      <c r="M234" s="4" t="inlineStr">
        <is>
          <t>open</t>
        </is>
      </c>
      <c r="N234" s="4" t="inlineStr">
        <is>
          <t>2026-10-29</t>
        </is>
      </c>
      <c r="O234" s="14" t="inlineStr">
        <is>
          <t>pass</t>
        </is>
      </c>
      <c r="P234" s="14" t="inlineStr">
        <is>
          <t>pass</t>
        </is>
      </c>
      <c r="Q234" s="14" t="inlineStr">
        <is>
          <t>pass</t>
        </is>
      </c>
      <c r="R234" s="14" t="inlineStr">
        <is>
          <t>pass</t>
        </is>
      </c>
      <c r="S234" s="14" t="inlineStr">
        <is>
          <t>pass</t>
        </is>
      </c>
      <c r="T234" s="14" t="inlineStr">
        <is>
          <t>pass</t>
        </is>
      </c>
      <c r="U234" s="14" t="inlineStr">
        <is>
          <t>pass</t>
        </is>
      </c>
      <c r="V234" s="16" t="inlineStr">
        <is>
          <t>warn</t>
        </is>
      </c>
      <c r="W234" s="14" t="inlineStr">
        <is>
          <t>pass</t>
        </is>
      </c>
      <c r="X234" s="14" t="inlineStr">
        <is>
          <t>pass</t>
        </is>
      </c>
      <c r="Y234" s="14" t="inlineStr">
        <is>
          <t>pass</t>
        </is>
      </c>
      <c r="Z234" s="16" t="inlineStr">
        <is>
          <t>warn</t>
        </is>
      </c>
      <c r="AA234" s="14" t="inlineStr">
        <is>
          <t>pass</t>
        </is>
      </c>
      <c r="AB234" s="16" t="inlineStr">
        <is>
          <t>warn</t>
        </is>
      </c>
      <c r="AC234" s="14" t="inlineStr">
        <is>
          <t>pass</t>
        </is>
      </c>
      <c r="AD234" s="14" t="inlineStr">
        <is>
          <t>pass</t>
        </is>
      </c>
      <c r="AE234" s="14" t="inlineStr">
        <is>
          <t>pass</t>
        </is>
      </c>
      <c r="AF234" s="14" t="inlineStr">
        <is>
          <t>pass</t>
        </is>
      </c>
      <c r="AG234" s="14" t="inlineStr">
        <is>
          <t>pass</t>
        </is>
      </c>
      <c r="AH234" s="14" t="inlineStr">
        <is>
          <t>pass</t>
        </is>
      </c>
      <c r="AI234" s="15" t="inlineStr">
        <is>
          <t>n.a.</t>
        </is>
      </c>
      <c r="AJ234" s="15" t="inlineStr">
        <is>
          <t>n.a.</t>
        </is>
      </c>
      <c r="AK234" s="4" t="inlineStr">
        <is>
          <t>machine_metadata(warn);temporal(warn);cadence(warn)</t>
        </is>
      </c>
      <c r="AL234" s="17" t="inlineStr">
        <is>
          <t>https://www.usgs.gov/programs/gap-analysis-project/science/pad-us-data-overview</t>
        </is>
      </c>
      <c r="AM234" s="4" t="inlineStr">
        <is>
          <t>us_usgs_padus</t>
        </is>
      </c>
    </row>
    <row r="235">
      <c r="A235" s="4" t="inlineStr">
        <is>
          <t>Red Vial Nacional, Departamental y Vecinal (MINAM geoservidor; IGN source)</t>
        </is>
      </c>
      <c r="B235" s="20" t="inlineStr">
        <is>
          <t>Bronze</t>
        </is>
      </c>
      <c r="C235" s="4" t="n">
        <v>78</v>
      </c>
      <c r="D235" s="4" t="inlineStr">
        <is>
          <t>built_environment</t>
        </is>
      </c>
      <c r="E235" s="4" t="inlineStr">
        <is>
          <t>degraded</t>
        </is>
      </c>
      <c r="F235" s="4" t="inlineStr">
        <is>
          <t>not checked</t>
        </is>
      </c>
      <c r="G235" s="4" t="inlineStr">
        <is>
          <t>unknown</t>
        </is>
      </c>
      <c r="H235" s="4" t="inlineStr">
        <is>
          <t>Unknown</t>
        </is>
      </c>
      <c r="I235" s="4" t="n">
        <v>2</v>
      </c>
      <c r="J235" s="4" t="inlineStr"/>
      <c r="K235" s="4" t="inlineStr">
        <is>
          <t>Curated</t>
        </is>
      </c>
      <c r="L235" s="4" t="inlineStr"/>
      <c r="M235" s="4" t="inlineStr">
        <is>
          <t>unknown</t>
        </is>
      </c>
      <c r="N235" s="4" t="inlineStr">
        <is>
          <t>2026-10-22</t>
        </is>
      </c>
      <c r="O235" s="14" t="inlineStr">
        <is>
          <t>pass</t>
        </is>
      </c>
      <c r="P235" s="14" t="inlineStr">
        <is>
          <t>pass</t>
        </is>
      </c>
      <c r="Q235" s="14" t="inlineStr">
        <is>
          <t>pass</t>
        </is>
      </c>
      <c r="R235" s="16" t="inlineStr">
        <is>
          <t>warn</t>
        </is>
      </c>
      <c r="S235" s="14" t="inlineStr">
        <is>
          <t>pass</t>
        </is>
      </c>
      <c r="T235" s="15" t="inlineStr">
        <is>
          <t>n.a.</t>
        </is>
      </c>
      <c r="U235" s="15" t="inlineStr">
        <is>
          <t>n.a.</t>
        </is>
      </c>
      <c r="V235" s="18" t="inlineStr">
        <is>
          <t>fail</t>
        </is>
      </c>
      <c r="W235" s="16" t="inlineStr">
        <is>
          <t>warn</t>
        </is>
      </c>
      <c r="X235" s="18" t="inlineStr">
        <is>
          <t>fail</t>
        </is>
      </c>
      <c r="Y235" s="15" t="inlineStr">
        <is>
          <t>not_checked</t>
        </is>
      </c>
      <c r="Z235" s="15" t="inlineStr">
        <is>
          <t>not_checked</t>
        </is>
      </c>
      <c r="AA235" s="15" t="inlineStr">
        <is>
          <t>not_checked</t>
        </is>
      </c>
      <c r="AB235" s="15" t="inlineStr">
        <is>
          <t>not_checked</t>
        </is>
      </c>
      <c r="AC235" s="15" t="inlineStr">
        <is>
          <t>not_checked</t>
        </is>
      </c>
      <c r="AD235" s="15" t="inlineStr">
        <is>
          <t>not_checked</t>
        </is>
      </c>
      <c r="AE235" s="15" t="inlineStr">
        <is>
          <t>not_checked</t>
        </is>
      </c>
      <c r="AF235" s="15" t="inlineStr">
        <is>
          <t>not_checked</t>
        </is>
      </c>
      <c r="AG235" s="15" t="inlineStr">
        <is>
          <t>not_checked</t>
        </is>
      </c>
      <c r="AH235" s="15" t="inlineStr">
        <is>
          <t>not_checked</t>
        </is>
      </c>
      <c r="AI235" s="15" t="inlineStr">
        <is>
          <t>n.a.</t>
        </is>
      </c>
      <c r="AJ235" s="15" t="inlineStr">
        <is>
          <t>n.a.</t>
        </is>
      </c>
      <c r="AK235" s="4" t="inlineStr">
        <is>
          <t>machine_metadata;archived;soft404(warn);persistent_id(warn)</t>
        </is>
      </c>
      <c r="AL235" s="17" t="inlineStr">
        <is>
          <t>https://geoservidorperu.minam.gob.pe/arcgis/rest/services/Servicio_Degradacion_tematicas/MapServer/1</t>
        </is>
      </c>
      <c r="AM235" s="4" t="inlineStr">
        <is>
          <t>pe_minam_red_vial</t>
        </is>
      </c>
    </row>
    <row r="236">
      <c r="A236" s="4" t="inlineStr">
        <is>
          <t>Global Fire Emissions Database (GFED5; GFED4s predecessor)</t>
        </is>
      </c>
      <c r="B236" s="20" t="inlineStr">
        <is>
          <t>Bronze</t>
        </is>
      </c>
      <c r="C236" s="4" t="n">
        <v>82</v>
      </c>
      <c r="D236" s="4" t="inlineStr">
        <is>
          <t>climate_hazard</t>
        </is>
      </c>
      <c r="E236" s="4" t="inlineStr">
        <is>
          <t>degraded</t>
        </is>
      </c>
      <c r="F236" s="4" t="inlineStr">
        <is>
          <t>unknown</t>
        </is>
      </c>
      <c r="G236" s="4" t="inlineStr">
        <is>
          <t>grid_0.25deg</t>
        </is>
      </c>
      <c r="H236" s="4" t="inlineStr">
        <is>
          <t>Needs raster support</t>
        </is>
      </c>
      <c r="I236" s="4" t="n">
        <v>3</v>
      </c>
      <c r="J236" s="4" t="inlineStr"/>
      <c r="K236" s="4" t="inlineStr">
        <is>
          <t>Curated</t>
        </is>
      </c>
      <c r="L236" s="4" t="n">
        <v>2026</v>
      </c>
      <c r="M236" s="4" t="inlineStr">
        <is>
          <t>open</t>
        </is>
      </c>
      <c r="N236" s="4" t="inlineStr">
        <is>
          <t>2026-10-22</t>
        </is>
      </c>
      <c r="O236" s="14" t="inlineStr">
        <is>
          <t>pass</t>
        </is>
      </c>
      <c r="P236" s="14" t="inlineStr">
        <is>
          <t>pass</t>
        </is>
      </c>
      <c r="Q236" s="14" t="inlineStr">
        <is>
          <t>pass</t>
        </is>
      </c>
      <c r="R236" s="14" t="inlineStr">
        <is>
          <t>pass</t>
        </is>
      </c>
      <c r="S236" s="14" t="inlineStr">
        <is>
          <t>pass</t>
        </is>
      </c>
      <c r="T236" s="18" t="inlineStr">
        <is>
          <t>fail</t>
        </is>
      </c>
      <c r="U236" s="15" t="inlineStr">
        <is>
          <t>n.a.</t>
        </is>
      </c>
      <c r="V236" s="18" t="inlineStr">
        <is>
          <t>fail</t>
        </is>
      </c>
      <c r="W236" s="16" t="inlineStr">
        <is>
          <t>warn</t>
        </is>
      </c>
      <c r="X236" s="14" t="inlineStr">
        <is>
          <t>pass</t>
        </is>
      </c>
      <c r="Y236" s="18" t="inlineStr">
        <is>
          <t>fail</t>
        </is>
      </c>
      <c r="Z236" s="14" t="inlineStr">
        <is>
          <t>pass</t>
        </is>
      </c>
      <c r="AA236" s="14" t="inlineStr">
        <is>
          <t>pass</t>
        </is>
      </c>
      <c r="AB236" s="14" t="inlineStr">
        <is>
          <t>pass</t>
        </is>
      </c>
      <c r="AC236" s="14" t="inlineStr">
        <is>
          <t>pass</t>
        </is>
      </c>
      <c r="AD236" s="14" t="inlineStr">
        <is>
          <t>pass</t>
        </is>
      </c>
      <c r="AE236" s="16" t="inlineStr">
        <is>
          <t>warn</t>
        </is>
      </c>
      <c r="AF236" s="14" t="inlineStr">
        <is>
          <t>pass</t>
        </is>
      </c>
      <c r="AG236" s="14" t="inlineStr">
        <is>
          <t>pass</t>
        </is>
      </c>
      <c r="AH236" s="14" t="inlineStr">
        <is>
          <t>pass</t>
        </is>
      </c>
      <c r="AI236" s="15" t="inlineStr">
        <is>
          <t>n.a.</t>
        </is>
      </c>
      <c r="AJ236" s="15" t="inlineStr">
        <is>
          <t>n.a.</t>
        </is>
      </c>
      <c r="AK236" s="4" t="inlineStr">
        <is>
          <t>access_url;machine_metadata;license;persistent_id(warn);coverage(warn)</t>
        </is>
      </c>
      <c r="AL236" s="17" t="inlineStr">
        <is>
          <t>https://www.globalfiredata.org/</t>
        </is>
      </c>
      <c r="AM236" s="4" t="inlineStr">
        <is>
          <t>global_gfed</t>
        </is>
      </c>
    </row>
    <row r="237">
      <c r="A237" s="4" t="inlineStr">
        <is>
          <t>HadUK-Grid</t>
        </is>
      </c>
      <c r="B237" s="20" t="inlineStr">
        <is>
          <t>Bronze</t>
        </is>
      </c>
      <c r="C237" s="4" t="n">
        <v>78</v>
      </c>
      <c r="D237" s="4" t="inlineStr">
        <is>
          <t>climate_hazard</t>
        </is>
      </c>
      <c r="E237" s="4" t="inlineStr">
        <is>
          <t>healthy</t>
        </is>
      </c>
      <c r="F237" s="4" t="inlineStr">
        <is>
          <t>unknown</t>
        </is>
      </c>
      <c r="G237" s="4" t="inlineStr">
        <is>
          <t>grid_1km</t>
        </is>
      </c>
      <c r="H237" s="4" t="inlineStr">
        <is>
          <t>Needs raster support</t>
        </is>
      </c>
      <c r="I237" s="4" t="n">
        <v>3</v>
      </c>
      <c r="J237" s="4" t="inlineStr"/>
      <c r="K237" s="4" t="inlineStr">
        <is>
          <t>Curated</t>
        </is>
      </c>
      <c r="L237" s="4" t="n">
        <v>2026</v>
      </c>
      <c r="M237" s="4" t="inlineStr">
        <is>
          <t>open</t>
        </is>
      </c>
      <c r="N237" s="4" t="inlineStr">
        <is>
          <t>2026-10-22</t>
        </is>
      </c>
      <c r="O237" s="14" t="inlineStr">
        <is>
          <t>pass</t>
        </is>
      </c>
      <c r="P237" s="14" t="inlineStr">
        <is>
          <t>pass</t>
        </is>
      </c>
      <c r="Q237" s="14" t="inlineStr">
        <is>
          <t>pass</t>
        </is>
      </c>
      <c r="R237" s="14" t="inlineStr">
        <is>
          <t>pass</t>
        </is>
      </c>
      <c r="S237" s="14" t="inlineStr">
        <is>
          <t>pass</t>
        </is>
      </c>
      <c r="T237" s="15" t="inlineStr">
        <is>
          <t>n.a.</t>
        </is>
      </c>
      <c r="U237" s="15" t="inlineStr">
        <is>
          <t>n.a.</t>
        </is>
      </c>
      <c r="V237" s="16" t="inlineStr">
        <is>
          <t>warn</t>
        </is>
      </c>
      <c r="W237" s="16" t="inlineStr">
        <is>
          <t>warn</t>
        </is>
      </c>
      <c r="X237" s="14" t="inlineStr">
        <is>
          <t>pass</t>
        </is>
      </c>
      <c r="Y237" s="18" t="inlineStr">
        <is>
          <t>fail</t>
        </is>
      </c>
      <c r="Z237" s="14" t="inlineStr">
        <is>
          <t>pass</t>
        </is>
      </c>
      <c r="AA237" s="14" t="inlineStr">
        <is>
          <t>pass</t>
        </is>
      </c>
      <c r="AB237" s="15" t="inlineStr">
        <is>
          <t>not_checked</t>
        </is>
      </c>
      <c r="AC237" s="15" t="inlineStr">
        <is>
          <t>not_checked</t>
        </is>
      </c>
      <c r="AD237" s="14" t="inlineStr">
        <is>
          <t>pass</t>
        </is>
      </c>
      <c r="AE237" s="16" t="inlineStr">
        <is>
          <t>warn</t>
        </is>
      </c>
      <c r="AF237" s="15" t="inlineStr">
        <is>
          <t>not_checked</t>
        </is>
      </c>
      <c r="AG237" s="16" t="inlineStr">
        <is>
          <t>warn</t>
        </is>
      </c>
      <c r="AH237" s="14" t="inlineStr">
        <is>
          <t>pass</t>
        </is>
      </c>
      <c r="AI237" s="15" t="inlineStr">
        <is>
          <t>n.a.</t>
        </is>
      </c>
      <c r="AJ237" s="15" t="inlineStr">
        <is>
          <t>n.a.</t>
        </is>
      </c>
      <c r="AK237" s="4" t="inlineStr">
        <is>
          <t>license;machine_metadata(warn);persistent_id(warn);coverage(warn);join_key(warn)</t>
        </is>
      </c>
      <c r="AL237" s="17" t="inlineStr">
        <is>
          <t>https://www.metoffice.gov.uk/research/climate/maps-and-data/data/haduk-grid/haduk-grid</t>
        </is>
      </c>
      <c r="AM237" s="4" t="inlineStr">
        <is>
          <t>gb_metoffice_haduk_grid</t>
        </is>
      </c>
    </row>
    <row r="238">
      <c r="A238" s="4" t="inlineStr">
        <is>
          <t>Hazard Mapping System (HMS) Fire and Smoke Product</t>
        </is>
      </c>
      <c r="B238" s="13" t="inlineStr">
        <is>
          <t>Gold</t>
        </is>
      </c>
      <c r="C238" s="4" t="n">
        <v>98</v>
      </c>
      <c r="D238" s="4" t="inlineStr">
        <is>
          <t>climate_hazard</t>
        </is>
      </c>
      <c r="E238" s="4" t="inlineStr">
        <is>
          <t>healthy</t>
        </is>
      </c>
      <c r="F238" s="4" t="inlineStr">
        <is>
          <t>public_domain_us_federal</t>
        </is>
      </c>
      <c r="G238" s="4" t="inlineStr">
        <is>
          <t>point</t>
        </is>
      </c>
      <c r="H238" s="4" t="inlineStr">
        <is>
          <t>Needs a count/distance step</t>
        </is>
      </c>
      <c r="I238" s="4" t="n">
        <v>3</v>
      </c>
      <c r="J238" s="4" t="inlineStr"/>
      <c r="K238" s="4" t="inlineStr">
        <is>
          <t>Curated</t>
        </is>
      </c>
      <c r="L238" s="4" t="n">
        <v>2026</v>
      </c>
      <c r="M238" s="4" t="inlineStr">
        <is>
          <t>open</t>
        </is>
      </c>
      <c r="N238" s="4" t="inlineStr">
        <is>
          <t>2026-10-29</t>
        </is>
      </c>
      <c r="O238" s="14" t="inlineStr">
        <is>
          <t>pass</t>
        </is>
      </c>
      <c r="P238" s="14" t="inlineStr">
        <is>
          <t>pass</t>
        </is>
      </c>
      <c r="Q238" s="14" t="inlineStr">
        <is>
          <t>pass</t>
        </is>
      </c>
      <c r="R238" s="14" t="inlineStr">
        <is>
          <t>pass</t>
        </is>
      </c>
      <c r="S238" s="14" t="inlineStr">
        <is>
          <t>pass</t>
        </is>
      </c>
      <c r="T238" s="14" t="inlineStr">
        <is>
          <t>pass</t>
        </is>
      </c>
      <c r="U238" s="14" t="inlineStr">
        <is>
          <t>pass</t>
        </is>
      </c>
      <c r="V238" s="16" t="inlineStr">
        <is>
          <t>warn</t>
        </is>
      </c>
      <c r="W238" s="16" t="inlineStr">
        <is>
          <t>warn</t>
        </is>
      </c>
      <c r="X238" s="14" t="inlineStr">
        <is>
          <t>pass</t>
        </is>
      </c>
      <c r="Y238" s="14" t="inlineStr">
        <is>
          <t>pass</t>
        </is>
      </c>
      <c r="Z238" s="14" t="inlineStr">
        <is>
          <t>pass</t>
        </is>
      </c>
      <c r="AA238" s="14" t="inlineStr">
        <is>
          <t>pass</t>
        </is>
      </c>
      <c r="AB238" s="14" t="inlineStr">
        <is>
          <t>pass</t>
        </is>
      </c>
      <c r="AC238" s="16" t="inlineStr">
        <is>
          <t>warn</t>
        </is>
      </c>
      <c r="AD238" s="14" t="inlineStr">
        <is>
          <t>pass</t>
        </is>
      </c>
      <c r="AE238" s="14" t="inlineStr">
        <is>
          <t>pass</t>
        </is>
      </c>
      <c r="AF238" s="14" t="inlineStr">
        <is>
          <t>pass</t>
        </is>
      </c>
      <c r="AG238" s="14" t="inlineStr">
        <is>
          <t>pass</t>
        </is>
      </c>
      <c r="AH238" s="14" t="inlineStr">
        <is>
          <t>pass</t>
        </is>
      </c>
      <c r="AI238" s="15" t="inlineStr">
        <is>
          <t>n.a.</t>
        </is>
      </c>
      <c r="AJ238" s="15" t="inlineStr">
        <is>
          <t>n.a.</t>
        </is>
      </c>
      <c r="AK238" s="4" t="inlineStr">
        <is>
          <t>machine_metadata(warn);persistent_id(warn);version(warn)</t>
        </is>
      </c>
      <c r="AL238" s="17" t="inlineStr">
        <is>
          <t>https://www.ospo.noaa.gov/products/land/hms.html</t>
        </is>
      </c>
      <c r="AM238" s="4" t="inlineStr">
        <is>
          <t>us_noaa_hms_smoke_fire</t>
        </is>
      </c>
    </row>
    <row r="239">
      <c r="A239" s="4" t="inlineStr">
        <is>
          <t>INFORM Risk Index (global, country level) and INFORM Subnational Risk models</t>
        </is>
      </c>
      <c r="B239" s="20" t="inlineStr">
        <is>
          <t>Bronze</t>
        </is>
      </c>
      <c r="C239" s="4" t="n">
        <v>76</v>
      </c>
      <c r="D239" s="4" t="inlineStr">
        <is>
          <t>climate_hazard</t>
        </is>
      </c>
      <c r="E239" s="4" t="inlineStr">
        <is>
          <t>degraded</t>
        </is>
      </c>
      <c r="F239" s="4" t="inlineStr">
        <is>
          <t>unknown</t>
        </is>
      </c>
      <c r="G239" s="4" t="inlineStr">
        <is>
          <t>admin2</t>
        </is>
      </c>
      <c r="H239" s="4" t="inlineStr">
        <is>
          <t>Joins today</t>
        </is>
      </c>
      <c r="I239" s="4" t="n">
        <v>3</v>
      </c>
      <c r="J239" s="4" t="inlineStr"/>
      <c r="K239" s="4" t="inlineStr">
        <is>
          <t>Curated</t>
        </is>
      </c>
      <c r="L239" s="4" t="n">
        <v>2026</v>
      </c>
      <c r="M239" s="4" t="inlineStr">
        <is>
          <t>open</t>
        </is>
      </c>
      <c r="N239" s="4" t="inlineStr">
        <is>
          <t>2026-10-22</t>
        </is>
      </c>
      <c r="O239" s="14" t="inlineStr">
        <is>
          <t>pass</t>
        </is>
      </c>
      <c r="P239" s="14" t="inlineStr">
        <is>
          <t>pass</t>
        </is>
      </c>
      <c r="Q239" s="14" t="inlineStr">
        <is>
          <t>pass</t>
        </is>
      </c>
      <c r="R239" s="14" t="inlineStr">
        <is>
          <t>pass</t>
        </is>
      </c>
      <c r="S239" s="14" t="inlineStr">
        <is>
          <t>pass</t>
        </is>
      </c>
      <c r="T239" s="14" t="inlineStr">
        <is>
          <t>pass</t>
        </is>
      </c>
      <c r="U239" s="14" t="inlineStr">
        <is>
          <t>pass</t>
        </is>
      </c>
      <c r="V239" s="18" t="inlineStr">
        <is>
          <t>fail</t>
        </is>
      </c>
      <c r="W239" s="16" t="inlineStr">
        <is>
          <t>warn</t>
        </is>
      </c>
      <c r="X239" s="14" t="inlineStr">
        <is>
          <t>pass</t>
        </is>
      </c>
      <c r="Y239" s="18" t="inlineStr">
        <is>
          <t>fail</t>
        </is>
      </c>
      <c r="Z239" s="14" t="inlineStr">
        <is>
          <t>pass</t>
        </is>
      </c>
      <c r="AA239" s="14" t="inlineStr">
        <is>
          <t>pass</t>
        </is>
      </c>
      <c r="AB239" s="16" t="inlineStr">
        <is>
          <t>warn</t>
        </is>
      </c>
      <c r="AC239" s="14" t="inlineStr">
        <is>
          <t>pass</t>
        </is>
      </c>
      <c r="AD239" s="15" t="inlineStr">
        <is>
          <t>not_checked</t>
        </is>
      </c>
      <c r="AE239" s="14" t="inlineStr">
        <is>
          <t>pass</t>
        </is>
      </c>
      <c r="AF239" s="14" t="inlineStr">
        <is>
          <t>pass</t>
        </is>
      </c>
      <c r="AG239" s="15" t="inlineStr">
        <is>
          <t>not_checked</t>
        </is>
      </c>
      <c r="AH239" s="16" t="inlineStr">
        <is>
          <t>warn</t>
        </is>
      </c>
      <c r="AI239" s="15" t="inlineStr">
        <is>
          <t>n.a.</t>
        </is>
      </c>
      <c r="AJ239" s="15" t="inlineStr">
        <is>
          <t>n.a.</t>
        </is>
      </c>
      <c r="AK239" s="4" t="inlineStr">
        <is>
          <t>machine_metadata;license;persistent_id(warn);cadence(warn);format_gaia(warn)</t>
        </is>
      </c>
      <c r="AL239" s="17" t="inlineStr">
        <is>
          <t>https://drmkc.jrc.ec.europa.eu/inform-index</t>
        </is>
      </c>
      <c r="AM239" s="4" t="inlineStr">
        <is>
          <t>global_jrc_inform_risk</t>
        </is>
      </c>
    </row>
    <row r="240">
      <c r="A240" s="4" t="inlineStr">
        <is>
          <t>MERRA-2: Modern-Era Retrospective analysis for Research and Applications, Version 2</t>
        </is>
      </c>
      <c r="B240" s="19" t="inlineStr">
        <is>
          <t>Silver</t>
        </is>
      </c>
      <c r="C240" s="4" t="n">
        <v>92</v>
      </c>
      <c r="D240" s="4" t="inlineStr">
        <is>
          <t>climate_hazard</t>
        </is>
      </c>
      <c r="E240" s="4" t="inlineStr">
        <is>
          <t>healthy</t>
        </is>
      </c>
      <c r="F240" s="4" t="inlineStr">
        <is>
          <t>public_domain_us_federal</t>
        </is>
      </c>
      <c r="G240" s="4" t="inlineStr">
        <is>
          <t>grid_0.5deg (page: 'about 50 km in the latitudinal direction')</t>
        </is>
      </c>
      <c r="H240" s="4" t="inlineStr">
        <is>
          <t>Needs raster support</t>
        </is>
      </c>
      <c r="I240" s="4" t="n">
        <v>3</v>
      </c>
      <c r="J240" s="4" t="inlineStr"/>
      <c r="K240" s="4" t="inlineStr">
        <is>
          <t>Curated</t>
        </is>
      </c>
      <c r="L240" s="4" t="inlineStr">
        <is>
          <t>current</t>
        </is>
      </c>
      <c r="M240" s="4" t="inlineStr">
        <is>
          <t>registration</t>
        </is>
      </c>
      <c r="N240" s="4" t="inlineStr">
        <is>
          <t>2026-10-29</t>
        </is>
      </c>
      <c r="O240" s="14" t="inlineStr">
        <is>
          <t>pass</t>
        </is>
      </c>
      <c r="P240" s="14" t="inlineStr">
        <is>
          <t>pass</t>
        </is>
      </c>
      <c r="Q240" s="14" t="inlineStr">
        <is>
          <t>pass</t>
        </is>
      </c>
      <c r="R240" s="14" t="inlineStr">
        <is>
          <t>pass</t>
        </is>
      </c>
      <c r="S240" s="14" t="inlineStr">
        <is>
          <t>pass</t>
        </is>
      </c>
      <c r="T240" s="14" t="inlineStr">
        <is>
          <t>pass</t>
        </is>
      </c>
      <c r="U240" s="16" t="inlineStr">
        <is>
          <t>warn</t>
        </is>
      </c>
      <c r="V240" s="16" t="inlineStr">
        <is>
          <t>warn</t>
        </is>
      </c>
      <c r="W240" s="16" t="inlineStr">
        <is>
          <t>warn</t>
        </is>
      </c>
      <c r="X240" s="14" t="inlineStr">
        <is>
          <t>pass</t>
        </is>
      </c>
      <c r="Y240" s="14" t="inlineStr">
        <is>
          <t>pass</t>
        </is>
      </c>
      <c r="Z240" s="16" t="inlineStr">
        <is>
          <t>warn</t>
        </is>
      </c>
      <c r="AA240" s="15" t="inlineStr">
        <is>
          <t>not_checked</t>
        </is>
      </c>
      <c r="AB240" s="15" t="inlineStr">
        <is>
          <t>not_checked</t>
        </is>
      </c>
      <c r="AC240" s="16" t="inlineStr">
        <is>
          <t>warn</t>
        </is>
      </c>
      <c r="AD240" s="14" t="inlineStr">
        <is>
          <t>pass</t>
        </is>
      </c>
      <c r="AE240" s="14" t="inlineStr">
        <is>
          <t>pass</t>
        </is>
      </c>
      <c r="AF240" s="15" t="inlineStr">
        <is>
          <t>not_checked</t>
        </is>
      </c>
      <c r="AG240" s="15" t="inlineStr">
        <is>
          <t>not_checked</t>
        </is>
      </c>
      <c r="AH240" s="15" t="inlineStr">
        <is>
          <t>not_checked</t>
        </is>
      </c>
      <c r="AI240" s="15" t="inlineStr">
        <is>
          <t>n.a.</t>
        </is>
      </c>
      <c r="AJ240" s="15" t="inlineStr">
        <is>
          <t>n.a.</t>
        </is>
      </c>
      <c r="AK240" s="4" t="inlineStr">
        <is>
          <t>format_match(warn);machine_metadata(warn);persistent_id(warn);temporal(warn);version(warn)</t>
        </is>
      </c>
      <c r="AL240" s="17" t="inlineStr">
        <is>
          <t>https://gmao.gsfc.nasa.gov/gmao-products/merra-2/</t>
        </is>
      </c>
      <c r="AM240" s="4" t="inlineStr">
        <is>
          <t>global_nasa_merra2</t>
        </is>
      </c>
    </row>
    <row r="241">
      <c r="A241" s="4" t="inlineStr">
        <is>
          <t>NIHHIS Urban Heat Island Mapping Campaigns (Heat Watch)</t>
        </is>
      </c>
      <c r="B241" s="19" t="inlineStr">
        <is>
          <t>Silver</t>
        </is>
      </c>
      <c r="C241" s="4" t="n">
        <v>79</v>
      </c>
      <c r="D241" s="4" t="inlineStr">
        <is>
          <t>climate_hazard</t>
        </is>
      </c>
      <c r="E241" s="4" t="inlineStr">
        <is>
          <t>healthy</t>
        </is>
      </c>
      <c r="F241" s="4" t="inlineStr">
        <is>
          <t>public_domain_us_federal</t>
        </is>
      </c>
      <c r="G241" s="4" t="inlineStr">
        <is>
          <t>point</t>
        </is>
      </c>
      <c r="H241" s="4" t="inlineStr">
        <is>
          <t>Needs raster support</t>
        </is>
      </c>
      <c r="I241" s="4" t="n">
        <v>3</v>
      </c>
      <c r="J241" s="4" t="inlineStr"/>
      <c r="K241" s="4" t="inlineStr">
        <is>
          <t>Curated</t>
        </is>
      </c>
      <c r="L241" s="4" t="inlineStr">
        <is>
          <t>current</t>
        </is>
      </c>
      <c r="M241" s="4" t="inlineStr">
        <is>
          <t>open</t>
        </is>
      </c>
      <c r="N241" s="4" t="inlineStr">
        <is>
          <t>2026-10-29</t>
        </is>
      </c>
      <c r="O241" s="14" t="inlineStr">
        <is>
          <t>pass</t>
        </is>
      </c>
      <c r="P241" s="14" t="inlineStr">
        <is>
          <t>pass</t>
        </is>
      </c>
      <c r="Q241" s="14" t="inlineStr">
        <is>
          <t>pass</t>
        </is>
      </c>
      <c r="R241" s="14" t="inlineStr">
        <is>
          <t>pass</t>
        </is>
      </c>
      <c r="S241" s="14" t="inlineStr">
        <is>
          <t>pass</t>
        </is>
      </c>
      <c r="T241" s="16" t="inlineStr">
        <is>
          <t>warn</t>
        </is>
      </c>
      <c r="U241" s="15" t="inlineStr">
        <is>
          <t>n.a.</t>
        </is>
      </c>
      <c r="V241" s="16" t="inlineStr">
        <is>
          <t>warn</t>
        </is>
      </c>
      <c r="W241" s="16" t="inlineStr">
        <is>
          <t>warn</t>
        </is>
      </c>
      <c r="X241" s="14" t="inlineStr">
        <is>
          <t>pass</t>
        </is>
      </c>
      <c r="Y241" s="14" t="inlineStr">
        <is>
          <t>pass</t>
        </is>
      </c>
      <c r="Z241" s="15" t="inlineStr">
        <is>
          <t>not_checked</t>
        </is>
      </c>
      <c r="AA241" s="15" t="inlineStr">
        <is>
          <t>not_checked</t>
        </is>
      </c>
      <c r="AB241" s="16" t="inlineStr">
        <is>
          <t>warn</t>
        </is>
      </c>
      <c r="AC241" s="15" t="inlineStr">
        <is>
          <t>not_checked</t>
        </is>
      </c>
      <c r="AD241" s="16" t="inlineStr">
        <is>
          <t>warn</t>
        </is>
      </c>
      <c r="AE241" s="16" t="inlineStr">
        <is>
          <t>warn</t>
        </is>
      </c>
      <c r="AF241" s="16" t="inlineStr">
        <is>
          <t>warn</t>
        </is>
      </c>
      <c r="AG241" s="16" t="inlineStr">
        <is>
          <t>warn</t>
        </is>
      </c>
      <c r="AH241" s="15" t="inlineStr">
        <is>
          <t>not_checked</t>
        </is>
      </c>
      <c r="AI241" s="15" t="inlineStr">
        <is>
          <t>n.a.</t>
        </is>
      </c>
      <c r="AJ241" s="15" t="inlineStr">
        <is>
          <t>n.a.</t>
        </is>
      </c>
      <c r="AK241" s="4" t="inlineStr">
        <is>
          <t>access_url(warn);machine_metadata(warn);persistent_id(warn);cadence(warn);unit(warn);coverage(warn);access(warn);join_key(warn)</t>
        </is>
      </c>
      <c r="AL241" s="17" t="inlineStr">
        <is>
          <t>https://toolkit.climate.gov/tool/heat-watch-campaigns</t>
        </is>
      </c>
      <c r="AM241" s="4" t="inlineStr">
        <is>
          <t>us_noaa_nihhis_uhi_mapping_campaigns</t>
        </is>
      </c>
    </row>
    <row r="242">
      <c r="A242" s="4" t="inlineStr">
        <is>
          <t>NWS HeatRisk</t>
        </is>
      </c>
      <c r="B242" s="19" t="inlineStr">
        <is>
          <t>Silver</t>
        </is>
      </c>
      <c r="C242" s="4" t="n">
        <v>91</v>
      </c>
      <c r="D242" s="4" t="inlineStr">
        <is>
          <t>climate_hazard</t>
        </is>
      </c>
      <c r="E242" s="4" t="inlineStr">
        <is>
          <t>degraded</t>
        </is>
      </c>
      <c r="F242" s="4" t="inlineStr">
        <is>
          <t>public_domain_us_federal</t>
        </is>
      </c>
      <c r="G242" s="4" t="inlineStr">
        <is>
          <t>grid_</t>
        </is>
      </c>
      <c r="H242" s="4" t="inlineStr">
        <is>
          <t>Needs raster support</t>
        </is>
      </c>
      <c r="I242" s="4" t="n">
        <v>3</v>
      </c>
      <c r="J242" s="4" t="inlineStr"/>
      <c r="K242" s="4" t="inlineStr">
        <is>
          <t>Curated</t>
        </is>
      </c>
      <c r="L242" s="4" t="n">
        <v>2026</v>
      </c>
      <c r="M242" s="4" t="inlineStr">
        <is>
          <t>open</t>
        </is>
      </c>
      <c r="N242" s="4" t="inlineStr">
        <is>
          <t>2026-10-29</t>
        </is>
      </c>
      <c r="O242" s="14" t="inlineStr">
        <is>
          <t>pass</t>
        </is>
      </c>
      <c r="P242" s="14" t="inlineStr">
        <is>
          <t>pass</t>
        </is>
      </c>
      <c r="Q242" s="14" t="inlineStr">
        <is>
          <t>pass</t>
        </is>
      </c>
      <c r="R242" s="14" t="inlineStr">
        <is>
          <t>pass</t>
        </is>
      </c>
      <c r="S242" s="14" t="inlineStr">
        <is>
          <t>pass</t>
        </is>
      </c>
      <c r="T242" s="14" t="inlineStr">
        <is>
          <t>pass</t>
        </is>
      </c>
      <c r="U242" s="14" t="inlineStr">
        <is>
          <t>pass</t>
        </is>
      </c>
      <c r="V242" s="18" t="inlineStr">
        <is>
          <t>fail</t>
        </is>
      </c>
      <c r="W242" s="16" t="inlineStr">
        <is>
          <t>warn</t>
        </is>
      </c>
      <c r="X242" s="14" t="inlineStr">
        <is>
          <t>pass</t>
        </is>
      </c>
      <c r="Y242" s="14" t="inlineStr">
        <is>
          <t>pass</t>
        </is>
      </c>
      <c r="Z242" s="16" t="inlineStr">
        <is>
          <t>warn</t>
        </is>
      </c>
      <c r="AA242" s="14" t="inlineStr">
        <is>
          <t>pass</t>
        </is>
      </c>
      <c r="AB242" s="16" t="inlineStr">
        <is>
          <t>warn</t>
        </is>
      </c>
      <c r="AC242" s="16" t="inlineStr">
        <is>
          <t>warn</t>
        </is>
      </c>
      <c r="AD242" s="15" t="inlineStr">
        <is>
          <t>not_checked</t>
        </is>
      </c>
      <c r="AE242" s="16" t="inlineStr">
        <is>
          <t>warn</t>
        </is>
      </c>
      <c r="AF242" s="14" t="inlineStr">
        <is>
          <t>pass</t>
        </is>
      </c>
      <c r="AG242" s="14" t="inlineStr">
        <is>
          <t>pass</t>
        </is>
      </c>
      <c r="AH242" s="14" t="inlineStr">
        <is>
          <t>pass</t>
        </is>
      </c>
      <c r="AI242" s="15" t="inlineStr">
        <is>
          <t>n.a.</t>
        </is>
      </c>
      <c r="AJ242" s="15" t="inlineStr">
        <is>
          <t>n.a.</t>
        </is>
      </c>
      <c r="AK242" s="4" t="inlineStr">
        <is>
          <t>machine_metadata;persistent_id(warn);temporal(warn);cadence(warn);version(warn);coverage(warn)</t>
        </is>
      </c>
      <c r="AL242" s="17" t="inlineStr">
        <is>
          <t>https://www.wpc.ncep.noaa.gov/heatrisk/</t>
        </is>
      </c>
      <c r="AM242" s="4" t="inlineStr">
        <is>
          <t>us_nws_heatrisk</t>
        </is>
      </c>
    </row>
    <row r="243">
      <c r="A243" s="4" t="inlineStr">
        <is>
          <t>U.S. Climate Normals</t>
        </is>
      </c>
      <c r="B243" s="13" t="inlineStr">
        <is>
          <t>Gold</t>
        </is>
      </c>
      <c r="C243" s="4" t="n">
        <v>94</v>
      </c>
      <c r="D243" s="4" t="inlineStr">
        <is>
          <t>climate_hazard</t>
        </is>
      </c>
      <c r="E243" s="4" t="inlineStr">
        <is>
          <t>healthy</t>
        </is>
      </c>
      <c r="F243" s="4" t="inlineStr">
        <is>
          <t>public_domain_us_federal</t>
        </is>
      </c>
      <c r="G243" s="4" t="inlineStr">
        <is>
          <t>grid_4km</t>
        </is>
      </c>
      <c r="H243" s="4" t="inlineStr">
        <is>
          <t>Needs raster support</t>
        </is>
      </c>
      <c r="I243" s="4" t="n">
        <v>3</v>
      </c>
      <c r="J243" s="4" t="inlineStr"/>
      <c r="K243" s="4" t="inlineStr">
        <is>
          <t>Curated</t>
        </is>
      </c>
      <c r="L243" s="4" t="n">
        <v>2020</v>
      </c>
      <c r="M243" s="4" t="inlineStr">
        <is>
          <t>open</t>
        </is>
      </c>
      <c r="N243" s="4" t="inlineStr">
        <is>
          <t>2026-10-29</t>
        </is>
      </c>
      <c r="O243" s="14" t="inlineStr">
        <is>
          <t>pass</t>
        </is>
      </c>
      <c r="P243" s="14" t="inlineStr">
        <is>
          <t>pass</t>
        </is>
      </c>
      <c r="Q243" s="14" t="inlineStr">
        <is>
          <t>pass</t>
        </is>
      </c>
      <c r="R243" s="14" t="inlineStr">
        <is>
          <t>pass</t>
        </is>
      </c>
      <c r="S243" s="14" t="inlineStr">
        <is>
          <t>pass</t>
        </is>
      </c>
      <c r="T243" s="14" t="inlineStr">
        <is>
          <t>pass</t>
        </is>
      </c>
      <c r="U243" s="16" t="inlineStr">
        <is>
          <t>warn</t>
        </is>
      </c>
      <c r="V243" s="16" t="inlineStr">
        <is>
          <t>warn</t>
        </is>
      </c>
      <c r="W243" s="14" t="inlineStr">
        <is>
          <t>pass</t>
        </is>
      </c>
      <c r="X243" s="14" t="inlineStr">
        <is>
          <t>pass</t>
        </is>
      </c>
      <c r="Y243" s="14" t="inlineStr">
        <is>
          <t>pass</t>
        </is>
      </c>
      <c r="Z243" s="14" t="inlineStr">
        <is>
          <t>pass</t>
        </is>
      </c>
      <c r="AA243" s="16" t="inlineStr">
        <is>
          <t>warn</t>
        </is>
      </c>
      <c r="AB243" s="14" t="inlineStr">
        <is>
          <t>pass</t>
        </is>
      </c>
      <c r="AC243" s="14" t="inlineStr">
        <is>
          <t>pass</t>
        </is>
      </c>
      <c r="AD243" s="14" t="inlineStr">
        <is>
          <t>pass</t>
        </is>
      </c>
      <c r="AE243" s="14" t="inlineStr">
        <is>
          <t>pass</t>
        </is>
      </c>
      <c r="AF243" s="14" t="inlineStr">
        <is>
          <t>pass</t>
        </is>
      </c>
      <c r="AG243" s="14" t="inlineStr">
        <is>
          <t>pass</t>
        </is>
      </c>
      <c r="AH243" s="14" t="inlineStr">
        <is>
          <t>pass</t>
        </is>
      </c>
      <c r="AI243" s="15" t="inlineStr">
        <is>
          <t>n.a.</t>
        </is>
      </c>
      <c r="AJ243" s="15" t="inlineStr">
        <is>
          <t>n.a.</t>
        </is>
      </c>
      <c r="AK243" s="4" t="inlineStr">
        <is>
          <t>format_match(warn);machine_metadata(warn);recency(warn)</t>
        </is>
      </c>
      <c r="AL243" s="17" t="inlineStr">
        <is>
          <t>https://www.ncei.noaa.gov/products/land-based-station/us-climate-normals</t>
        </is>
      </c>
      <c r="AM243" s="4" t="inlineStr">
        <is>
          <t>us_noaa_us_climate_normals</t>
        </is>
      </c>
    </row>
    <row r="244">
      <c r="A244" s="4" t="inlineStr">
        <is>
          <t>CHELSA v2.1: Climatologies at high resolution for the earth's land surface areas (daily, monthly, climatologies, bioclim, drought indices, CMIP6 projections)</t>
        </is>
      </c>
      <c r="B244" s="20" t="inlineStr">
        <is>
          <t>Bronze</t>
        </is>
      </c>
      <c r="C244" s="4" t="n">
        <v>80</v>
      </c>
      <c r="D244" s="4" t="inlineStr">
        <is>
          <t>climate_hazard</t>
        </is>
      </c>
      <c r="E244" s="4" t="inlineStr">
        <is>
          <t>degraded</t>
        </is>
      </c>
      <c r="F244" s="4" t="inlineStr">
        <is>
          <t>unknown</t>
        </is>
      </c>
      <c r="G244" s="4" t="inlineStr">
        <is>
          <t>grid_1km</t>
        </is>
      </c>
      <c r="H244" s="4" t="inlineStr">
        <is>
          <t>Needs raster support</t>
        </is>
      </c>
      <c r="I244" s="4" t="n">
        <v>2</v>
      </c>
      <c r="J244" s="4" t="inlineStr"/>
      <c r="K244" s="4" t="inlineStr">
        <is>
          <t>Curated</t>
        </is>
      </c>
      <c r="L244" s="4" t="n">
        <v>2025</v>
      </c>
      <c r="M244" s="4" t="inlineStr">
        <is>
          <t>open</t>
        </is>
      </c>
      <c r="N244" s="4" t="inlineStr">
        <is>
          <t>2026-10-28</t>
        </is>
      </c>
      <c r="O244" s="14" t="inlineStr">
        <is>
          <t>pass</t>
        </is>
      </c>
      <c r="P244" s="14" t="inlineStr">
        <is>
          <t>pass</t>
        </is>
      </c>
      <c r="Q244" s="14" t="inlineStr">
        <is>
          <t>pass</t>
        </is>
      </c>
      <c r="R244" s="14" t="inlineStr">
        <is>
          <t>pass</t>
        </is>
      </c>
      <c r="S244" s="14" t="inlineStr">
        <is>
          <t>pass</t>
        </is>
      </c>
      <c r="T244" s="18" t="inlineStr">
        <is>
          <t>fail</t>
        </is>
      </c>
      <c r="U244" s="15" t="inlineStr">
        <is>
          <t>n.a.</t>
        </is>
      </c>
      <c r="V244" s="18" t="inlineStr">
        <is>
          <t>fail</t>
        </is>
      </c>
      <c r="W244" s="16" t="inlineStr">
        <is>
          <t>warn</t>
        </is>
      </c>
      <c r="X244" s="14" t="inlineStr">
        <is>
          <t>pass</t>
        </is>
      </c>
      <c r="Y244" s="18" t="inlineStr">
        <is>
          <t>fail</t>
        </is>
      </c>
      <c r="Z244" s="14" t="inlineStr">
        <is>
          <t>pass</t>
        </is>
      </c>
      <c r="AA244" s="14" t="inlineStr">
        <is>
          <t>pass</t>
        </is>
      </c>
      <c r="AB244" s="16" t="inlineStr">
        <is>
          <t>warn</t>
        </is>
      </c>
      <c r="AC244" s="14" t="inlineStr">
        <is>
          <t>pass</t>
        </is>
      </c>
      <c r="AD244" s="14" t="inlineStr">
        <is>
          <t>pass</t>
        </is>
      </c>
      <c r="AE244" s="14" t="inlineStr">
        <is>
          <t>pass</t>
        </is>
      </c>
      <c r="AF244" s="14" t="inlineStr">
        <is>
          <t>pass</t>
        </is>
      </c>
      <c r="AG244" s="15" t="inlineStr">
        <is>
          <t>not_checked</t>
        </is>
      </c>
      <c r="AH244" s="15" t="inlineStr">
        <is>
          <t>not_checked</t>
        </is>
      </c>
      <c r="AI244" s="15" t="inlineStr">
        <is>
          <t>n.a.</t>
        </is>
      </c>
      <c r="AJ244" s="15" t="inlineStr">
        <is>
          <t>n.a.</t>
        </is>
      </c>
      <c r="AK244" s="4" t="inlineStr">
        <is>
          <t>access_url;machine_metadata;license;persistent_id(warn);cadence(warn)</t>
        </is>
      </c>
      <c r="AL244" s="17" t="inlineStr">
        <is>
          <t>https://chelsa-climate.org/</t>
        </is>
      </c>
      <c r="AM244" s="4" t="inlineStr">
        <is>
          <t>global_chelsa_v21</t>
        </is>
      </c>
    </row>
    <row r="245">
      <c r="A245" s="4" t="inlineStr">
        <is>
          <t>CRU TS high-resolution gridded climate dataset (v4.10, 1901-2025)</t>
        </is>
      </c>
      <c r="B245" s="20" t="inlineStr">
        <is>
          <t>Bronze</t>
        </is>
      </c>
      <c r="C245" s="4" t="n">
        <v>88</v>
      </c>
      <c r="D245" s="4" t="inlineStr">
        <is>
          <t>climate_hazard</t>
        </is>
      </c>
      <c r="E245" s="4" t="inlineStr">
        <is>
          <t>degraded</t>
        </is>
      </c>
      <c r="F245" s="4" t="inlineStr">
        <is>
          <t>open</t>
        </is>
      </c>
      <c r="G245" s="4" t="inlineStr">
        <is>
          <t>grid_0.5deg</t>
        </is>
      </c>
      <c r="H245" s="4" t="inlineStr">
        <is>
          <t>Needs raster support</t>
        </is>
      </c>
      <c r="I245" s="4" t="n">
        <v>2</v>
      </c>
      <c r="J245" s="4" t="inlineStr"/>
      <c r="K245" s="4" t="inlineStr">
        <is>
          <t>Curated</t>
        </is>
      </c>
      <c r="L245" s="4" t="n">
        <v>2025</v>
      </c>
      <c r="M245" s="4" t="inlineStr">
        <is>
          <t>open</t>
        </is>
      </c>
      <c r="N245" s="4" t="inlineStr">
        <is>
          <t>2026-10-28</t>
        </is>
      </c>
      <c r="O245" s="16" t="inlineStr">
        <is>
          <t>warn</t>
        </is>
      </c>
      <c r="P245" s="15" t="inlineStr">
        <is>
          <t>n.a.</t>
        </is>
      </c>
      <c r="Q245" s="15" t="inlineStr">
        <is>
          <t>n.a.</t>
        </is>
      </c>
      <c r="R245" s="15" t="inlineStr">
        <is>
          <t>n.a.</t>
        </is>
      </c>
      <c r="S245" s="15" t="inlineStr">
        <is>
          <t>n.a.</t>
        </is>
      </c>
      <c r="T245" s="18" t="inlineStr">
        <is>
          <t>fail</t>
        </is>
      </c>
      <c r="U245" s="15" t="inlineStr">
        <is>
          <t>n.a.</t>
        </is>
      </c>
      <c r="V245" s="15" t="inlineStr">
        <is>
          <t>n.a.</t>
        </is>
      </c>
      <c r="W245" s="15" t="inlineStr">
        <is>
          <t>not_checked</t>
        </is>
      </c>
      <c r="X245" s="14" t="inlineStr">
        <is>
          <t>pass</t>
        </is>
      </c>
      <c r="Y245" s="14" t="inlineStr">
        <is>
          <t>pass</t>
        </is>
      </c>
      <c r="Z245" s="14" t="inlineStr">
        <is>
          <t>pass</t>
        </is>
      </c>
      <c r="AA245" s="14" t="inlineStr">
        <is>
          <t>pass</t>
        </is>
      </c>
      <c r="AB245" s="16" t="inlineStr">
        <is>
          <t>warn</t>
        </is>
      </c>
      <c r="AC245" s="14" t="inlineStr">
        <is>
          <t>pass</t>
        </is>
      </c>
      <c r="AD245" s="14" t="inlineStr">
        <is>
          <t>pass</t>
        </is>
      </c>
      <c r="AE245" s="14" t="inlineStr">
        <is>
          <t>pass</t>
        </is>
      </c>
      <c r="AF245" s="14" t="inlineStr">
        <is>
          <t>pass</t>
        </is>
      </c>
      <c r="AG245" s="14" t="inlineStr">
        <is>
          <t>pass</t>
        </is>
      </c>
      <c r="AH245" s="14" t="inlineStr">
        <is>
          <t>pass</t>
        </is>
      </c>
      <c r="AI245" s="15" t="inlineStr">
        <is>
          <t>n.a.</t>
        </is>
      </c>
      <c r="AJ245" s="15" t="inlineStr">
        <is>
          <t>n.a.</t>
        </is>
      </c>
      <c r="AK245" s="4" t="inlineStr">
        <is>
          <t>access_url;link_live(warn);cadence(warn)</t>
        </is>
      </c>
      <c r="AL245" s="17" t="inlineStr">
        <is>
          <t>https://crudata.uea.ac.uk/cru/data/hrg/</t>
        </is>
      </c>
      <c r="AM245" s="4" t="inlineStr">
        <is>
          <t>global_cru_ts</t>
        </is>
      </c>
    </row>
    <row r="246">
      <c r="A246" s="4" t="inlineStr">
        <is>
          <t>Daymet: Daily Surface Weather and Climatological Summaries</t>
        </is>
      </c>
      <c r="B246" s="20" t="inlineStr">
        <is>
          <t>Bronze</t>
        </is>
      </c>
      <c r="C246" s="4" t="n">
        <v>77</v>
      </c>
      <c r="D246" s="4" t="inlineStr">
        <is>
          <t>climate_hazard</t>
        </is>
      </c>
      <c r="E246" s="4" t="inlineStr">
        <is>
          <t>degraded</t>
        </is>
      </c>
      <c r="F246" s="4" t="inlineStr">
        <is>
          <t>unknown</t>
        </is>
      </c>
      <c r="G246" s="4" t="inlineStr">
        <is>
          <t>grid_1km</t>
        </is>
      </c>
      <c r="H246" s="4" t="inlineStr">
        <is>
          <t>Needs raster support</t>
        </is>
      </c>
      <c r="I246" s="4" t="n">
        <v>2</v>
      </c>
      <c r="J246" s="4" t="inlineStr"/>
      <c r="K246" s="4" t="inlineStr">
        <is>
          <t>Curated</t>
        </is>
      </c>
      <c r="L246" s="4" t="n">
        <v>2025</v>
      </c>
      <c r="M246" s="4" t="inlineStr">
        <is>
          <t>open</t>
        </is>
      </c>
      <c r="N246" s="4" t="inlineStr">
        <is>
          <t>2026-10-28</t>
        </is>
      </c>
      <c r="O246" s="14" t="inlineStr">
        <is>
          <t>pass</t>
        </is>
      </c>
      <c r="P246" s="14" t="inlineStr">
        <is>
          <t>pass</t>
        </is>
      </c>
      <c r="Q246" s="14" t="inlineStr">
        <is>
          <t>pass</t>
        </is>
      </c>
      <c r="R246" s="14" t="inlineStr">
        <is>
          <t>pass</t>
        </is>
      </c>
      <c r="S246" s="14" t="inlineStr">
        <is>
          <t>pass</t>
        </is>
      </c>
      <c r="T246" s="14" t="inlineStr">
        <is>
          <t>pass</t>
        </is>
      </c>
      <c r="U246" s="14" t="inlineStr">
        <is>
          <t>pass</t>
        </is>
      </c>
      <c r="V246" s="18" t="inlineStr">
        <is>
          <t>fail</t>
        </is>
      </c>
      <c r="W246" s="16" t="inlineStr">
        <is>
          <t>warn</t>
        </is>
      </c>
      <c r="X246" s="14" t="inlineStr">
        <is>
          <t>pass</t>
        </is>
      </c>
      <c r="Y246" s="18" t="inlineStr">
        <is>
          <t>fail</t>
        </is>
      </c>
      <c r="Z246" s="14" t="inlineStr">
        <is>
          <t>pass</t>
        </is>
      </c>
      <c r="AA246" s="14" t="inlineStr">
        <is>
          <t>pass</t>
        </is>
      </c>
      <c r="AB246" s="16" t="inlineStr">
        <is>
          <t>warn</t>
        </is>
      </c>
      <c r="AC246" s="14" t="inlineStr">
        <is>
          <t>pass</t>
        </is>
      </c>
      <c r="AD246" s="14" t="inlineStr">
        <is>
          <t>pass</t>
        </is>
      </c>
      <c r="AE246" s="14" t="inlineStr">
        <is>
          <t>pass</t>
        </is>
      </c>
      <c r="AF246" s="14" t="inlineStr">
        <is>
          <t>pass</t>
        </is>
      </c>
      <c r="AG246" s="16" t="inlineStr">
        <is>
          <t>warn</t>
        </is>
      </c>
      <c r="AH246" s="14" t="inlineStr">
        <is>
          <t>pass</t>
        </is>
      </c>
      <c r="AI246" s="15" t="inlineStr">
        <is>
          <t>n.a.</t>
        </is>
      </c>
      <c r="AJ246" s="15" t="inlineStr">
        <is>
          <t>n.a.</t>
        </is>
      </c>
      <c r="AK246" s="4" t="inlineStr">
        <is>
          <t>machine_metadata;license;persistent_id(warn);cadence(warn);join_key(warn)</t>
        </is>
      </c>
      <c r="AL246" s="17" t="inlineStr">
        <is>
          <t>https://daymet.ornl.gov/</t>
        </is>
      </c>
      <c r="AM246" s="4" t="inlineStr">
        <is>
          <t>us_ornl_daymet</t>
        </is>
      </c>
    </row>
    <row r="247">
      <c r="A247" s="4" t="inlineStr">
        <is>
          <t>DesInventar Sendai disaster loss databases (national disaggregated loss data)</t>
        </is>
      </c>
      <c r="B247" s="20" t="inlineStr">
        <is>
          <t>Bronze</t>
        </is>
      </c>
      <c r="C247" s="4" t="n">
        <v>71</v>
      </c>
      <c r="D247" s="4" t="inlineStr">
        <is>
          <t>climate_hazard</t>
        </is>
      </c>
      <c r="E247" s="4" t="inlineStr">
        <is>
          <t>degraded</t>
        </is>
      </c>
      <c r="F247" s="4" t="inlineStr">
        <is>
          <t>unknown</t>
        </is>
      </c>
      <c r="G247" s="4" t="inlineStr">
        <is>
          <t>admin2</t>
        </is>
      </c>
      <c r="H247" s="4" t="inlineStr">
        <is>
          <t>Needs a count/distance step</t>
        </is>
      </c>
      <c r="I247" s="4" t="n">
        <v>2</v>
      </c>
      <c r="J247" s="4" t="inlineStr"/>
      <c r="K247" s="4" t="inlineStr">
        <is>
          <t>Curated</t>
        </is>
      </c>
      <c r="L247" s="4" t="inlineStr">
        <is>
          <t>current</t>
        </is>
      </c>
      <c r="M247" s="4" t="inlineStr">
        <is>
          <t>open</t>
        </is>
      </c>
      <c r="N247" s="4" t="inlineStr">
        <is>
          <t>2026-10-28</t>
        </is>
      </c>
      <c r="O247" s="14" t="inlineStr">
        <is>
          <t>pass</t>
        </is>
      </c>
      <c r="P247" s="14" t="inlineStr">
        <is>
          <t>pass</t>
        </is>
      </c>
      <c r="Q247" s="14" t="inlineStr">
        <is>
          <t>pass</t>
        </is>
      </c>
      <c r="R247" s="14" t="inlineStr">
        <is>
          <t>pass</t>
        </is>
      </c>
      <c r="S247" s="14" t="inlineStr">
        <is>
          <t>pass</t>
        </is>
      </c>
      <c r="T247" s="18" t="inlineStr">
        <is>
          <t>fail</t>
        </is>
      </c>
      <c r="U247" s="15" t="inlineStr">
        <is>
          <t>n.a.</t>
        </is>
      </c>
      <c r="V247" s="18" t="inlineStr">
        <is>
          <t>fail</t>
        </is>
      </c>
      <c r="W247" s="16" t="inlineStr">
        <is>
          <t>warn</t>
        </is>
      </c>
      <c r="X247" s="14" t="inlineStr">
        <is>
          <t>pass</t>
        </is>
      </c>
      <c r="Y247" s="18" t="inlineStr">
        <is>
          <t>fail</t>
        </is>
      </c>
      <c r="Z247" s="15" t="inlineStr">
        <is>
          <t>not_checked</t>
        </is>
      </c>
      <c r="AA247" s="15" t="inlineStr">
        <is>
          <t>not_checked</t>
        </is>
      </c>
      <c r="AB247" s="15" t="inlineStr">
        <is>
          <t>not_checked</t>
        </is>
      </c>
      <c r="AC247" s="14" t="inlineStr">
        <is>
          <t>pass</t>
        </is>
      </c>
      <c r="AD247" s="15" t="inlineStr">
        <is>
          <t>not_checked</t>
        </is>
      </c>
      <c r="AE247" s="14" t="inlineStr">
        <is>
          <t>pass</t>
        </is>
      </c>
      <c r="AF247" s="14" t="inlineStr">
        <is>
          <t>pass</t>
        </is>
      </c>
      <c r="AG247" s="15" t="inlineStr">
        <is>
          <t>not_checked</t>
        </is>
      </c>
      <c r="AH247" s="15" t="inlineStr">
        <is>
          <t>not_checked</t>
        </is>
      </c>
      <c r="AI247" s="15" t="inlineStr">
        <is>
          <t>n.a.</t>
        </is>
      </c>
      <c r="AJ247" s="15" t="inlineStr">
        <is>
          <t>n.a.</t>
        </is>
      </c>
      <c r="AK247" s="4" t="inlineStr">
        <is>
          <t>access_url;machine_metadata;license;persistent_id(warn)</t>
        </is>
      </c>
      <c r="AL247" s="17" t="inlineStr">
        <is>
          <t>https://www.desinventar.net/</t>
        </is>
      </c>
      <c r="AM247" s="4" t="inlineStr">
        <is>
          <t>global_undrr_desinventar</t>
        </is>
      </c>
    </row>
    <row r="248">
      <c r="A248" s="4" t="inlineStr">
        <is>
          <t>Flood Insurance Rate Maps (FIRM) and FIRM Databases via Map Service Center</t>
        </is>
      </c>
      <c r="B248" s="19" t="inlineStr">
        <is>
          <t>Silver</t>
        </is>
      </c>
      <c r="C248" s="4" t="n">
        <v>85</v>
      </c>
      <c r="D248" s="4" t="inlineStr">
        <is>
          <t>climate_hazard</t>
        </is>
      </c>
      <c r="E248" s="4" t="inlineStr">
        <is>
          <t>degraded</t>
        </is>
      </c>
      <c r="F248" s="4" t="inlineStr">
        <is>
          <t>public_domain_us_federal</t>
        </is>
      </c>
      <c r="G248" s="4" t="inlineStr">
        <is>
          <t>polygon</t>
        </is>
      </c>
      <c r="H248" s="4" t="inlineStr">
        <is>
          <t>Needs raster support</t>
        </is>
      </c>
      <c r="I248" s="4" t="n">
        <v>2</v>
      </c>
      <c r="J248" s="4" t="inlineStr"/>
      <c r="K248" s="4" t="inlineStr">
        <is>
          <t>Curated</t>
        </is>
      </c>
      <c r="L248" s="4" t="n">
        <v>2026</v>
      </c>
      <c r="M248" s="4" t="inlineStr">
        <is>
          <t>open</t>
        </is>
      </c>
      <c r="N248" s="4" t="inlineStr">
        <is>
          <t>2026-10-29</t>
        </is>
      </c>
      <c r="O248" s="14" t="inlineStr">
        <is>
          <t>pass</t>
        </is>
      </c>
      <c r="P248" s="14" t="inlineStr">
        <is>
          <t>pass</t>
        </is>
      </c>
      <c r="Q248" s="14" t="inlineStr">
        <is>
          <t>pass</t>
        </is>
      </c>
      <c r="R248" s="14" t="inlineStr">
        <is>
          <t>pass</t>
        </is>
      </c>
      <c r="S248" s="14" t="inlineStr">
        <is>
          <t>pass</t>
        </is>
      </c>
      <c r="T248" s="14" t="inlineStr">
        <is>
          <t>pass</t>
        </is>
      </c>
      <c r="U248" s="16" t="inlineStr">
        <is>
          <t>warn</t>
        </is>
      </c>
      <c r="V248" s="18" t="inlineStr">
        <is>
          <t>fail</t>
        </is>
      </c>
      <c r="W248" s="16" t="inlineStr">
        <is>
          <t>warn</t>
        </is>
      </c>
      <c r="X248" s="14" t="inlineStr">
        <is>
          <t>pass</t>
        </is>
      </c>
      <c r="Y248" s="14" t="inlineStr">
        <is>
          <t>pass</t>
        </is>
      </c>
      <c r="Z248" s="16" t="inlineStr">
        <is>
          <t>warn</t>
        </is>
      </c>
      <c r="AA248" s="14" t="inlineStr">
        <is>
          <t>pass</t>
        </is>
      </c>
      <c r="AB248" s="14" t="inlineStr">
        <is>
          <t>pass</t>
        </is>
      </c>
      <c r="AC248" s="15" t="inlineStr">
        <is>
          <t>not_checked</t>
        </is>
      </c>
      <c r="AD248" s="16" t="inlineStr">
        <is>
          <t>warn</t>
        </is>
      </c>
      <c r="AE248" s="16" t="inlineStr">
        <is>
          <t>warn</t>
        </is>
      </c>
      <c r="AF248" s="14" t="inlineStr">
        <is>
          <t>pass</t>
        </is>
      </c>
      <c r="AG248" s="14" t="inlineStr">
        <is>
          <t>pass</t>
        </is>
      </c>
      <c r="AH248" s="14" t="inlineStr">
        <is>
          <t>pass</t>
        </is>
      </c>
      <c r="AI248" s="15" t="inlineStr">
        <is>
          <t>n.a.</t>
        </is>
      </c>
      <c r="AJ248" s="15" t="inlineStr">
        <is>
          <t>n.a.</t>
        </is>
      </c>
      <c r="AK248" s="4" t="inlineStr">
        <is>
          <t>machine_metadata;format_match(warn);persistent_id(warn);temporal(warn);unit(warn);coverage(warn)</t>
        </is>
      </c>
      <c r="AL248" s="17" t="inlineStr">
        <is>
          <t>https://msc.fema.gov/portal/home</t>
        </is>
      </c>
      <c r="AM248" s="4" t="inlineStr">
        <is>
          <t>us_fema_firm_flood_insurance_rate_maps</t>
        </is>
      </c>
    </row>
    <row r="249">
      <c r="A249" s="4" t="inlineStr">
        <is>
          <t>GLIDE (GLobal IDEntifier Number)</t>
        </is>
      </c>
      <c r="B249" s="20" t="inlineStr">
        <is>
          <t>Bronze</t>
        </is>
      </c>
      <c r="C249" s="4" t="n">
        <v>89</v>
      </c>
      <c r="D249" s="4" t="inlineStr">
        <is>
          <t>climate_hazard</t>
        </is>
      </c>
      <c r="E249" s="4" t="inlineStr">
        <is>
          <t>degraded</t>
        </is>
      </c>
      <c r="F249" s="4" t="inlineStr">
        <is>
          <t>not checked</t>
        </is>
      </c>
      <c r="G249" s="4" t="inlineStr">
        <is>
          <t>country</t>
        </is>
      </c>
      <c r="H249" s="4" t="inlineStr">
        <is>
          <t>Not linkable as listed</t>
        </is>
      </c>
      <c r="I249" s="4" t="n">
        <v>2</v>
      </c>
      <c r="J249" s="4" t="inlineStr"/>
      <c r="K249" s="4" t="inlineStr">
        <is>
          <t>Curated</t>
        </is>
      </c>
      <c r="L249" s="4" t="inlineStr">
        <is>
          <t>current</t>
        </is>
      </c>
      <c r="M249" s="4" t="inlineStr">
        <is>
          <t>registration</t>
        </is>
      </c>
      <c r="N249" s="4" t="inlineStr">
        <is>
          <t>2026-10-22</t>
        </is>
      </c>
      <c r="O249" s="14" t="inlineStr">
        <is>
          <t>pass</t>
        </is>
      </c>
      <c r="P249" s="14" t="inlineStr">
        <is>
          <t>pass</t>
        </is>
      </c>
      <c r="Q249" s="14" t="inlineStr">
        <is>
          <t>pass</t>
        </is>
      </c>
      <c r="R249" s="14" t="inlineStr">
        <is>
          <t>pass</t>
        </is>
      </c>
      <c r="S249" s="14" t="inlineStr">
        <is>
          <t>pass</t>
        </is>
      </c>
      <c r="T249" s="15" t="inlineStr">
        <is>
          <t>n.a.</t>
        </is>
      </c>
      <c r="U249" s="15" t="inlineStr">
        <is>
          <t>n.a.</t>
        </is>
      </c>
      <c r="V249" s="18" t="inlineStr">
        <is>
          <t>fail</t>
        </is>
      </c>
      <c r="W249" s="16" t="inlineStr">
        <is>
          <t>warn</t>
        </is>
      </c>
      <c r="X249" s="14" t="inlineStr">
        <is>
          <t>pass</t>
        </is>
      </c>
      <c r="Y249" s="15" t="inlineStr">
        <is>
          <t>not_checked</t>
        </is>
      </c>
      <c r="Z249" s="15" t="inlineStr">
        <is>
          <t>not_checked</t>
        </is>
      </c>
      <c r="AA249" s="15" t="inlineStr">
        <is>
          <t>not_checked</t>
        </is>
      </c>
      <c r="AB249" s="15" t="inlineStr">
        <is>
          <t>not_checked</t>
        </is>
      </c>
      <c r="AC249" s="15" t="inlineStr">
        <is>
          <t>not_checked</t>
        </is>
      </c>
      <c r="AD249" s="15" t="inlineStr">
        <is>
          <t>not_checked</t>
        </is>
      </c>
      <c r="AE249" s="15" t="inlineStr">
        <is>
          <t>not_checked</t>
        </is>
      </c>
      <c r="AF249" s="15" t="inlineStr">
        <is>
          <t>not_checked</t>
        </is>
      </c>
      <c r="AG249" s="15" t="inlineStr">
        <is>
          <t>not_checked</t>
        </is>
      </c>
      <c r="AH249" s="15" t="inlineStr">
        <is>
          <t>not_checked</t>
        </is>
      </c>
      <c r="AI249" s="15" t="inlineStr">
        <is>
          <t>n.a.</t>
        </is>
      </c>
      <c r="AJ249" s="15" t="inlineStr">
        <is>
          <t>n.a.</t>
        </is>
      </c>
      <c r="AK249" s="4" t="inlineStr">
        <is>
          <t>machine_metadata;persistent_id(warn)</t>
        </is>
      </c>
      <c r="AL249" s="17" t="inlineStr">
        <is>
          <t>https://glidenumber.net/glide/public/about.jsp</t>
        </is>
      </c>
      <c r="AM249" s="4" t="inlineStr">
        <is>
          <t>global_adrc_glide</t>
        </is>
      </c>
    </row>
    <row r="250">
      <c r="A250" s="4" t="inlineStr">
        <is>
          <t>Global Historical Climatology Network daily (GHCNd)</t>
        </is>
      </c>
      <c r="B250" s="13" t="inlineStr">
        <is>
          <t>Gold</t>
        </is>
      </c>
      <c r="C250" s="4" t="n">
        <v>98</v>
      </c>
      <c r="D250" s="4" t="inlineStr">
        <is>
          <t>climate_hazard</t>
        </is>
      </c>
      <c r="E250" s="4" t="inlineStr">
        <is>
          <t>healthy</t>
        </is>
      </c>
      <c r="F250" s="4" t="inlineStr">
        <is>
          <t>public_domain_us_federal</t>
        </is>
      </c>
      <c r="G250" s="4" t="inlineStr">
        <is>
          <t>point</t>
        </is>
      </c>
      <c r="H250" s="4" t="inlineStr">
        <is>
          <t>Needs a count/distance step</t>
        </is>
      </c>
      <c r="I250" s="4" t="n">
        <v>2</v>
      </c>
      <c r="J250" s="4" t="inlineStr"/>
      <c r="K250" s="4" t="inlineStr">
        <is>
          <t>Curated</t>
        </is>
      </c>
      <c r="L250" s="4" t="n">
        <v>2026</v>
      </c>
      <c r="M250" s="4" t="inlineStr">
        <is>
          <t>open</t>
        </is>
      </c>
      <c r="N250" s="4" t="inlineStr">
        <is>
          <t>2026-10-29</t>
        </is>
      </c>
      <c r="O250" s="14" t="inlineStr">
        <is>
          <t>pass</t>
        </is>
      </c>
      <c r="P250" s="14" t="inlineStr">
        <is>
          <t>pass</t>
        </is>
      </c>
      <c r="Q250" s="14" t="inlineStr">
        <is>
          <t>pass</t>
        </is>
      </c>
      <c r="R250" s="14" t="inlineStr">
        <is>
          <t>pass</t>
        </is>
      </c>
      <c r="S250" s="14" t="inlineStr">
        <is>
          <t>pass</t>
        </is>
      </c>
      <c r="T250" s="14" t="inlineStr">
        <is>
          <t>pass</t>
        </is>
      </c>
      <c r="U250" s="16" t="inlineStr">
        <is>
          <t>warn</t>
        </is>
      </c>
      <c r="V250" s="16" t="inlineStr">
        <is>
          <t>warn</t>
        </is>
      </c>
      <c r="W250" s="14" t="inlineStr">
        <is>
          <t>pass</t>
        </is>
      </c>
      <c r="X250" s="14" t="inlineStr">
        <is>
          <t>pass</t>
        </is>
      </c>
      <c r="Y250" s="14" t="inlineStr">
        <is>
          <t>pass</t>
        </is>
      </c>
      <c r="Z250" s="14" t="inlineStr">
        <is>
          <t>pass</t>
        </is>
      </c>
      <c r="AA250" s="14" t="inlineStr">
        <is>
          <t>pass</t>
        </is>
      </c>
      <c r="AB250" s="14" t="inlineStr">
        <is>
          <t>pass</t>
        </is>
      </c>
      <c r="AC250" s="14" t="inlineStr">
        <is>
          <t>pass</t>
        </is>
      </c>
      <c r="AD250" s="14" t="inlineStr">
        <is>
          <t>pass</t>
        </is>
      </c>
      <c r="AE250" s="14" t="inlineStr">
        <is>
          <t>pass</t>
        </is>
      </c>
      <c r="AF250" s="14" t="inlineStr">
        <is>
          <t>pass</t>
        </is>
      </c>
      <c r="AG250" s="14" t="inlineStr">
        <is>
          <t>pass</t>
        </is>
      </c>
      <c r="AH250" s="14" t="inlineStr">
        <is>
          <t>pass</t>
        </is>
      </c>
      <c r="AI250" s="15" t="inlineStr">
        <is>
          <t>n.a.</t>
        </is>
      </c>
      <c r="AJ250" s="15" t="inlineStr">
        <is>
          <t>n.a.</t>
        </is>
      </c>
      <c r="AK250" s="4" t="inlineStr">
        <is>
          <t>format_match(warn);machine_metadata(warn)</t>
        </is>
      </c>
      <c r="AL250" s="17" t="inlineStr">
        <is>
          <t>https://www.ncei.noaa.gov/products/land-based-station/global-historical-climatology-network-daily</t>
        </is>
      </c>
      <c r="AM250" s="4" t="inlineStr">
        <is>
          <t>global_noaa_ghcn_daily</t>
        </is>
      </c>
    </row>
    <row r="251">
      <c r="A251" s="4" t="inlineStr">
        <is>
          <t>LANDFIRE (Landscape Fire and Resource Management Planning Tools)</t>
        </is>
      </c>
      <c r="B251" s="13" t="inlineStr">
        <is>
          <t>Gold</t>
        </is>
      </c>
      <c r="C251" s="4" t="n">
        <v>95</v>
      </c>
      <c r="D251" s="4" t="inlineStr">
        <is>
          <t>climate_hazard</t>
        </is>
      </c>
      <c r="E251" s="4" t="inlineStr">
        <is>
          <t>degraded</t>
        </is>
      </c>
      <c r="F251" s="4" t="inlineStr">
        <is>
          <t>public_domain_us_federal</t>
        </is>
      </c>
      <c r="G251" s="4" t="inlineStr">
        <is>
          <t>grid_30m</t>
        </is>
      </c>
      <c r="H251" s="4" t="inlineStr">
        <is>
          <t>Needs raster support</t>
        </is>
      </c>
      <c r="I251" s="4" t="n">
        <v>2</v>
      </c>
      <c r="J251" s="4" t="inlineStr"/>
      <c r="K251" s="4" t="inlineStr">
        <is>
          <t>Curated</t>
        </is>
      </c>
      <c r="L251" s="4" t="n">
        <v>2025</v>
      </c>
      <c r="M251" s="4" t="inlineStr">
        <is>
          <t>open</t>
        </is>
      </c>
      <c r="N251" s="4" t="inlineStr">
        <is>
          <t>2026-10-29</t>
        </is>
      </c>
      <c r="O251" s="14" t="inlineStr">
        <is>
          <t>pass</t>
        </is>
      </c>
      <c r="P251" s="14" t="inlineStr">
        <is>
          <t>pass</t>
        </is>
      </c>
      <c r="Q251" s="14" t="inlineStr">
        <is>
          <t>pass</t>
        </is>
      </c>
      <c r="R251" s="14" t="inlineStr">
        <is>
          <t>pass</t>
        </is>
      </c>
      <c r="S251" s="14" t="inlineStr">
        <is>
          <t>pass</t>
        </is>
      </c>
      <c r="T251" s="14" t="inlineStr">
        <is>
          <t>pass</t>
        </is>
      </c>
      <c r="U251" s="14" t="inlineStr">
        <is>
          <t>pass</t>
        </is>
      </c>
      <c r="V251" s="18" t="inlineStr">
        <is>
          <t>fail</t>
        </is>
      </c>
      <c r="W251" s="16" t="inlineStr">
        <is>
          <t>warn</t>
        </is>
      </c>
      <c r="X251" s="14" t="inlineStr">
        <is>
          <t>pass</t>
        </is>
      </c>
      <c r="Y251" s="14" t="inlineStr">
        <is>
          <t>pass</t>
        </is>
      </c>
      <c r="Z251" s="14" t="inlineStr">
        <is>
          <t>pass</t>
        </is>
      </c>
      <c r="AA251" s="14" t="inlineStr">
        <is>
          <t>pass</t>
        </is>
      </c>
      <c r="AB251" s="16" t="inlineStr">
        <is>
          <t>warn</t>
        </is>
      </c>
      <c r="AC251" s="14" t="inlineStr">
        <is>
          <t>pass</t>
        </is>
      </c>
      <c r="AD251" s="14" t="inlineStr">
        <is>
          <t>pass</t>
        </is>
      </c>
      <c r="AE251" s="14" t="inlineStr">
        <is>
          <t>pass</t>
        </is>
      </c>
      <c r="AF251" s="14" t="inlineStr">
        <is>
          <t>pass</t>
        </is>
      </c>
      <c r="AG251" s="14" t="inlineStr">
        <is>
          <t>pass</t>
        </is>
      </c>
      <c r="AH251" s="16" t="inlineStr">
        <is>
          <t>warn</t>
        </is>
      </c>
      <c r="AI251" s="15" t="inlineStr">
        <is>
          <t>n.a.</t>
        </is>
      </c>
      <c r="AJ251" s="15" t="inlineStr">
        <is>
          <t>n.a.</t>
        </is>
      </c>
      <c r="AK251" s="4" t="inlineStr">
        <is>
          <t>machine_metadata;persistent_id(warn);cadence(warn);format_gaia(warn)</t>
        </is>
      </c>
      <c r="AL251" s="17" t="inlineStr">
        <is>
          <t>https://landfire.gov/</t>
        </is>
      </c>
      <c r="AM251" s="4" t="inlineStr">
        <is>
          <t>us_landfire</t>
        </is>
      </c>
    </row>
    <row r="252">
      <c r="A252" s="4" t="inlineStr">
        <is>
          <t>Miami-Dade Flood Hazard (FEMA flood zone)</t>
        </is>
      </c>
      <c r="B252" s="20" t="inlineStr">
        <is>
          <t>Bronze</t>
        </is>
      </c>
      <c r="C252" s="4" t="n">
        <v>100</v>
      </c>
      <c r="D252" s="4" t="inlineStr">
        <is>
          <t>climate_hazard</t>
        </is>
      </c>
      <c r="E252" s="4" t="inlineStr">
        <is>
          <t>healthy</t>
        </is>
      </c>
      <c r="F252" s="4" t="inlineStr">
        <is>
          <t>not checked</t>
        </is>
      </c>
      <c r="G252" s="4" t="inlineStr">
        <is>
          <t>unknown</t>
        </is>
      </c>
      <c r="H252" s="4" t="inlineStr">
        <is>
          <t>Unknown</t>
        </is>
      </c>
      <c r="I252" s="4" t="n">
        <v>2</v>
      </c>
      <c r="J252" s="4" t="inlineStr"/>
      <c r="K252" s="4" t="inlineStr">
        <is>
          <t>Curated</t>
        </is>
      </c>
      <c r="L252" s="4" t="inlineStr"/>
      <c r="M252" s="4" t="inlineStr">
        <is>
          <t>unknown</t>
        </is>
      </c>
      <c r="N252" s="4" t="inlineStr">
        <is>
          <t>2026-10-22</t>
        </is>
      </c>
      <c r="O252" s="14" t="inlineStr">
        <is>
          <t>pass</t>
        </is>
      </c>
      <c r="P252" s="14" t="inlineStr">
        <is>
          <t>pass</t>
        </is>
      </c>
      <c r="Q252" s="14" t="inlineStr">
        <is>
          <t>pass</t>
        </is>
      </c>
      <c r="R252" s="14" t="inlineStr">
        <is>
          <t>pass</t>
        </is>
      </c>
      <c r="S252" s="14" t="inlineStr">
        <is>
          <t>pass</t>
        </is>
      </c>
      <c r="T252" s="15" t="inlineStr">
        <is>
          <t>n.a.</t>
        </is>
      </c>
      <c r="U252" s="15" t="inlineStr">
        <is>
          <t>n.a.</t>
        </is>
      </c>
      <c r="V252" s="14" t="inlineStr">
        <is>
          <t>pass</t>
        </is>
      </c>
      <c r="W252" s="16" t="inlineStr">
        <is>
          <t>warn</t>
        </is>
      </c>
      <c r="X252" s="14" t="inlineStr">
        <is>
          <t>pass</t>
        </is>
      </c>
      <c r="Y252" s="15" t="inlineStr">
        <is>
          <t>not_checked</t>
        </is>
      </c>
      <c r="Z252" s="15" t="inlineStr">
        <is>
          <t>not_checked</t>
        </is>
      </c>
      <c r="AA252" s="15" t="inlineStr">
        <is>
          <t>not_checked</t>
        </is>
      </c>
      <c r="AB252" s="15" t="inlineStr">
        <is>
          <t>not_checked</t>
        </is>
      </c>
      <c r="AC252" s="15" t="inlineStr">
        <is>
          <t>not_checked</t>
        </is>
      </c>
      <c r="AD252" s="15" t="inlineStr">
        <is>
          <t>not_checked</t>
        </is>
      </c>
      <c r="AE252" s="15" t="inlineStr">
        <is>
          <t>not_checked</t>
        </is>
      </c>
      <c r="AF252" s="15" t="inlineStr">
        <is>
          <t>not_checked</t>
        </is>
      </c>
      <c r="AG252" s="15" t="inlineStr">
        <is>
          <t>not_checked</t>
        </is>
      </c>
      <c r="AH252" s="15" t="inlineStr">
        <is>
          <t>not_checked</t>
        </is>
      </c>
      <c r="AI252" s="15" t="inlineStr">
        <is>
          <t>n.a.</t>
        </is>
      </c>
      <c r="AJ252" s="15" t="inlineStr">
        <is>
          <t>n.a.</t>
        </is>
      </c>
      <c r="AK252" s="4" t="inlineStr">
        <is>
          <t>persistent_id(warn)</t>
        </is>
      </c>
      <c r="AL252" s="17" t="inlineStr">
        <is>
          <t>https://gis-mdc.opendata.arcgis.com/datasets/MDC::fema-flood-zone/about</t>
        </is>
      </c>
      <c r="AM252" s="4" t="inlineStr">
        <is>
          <t>us_mdc_fema_flood_zone</t>
        </is>
      </c>
    </row>
    <row r="253">
      <c r="A253" s="4" t="inlineStr">
        <is>
          <t>Monitoring Trends in Burn Severity (MTBS)</t>
        </is>
      </c>
      <c r="B253" s="19" t="inlineStr">
        <is>
          <t>Silver</t>
        </is>
      </c>
      <c r="C253" s="4" t="n">
        <v>89</v>
      </c>
      <c r="D253" s="4" t="inlineStr">
        <is>
          <t>climate_hazard</t>
        </is>
      </c>
      <c r="E253" s="4" t="inlineStr">
        <is>
          <t>degraded</t>
        </is>
      </c>
      <c r="F253" s="4" t="inlineStr">
        <is>
          <t>public_domain_us_federal</t>
        </is>
      </c>
      <c r="G253" s="4" t="inlineStr">
        <is>
          <t>grid_30m</t>
        </is>
      </c>
      <c r="H253" s="4" t="inlineStr">
        <is>
          <t>Needs raster support</t>
        </is>
      </c>
      <c r="I253" s="4" t="n">
        <v>2</v>
      </c>
      <c r="J253" s="4" t="inlineStr"/>
      <c r="K253" s="4" t="inlineStr">
        <is>
          <t>Curated</t>
        </is>
      </c>
      <c r="L253" s="4" t="n">
        <v>2026</v>
      </c>
      <c r="M253" s="4" t="inlineStr">
        <is>
          <t>open</t>
        </is>
      </c>
      <c r="N253" s="4" t="inlineStr">
        <is>
          <t>2026-10-29</t>
        </is>
      </c>
      <c r="O253" s="14" t="inlineStr">
        <is>
          <t>pass</t>
        </is>
      </c>
      <c r="P253" s="14" t="inlineStr">
        <is>
          <t>pass</t>
        </is>
      </c>
      <c r="Q253" s="14" t="inlineStr">
        <is>
          <t>pass</t>
        </is>
      </c>
      <c r="R253" s="14" t="inlineStr">
        <is>
          <t>pass</t>
        </is>
      </c>
      <c r="S253" s="14" t="inlineStr">
        <is>
          <t>pass</t>
        </is>
      </c>
      <c r="T253" s="14" t="inlineStr">
        <is>
          <t>pass</t>
        </is>
      </c>
      <c r="U253" s="14" t="inlineStr">
        <is>
          <t>pass</t>
        </is>
      </c>
      <c r="V253" s="18" t="inlineStr">
        <is>
          <t>fail</t>
        </is>
      </c>
      <c r="W253" s="16" t="inlineStr">
        <is>
          <t>warn</t>
        </is>
      </c>
      <c r="X253" s="14" t="inlineStr">
        <is>
          <t>pass</t>
        </is>
      </c>
      <c r="Y253" s="14" t="inlineStr">
        <is>
          <t>pass</t>
        </is>
      </c>
      <c r="Z253" s="14" t="inlineStr">
        <is>
          <t>pass</t>
        </is>
      </c>
      <c r="AA253" s="14" t="inlineStr">
        <is>
          <t>pass</t>
        </is>
      </c>
      <c r="AB253" s="15" t="inlineStr">
        <is>
          <t>not_checked</t>
        </is>
      </c>
      <c r="AC253" s="15" t="inlineStr">
        <is>
          <t>not_checked</t>
        </is>
      </c>
      <c r="AD253" s="15" t="inlineStr">
        <is>
          <t>not_checked</t>
        </is>
      </c>
      <c r="AE253" s="14" t="inlineStr">
        <is>
          <t>pass</t>
        </is>
      </c>
      <c r="AF253" s="14" t="inlineStr">
        <is>
          <t>pass</t>
        </is>
      </c>
      <c r="AG253" s="16" t="inlineStr">
        <is>
          <t>warn</t>
        </is>
      </c>
      <c r="AH253" s="15" t="inlineStr">
        <is>
          <t>not_checked</t>
        </is>
      </c>
      <c r="AI253" s="15" t="inlineStr">
        <is>
          <t>n.a.</t>
        </is>
      </c>
      <c r="AJ253" s="15" t="inlineStr">
        <is>
          <t>n.a.</t>
        </is>
      </c>
      <c r="AK253" s="4" t="inlineStr">
        <is>
          <t>machine_metadata;persistent_id(warn);join_key(warn)</t>
        </is>
      </c>
      <c r="AL253" s="17" t="inlineStr">
        <is>
          <t>https://www.mtbs.gov/</t>
        </is>
      </c>
      <c r="AM253" s="4" t="inlineStr">
        <is>
          <t>us_mtbs</t>
        </is>
      </c>
    </row>
    <row r="254">
      <c r="A254" s="4" t="inlineStr">
        <is>
          <t>Munich Re NatCatSERVICE natural catastrophe loss database</t>
        </is>
      </c>
      <c r="B254" s="20" t="inlineStr">
        <is>
          <t>Bronze</t>
        </is>
      </c>
      <c r="C254" s="4" t="n">
        <v>94</v>
      </c>
      <c r="D254" s="4" t="inlineStr">
        <is>
          <t>climate_hazard</t>
        </is>
      </c>
      <c r="E254" s="4" t="inlineStr">
        <is>
          <t>healthy</t>
        </is>
      </c>
      <c r="F254" s="4" t="inlineStr">
        <is>
          <t>not checked</t>
        </is>
      </c>
      <c r="G254" s="4" t="inlineStr">
        <is>
          <t>country</t>
        </is>
      </c>
      <c r="H254" s="4" t="inlineStr">
        <is>
          <t>Not linkable as listed</t>
        </is>
      </c>
      <c r="I254" s="4" t="n">
        <v>2</v>
      </c>
      <c r="J254" s="4" t="inlineStr"/>
      <c r="K254" s="4" t="inlineStr">
        <is>
          <t>Curated</t>
        </is>
      </c>
      <c r="L254" s="4" t="inlineStr">
        <is>
          <t>current</t>
        </is>
      </c>
      <c r="M254" s="4" t="inlineStr">
        <is>
          <t>restricted</t>
        </is>
      </c>
      <c r="N254" s="4" t="inlineStr">
        <is>
          <t>2026-10-22</t>
        </is>
      </c>
      <c r="O254" s="14" t="inlineStr">
        <is>
          <t>pass</t>
        </is>
      </c>
      <c r="P254" s="14" t="inlineStr">
        <is>
          <t>pass</t>
        </is>
      </c>
      <c r="Q254" s="14" t="inlineStr">
        <is>
          <t>pass</t>
        </is>
      </c>
      <c r="R254" s="14" t="inlineStr">
        <is>
          <t>pass</t>
        </is>
      </c>
      <c r="S254" s="14" t="inlineStr">
        <is>
          <t>pass</t>
        </is>
      </c>
      <c r="T254" s="15" t="inlineStr">
        <is>
          <t>n.a.</t>
        </is>
      </c>
      <c r="U254" s="15" t="inlineStr">
        <is>
          <t>n.a.</t>
        </is>
      </c>
      <c r="V254" s="16" t="inlineStr">
        <is>
          <t>warn</t>
        </is>
      </c>
      <c r="W254" s="16" t="inlineStr">
        <is>
          <t>warn</t>
        </is>
      </c>
      <c r="X254" s="14" t="inlineStr">
        <is>
          <t>pass</t>
        </is>
      </c>
      <c r="Y254" s="15" t="inlineStr">
        <is>
          <t>not_checked</t>
        </is>
      </c>
      <c r="Z254" s="15" t="inlineStr">
        <is>
          <t>not_checked</t>
        </is>
      </c>
      <c r="AA254" s="15" t="inlineStr">
        <is>
          <t>not_checked</t>
        </is>
      </c>
      <c r="AB254" s="15" t="inlineStr">
        <is>
          <t>not_checked</t>
        </is>
      </c>
      <c r="AC254" s="15" t="inlineStr">
        <is>
          <t>not_checked</t>
        </is>
      </c>
      <c r="AD254" s="15" t="inlineStr">
        <is>
          <t>not_checked</t>
        </is>
      </c>
      <c r="AE254" s="15" t="inlineStr">
        <is>
          <t>not_checked</t>
        </is>
      </c>
      <c r="AF254" s="15" t="inlineStr">
        <is>
          <t>not_checked</t>
        </is>
      </c>
      <c r="AG254" s="15" t="inlineStr">
        <is>
          <t>not_checked</t>
        </is>
      </c>
      <c r="AH254" s="15" t="inlineStr">
        <is>
          <t>not_checked</t>
        </is>
      </c>
      <c r="AI254" s="15" t="inlineStr">
        <is>
          <t>n.a.</t>
        </is>
      </c>
      <c r="AJ254" s="15" t="inlineStr">
        <is>
          <t>n.a.</t>
        </is>
      </c>
      <c r="AK254" s="4" t="inlineStr">
        <is>
          <t>machine_metadata(warn);persistent_id(warn)</t>
        </is>
      </c>
      <c r="AL254" s="17" t="inlineStr">
        <is>
          <t>https://www.munichre.com/en/solutions/for-industry-clients/natcatservice.html</t>
        </is>
      </c>
      <c r="AM254" s="4" t="inlineStr">
        <is>
          <t>global_munichre_natcatservice</t>
        </is>
      </c>
    </row>
    <row r="255">
      <c r="A255" s="4" t="inlineStr">
        <is>
          <t>NASA Earth Exchange Global Daily Downscaled Projections (NEX-GDDP-CMIP6)</t>
        </is>
      </c>
      <c r="B255" s="20" t="inlineStr">
        <is>
          <t>Bronze</t>
        </is>
      </c>
      <c r="C255" s="4" t="n">
        <v>79</v>
      </c>
      <c r="D255" s="4" t="inlineStr">
        <is>
          <t>climate_hazard</t>
        </is>
      </c>
      <c r="E255" s="4" t="inlineStr">
        <is>
          <t>degraded</t>
        </is>
      </c>
      <c r="F255" s="4" t="inlineStr">
        <is>
          <t>unknown</t>
        </is>
      </c>
      <c r="G255" s="4" t="inlineStr">
        <is>
          <t>grid_0.25deg</t>
        </is>
      </c>
      <c r="H255" s="4" t="inlineStr">
        <is>
          <t>Needs raster support</t>
        </is>
      </c>
      <c r="I255" s="4" t="n">
        <v>2</v>
      </c>
      <c r="J255" s="4" t="inlineStr"/>
      <c r="K255" s="4" t="inlineStr">
        <is>
          <t>Curated</t>
        </is>
      </c>
      <c r="L255" s="4" t="inlineStr">
        <is>
          <t>current</t>
        </is>
      </c>
      <c r="M255" s="4" t="inlineStr">
        <is>
          <t>open</t>
        </is>
      </c>
      <c r="N255" s="4" t="inlineStr">
        <is>
          <t>2026-10-28</t>
        </is>
      </c>
      <c r="O255" s="14" t="inlineStr">
        <is>
          <t>pass</t>
        </is>
      </c>
      <c r="P255" s="14" t="inlineStr">
        <is>
          <t>pass</t>
        </is>
      </c>
      <c r="Q255" s="14" t="inlineStr">
        <is>
          <t>pass</t>
        </is>
      </c>
      <c r="R255" s="14" t="inlineStr">
        <is>
          <t>pass</t>
        </is>
      </c>
      <c r="S255" s="14" t="inlineStr">
        <is>
          <t>pass</t>
        </is>
      </c>
      <c r="T255" s="14" t="inlineStr">
        <is>
          <t>pass</t>
        </is>
      </c>
      <c r="U255" s="16" t="inlineStr">
        <is>
          <t>warn</t>
        </is>
      </c>
      <c r="V255" s="18" t="inlineStr">
        <is>
          <t>fail</t>
        </is>
      </c>
      <c r="W255" s="16" t="inlineStr">
        <is>
          <t>warn</t>
        </is>
      </c>
      <c r="X255" s="14" t="inlineStr">
        <is>
          <t>pass</t>
        </is>
      </c>
      <c r="Y255" s="18" t="inlineStr">
        <is>
          <t>fail</t>
        </is>
      </c>
      <c r="Z255" s="15" t="inlineStr">
        <is>
          <t>not_checked</t>
        </is>
      </c>
      <c r="AA255" s="15" t="inlineStr">
        <is>
          <t>not_checked</t>
        </is>
      </c>
      <c r="AB255" s="15" t="inlineStr">
        <is>
          <t>not_checked</t>
        </is>
      </c>
      <c r="AC255" s="14" t="inlineStr">
        <is>
          <t>pass</t>
        </is>
      </c>
      <c r="AD255" s="14" t="inlineStr">
        <is>
          <t>pass</t>
        </is>
      </c>
      <c r="AE255" s="14" t="inlineStr">
        <is>
          <t>pass</t>
        </is>
      </c>
      <c r="AF255" s="14" t="inlineStr">
        <is>
          <t>pass</t>
        </is>
      </c>
      <c r="AG255" s="14" t="inlineStr">
        <is>
          <t>pass</t>
        </is>
      </c>
      <c r="AH255" s="14" t="inlineStr">
        <is>
          <t>pass</t>
        </is>
      </c>
      <c r="AI255" s="15" t="inlineStr">
        <is>
          <t>n.a.</t>
        </is>
      </c>
      <c r="AJ255" s="15" t="inlineStr">
        <is>
          <t>n.a.</t>
        </is>
      </c>
      <c r="AK255" s="4" t="inlineStr">
        <is>
          <t>machine_metadata;license;format_match(warn);persistent_id(warn)</t>
        </is>
      </c>
      <c r="AL255" s="17" t="inlineStr">
        <is>
          <t>https://www.nccs.nasa.gov/services/data-collections/land-based-products/nex-gddp-cmip6</t>
        </is>
      </c>
      <c r="AM255" s="4" t="inlineStr">
        <is>
          <t>global_nasa_nex_gddp_cmip6</t>
        </is>
      </c>
    </row>
    <row r="256">
      <c r="A256" s="4" t="inlineStr">
        <is>
          <t>NASA POWER (Prediction Of Worldwide Energy Resources) meteorology and solar data</t>
        </is>
      </c>
      <c r="B256" s="19" t="inlineStr">
        <is>
          <t>Silver</t>
        </is>
      </c>
      <c r="C256" s="4" t="n">
        <v>96</v>
      </c>
      <c r="D256" s="4" t="inlineStr">
        <is>
          <t>climate_hazard</t>
        </is>
      </c>
      <c r="E256" s="4" t="inlineStr">
        <is>
          <t>healthy</t>
        </is>
      </c>
      <c r="F256" s="4" t="inlineStr">
        <is>
          <t>public_domain_us_federal</t>
        </is>
      </c>
      <c r="G256" s="4" t="inlineStr">
        <is>
          <t>grid_0.5deg</t>
        </is>
      </c>
      <c r="H256" s="4" t="inlineStr">
        <is>
          <t>Needs raster support</t>
        </is>
      </c>
      <c r="I256" s="4" t="n">
        <v>2</v>
      </c>
      <c r="J256" s="4" t="inlineStr"/>
      <c r="K256" s="4" t="inlineStr">
        <is>
          <t>Curated</t>
        </is>
      </c>
      <c r="L256" s="4" t="inlineStr">
        <is>
          <t>current</t>
        </is>
      </c>
      <c r="M256" s="4" t="inlineStr">
        <is>
          <t>open</t>
        </is>
      </c>
      <c r="N256" s="4" t="inlineStr">
        <is>
          <t>2026-10-29</t>
        </is>
      </c>
      <c r="O256" s="14" t="inlineStr">
        <is>
          <t>pass</t>
        </is>
      </c>
      <c r="P256" s="14" t="inlineStr">
        <is>
          <t>pass</t>
        </is>
      </c>
      <c r="Q256" s="14" t="inlineStr">
        <is>
          <t>pass</t>
        </is>
      </c>
      <c r="R256" s="14" t="inlineStr">
        <is>
          <t>pass</t>
        </is>
      </c>
      <c r="S256" s="14" t="inlineStr">
        <is>
          <t>pass</t>
        </is>
      </c>
      <c r="T256" s="14" t="inlineStr">
        <is>
          <t>pass</t>
        </is>
      </c>
      <c r="U256" s="16" t="inlineStr">
        <is>
          <t>warn</t>
        </is>
      </c>
      <c r="V256" s="16" t="inlineStr">
        <is>
          <t>warn</t>
        </is>
      </c>
      <c r="W256" s="16" t="inlineStr">
        <is>
          <t>warn</t>
        </is>
      </c>
      <c r="X256" s="14" t="inlineStr">
        <is>
          <t>pass</t>
        </is>
      </c>
      <c r="Y256" s="14" t="inlineStr">
        <is>
          <t>pass</t>
        </is>
      </c>
      <c r="Z256" s="15" t="inlineStr">
        <is>
          <t>not_checked</t>
        </is>
      </c>
      <c r="AA256" s="15" t="inlineStr">
        <is>
          <t>not_checked</t>
        </is>
      </c>
      <c r="AB256" s="15" t="inlineStr">
        <is>
          <t>not_checked</t>
        </is>
      </c>
      <c r="AC256" s="15" t="inlineStr">
        <is>
          <t>not_checked</t>
        </is>
      </c>
      <c r="AD256" s="15" t="inlineStr">
        <is>
          <t>not_checked</t>
        </is>
      </c>
      <c r="AE256" s="16" t="inlineStr">
        <is>
          <t>warn</t>
        </is>
      </c>
      <c r="AF256" s="14" t="inlineStr">
        <is>
          <t>pass</t>
        </is>
      </c>
      <c r="AG256" s="15" t="inlineStr">
        <is>
          <t>not_checked</t>
        </is>
      </c>
      <c r="AH256" s="15" t="inlineStr">
        <is>
          <t>not_checked</t>
        </is>
      </c>
      <c r="AI256" s="15" t="inlineStr">
        <is>
          <t>n.a.</t>
        </is>
      </c>
      <c r="AJ256" s="15" t="inlineStr">
        <is>
          <t>n.a.</t>
        </is>
      </c>
      <c r="AK256" s="4" t="inlineStr">
        <is>
          <t>format_match(warn);machine_metadata(warn);persistent_id(warn);coverage(warn)</t>
        </is>
      </c>
      <c r="AL256" s="17" t="inlineStr">
        <is>
          <t>https://power.larc.nasa.gov/</t>
        </is>
      </c>
      <c r="AM256" s="4" t="inlineStr">
        <is>
          <t>global_nasa_power</t>
        </is>
      </c>
    </row>
    <row r="257">
      <c r="A257" s="4" t="inlineStr">
        <is>
          <t>National Flood Hazard Layer (NFHL)</t>
        </is>
      </c>
      <c r="B257" s="19" t="inlineStr">
        <is>
          <t>Silver</t>
        </is>
      </c>
      <c r="C257" s="4" t="n">
        <v>88</v>
      </c>
      <c r="D257" s="4" t="inlineStr">
        <is>
          <t>climate_hazard</t>
        </is>
      </c>
      <c r="E257" s="4" t="inlineStr">
        <is>
          <t>healthy</t>
        </is>
      </c>
      <c r="F257" s="4" t="inlineStr">
        <is>
          <t>public_domain_us_federal</t>
        </is>
      </c>
      <c r="G257" s="4" t="inlineStr">
        <is>
          <t>polygon</t>
        </is>
      </c>
      <c r="H257" s="4" t="inlineStr">
        <is>
          <t>Joins today</t>
        </is>
      </c>
      <c r="I257" s="4" t="n">
        <v>2</v>
      </c>
      <c r="J257" s="4" t="inlineStr"/>
      <c r="K257" s="4" t="inlineStr">
        <is>
          <t>Curated</t>
        </is>
      </c>
      <c r="L257" s="4" t="n">
        <v>2026</v>
      </c>
      <c r="M257" s="4" t="inlineStr">
        <is>
          <t>open</t>
        </is>
      </c>
      <c r="N257" s="4" t="inlineStr">
        <is>
          <t>2026-10-29</t>
        </is>
      </c>
      <c r="O257" s="14" t="inlineStr">
        <is>
          <t>pass</t>
        </is>
      </c>
      <c r="P257" s="14" t="inlineStr">
        <is>
          <t>pass</t>
        </is>
      </c>
      <c r="Q257" s="14" t="inlineStr">
        <is>
          <t>pass</t>
        </is>
      </c>
      <c r="R257" s="14" t="inlineStr">
        <is>
          <t>pass</t>
        </is>
      </c>
      <c r="S257" s="14" t="inlineStr">
        <is>
          <t>pass</t>
        </is>
      </c>
      <c r="T257" s="14" t="inlineStr">
        <is>
          <t>pass</t>
        </is>
      </c>
      <c r="U257" s="14" t="inlineStr">
        <is>
          <t>pass</t>
        </is>
      </c>
      <c r="V257" s="16" t="inlineStr">
        <is>
          <t>warn</t>
        </is>
      </c>
      <c r="W257" s="16" t="inlineStr">
        <is>
          <t>warn</t>
        </is>
      </c>
      <c r="X257" s="14" t="inlineStr">
        <is>
          <t>pass</t>
        </is>
      </c>
      <c r="Y257" s="14" t="inlineStr">
        <is>
          <t>pass</t>
        </is>
      </c>
      <c r="Z257" s="16" t="inlineStr">
        <is>
          <t>warn</t>
        </is>
      </c>
      <c r="AA257" s="14" t="inlineStr">
        <is>
          <t>pass</t>
        </is>
      </c>
      <c r="AB257" s="14" t="inlineStr">
        <is>
          <t>pass</t>
        </is>
      </c>
      <c r="AC257" s="15" t="inlineStr">
        <is>
          <t>not_checked</t>
        </is>
      </c>
      <c r="AD257" s="16" t="inlineStr">
        <is>
          <t>warn</t>
        </is>
      </c>
      <c r="AE257" s="14" t="inlineStr">
        <is>
          <t>pass</t>
        </is>
      </c>
      <c r="AF257" s="14" t="inlineStr">
        <is>
          <t>pass</t>
        </is>
      </c>
      <c r="AG257" s="14" t="inlineStr">
        <is>
          <t>pass</t>
        </is>
      </c>
      <c r="AH257" s="14" t="inlineStr">
        <is>
          <t>pass</t>
        </is>
      </c>
      <c r="AI257" s="15" t="inlineStr">
        <is>
          <t>n.a.</t>
        </is>
      </c>
      <c r="AJ257" s="15" t="inlineStr">
        <is>
          <t>n.a.</t>
        </is>
      </c>
      <c r="AK257" s="4" t="inlineStr">
        <is>
          <t>machine_metadata(warn);persistent_id(warn);temporal(warn);unit(warn)</t>
        </is>
      </c>
      <c r="AL257" s="17" t="inlineStr">
        <is>
          <t>https://www.fema.gov/flood-maps/national-flood-hazard-layer</t>
        </is>
      </c>
      <c r="AM257" s="4" t="inlineStr">
        <is>
          <t>us_fema_nfhl</t>
        </is>
      </c>
    </row>
    <row r="258">
      <c r="A258" s="4" t="inlineStr">
        <is>
          <t>nClimGrid (nClimGrid-Daily and nClimGrid-Monthly)</t>
        </is>
      </c>
      <c r="B258" s="13" t="inlineStr">
        <is>
          <t>Gold</t>
        </is>
      </c>
      <c r="C258" s="4" t="n">
        <v>93</v>
      </c>
      <c r="D258" s="4" t="inlineStr">
        <is>
          <t>climate_hazard</t>
        </is>
      </c>
      <c r="E258" s="4" t="inlineStr">
        <is>
          <t>healthy</t>
        </is>
      </c>
      <c r="F258" s="4" t="inlineStr">
        <is>
          <t>public_domain_us_federal</t>
        </is>
      </c>
      <c r="G258" s="4" t="inlineStr">
        <is>
          <t>grid_4km (1/24 degree, 0.0417 deg); area averages for tract, county, climate division, state, HUC, WFO</t>
        </is>
      </c>
      <c r="H258" s="4" t="inlineStr">
        <is>
          <t>Needs raster support</t>
        </is>
      </c>
      <c r="I258" s="4" t="n">
        <v>2</v>
      </c>
      <c r="J258" s="4" t="inlineStr"/>
      <c r="K258" s="4" t="inlineStr">
        <is>
          <t>Curated</t>
        </is>
      </c>
      <c r="L258" s="4" t="n">
        <v>2026</v>
      </c>
      <c r="M258" s="4" t="inlineStr">
        <is>
          <t>open</t>
        </is>
      </c>
      <c r="N258" s="4" t="inlineStr">
        <is>
          <t>2026-10-29</t>
        </is>
      </c>
      <c r="O258" s="14" t="inlineStr">
        <is>
          <t>pass</t>
        </is>
      </c>
      <c r="P258" s="14" t="inlineStr">
        <is>
          <t>pass</t>
        </is>
      </c>
      <c r="Q258" s="14" t="inlineStr">
        <is>
          <t>pass</t>
        </is>
      </c>
      <c r="R258" s="14" t="inlineStr">
        <is>
          <t>pass</t>
        </is>
      </c>
      <c r="S258" s="14" t="inlineStr">
        <is>
          <t>pass</t>
        </is>
      </c>
      <c r="T258" s="14" t="inlineStr">
        <is>
          <t>pass</t>
        </is>
      </c>
      <c r="U258" s="16" t="inlineStr">
        <is>
          <t>warn</t>
        </is>
      </c>
      <c r="V258" s="16" t="inlineStr">
        <is>
          <t>warn</t>
        </is>
      </c>
      <c r="W258" s="14" t="inlineStr">
        <is>
          <t>pass</t>
        </is>
      </c>
      <c r="X258" s="14" t="inlineStr">
        <is>
          <t>pass</t>
        </is>
      </c>
      <c r="Y258" s="14" t="inlineStr">
        <is>
          <t>pass</t>
        </is>
      </c>
      <c r="Z258" s="14" t="inlineStr">
        <is>
          <t>pass</t>
        </is>
      </c>
      <c r="AA258" s="14" t="inlineStr">
        <is>
          <t>pass</t>
        </is>
      </c>
      <c r="AB258" s="14" t="inlineStr">
        <is>
          <t>pass</t>
        </is>
      </c>
      <c r="AC258" s="14" t="inlineStr">
        <is>
          <t>pass</t>
        </is>
      </c>
      <c r="AD258" s="14" t="inlineStr">
        <is>
          <t>pass</t>
        </is>
      </c>
      <c r="AE258" s="14" t="inlineStr">
        <is>
          <t>pass</t>
        </is>
      </c>
      <c r="AF258" s="14" t="inlineStr">
        <is>
          <t>pass</t>
        </is>
      </c>
      <c r="AG258" s="16" t="inlineStr">
        <is>
          <t>warn</t>
        </is>
      </c>
      <c r="AH258" s="14" t="inlineStr">
        <is>
          <t>pass</t>
        </is>
      </c>
      <c r="AI258" s="15" t="inlineStr">
        <is>
          <t>n.a.</t>
        </is>
      </c>
      <c r="AJ258" s="15" t="inlineStr">
        <is>
          <t>n.a.</t>
        </is>
      </c>
      <c r="AK258" s="4" t="inlineStr">
        <is>
          <t>format_match(warn);machine_metadata(warn);join_key(warn)</t>
        </is>
      </c>
      <c r="AL258" s="17" t="inlineStr">
        <is>
          <t>https://www.ncei.noaa.gov/products/land-based-station/nclimgrid-daily</t>
        </is>
      </c>
      <c r="AM258" s="4" t="inlineStr">
        <is>
          <t>us_noaa_nclimgrid</t>
        </is>
      </c>
    </row>
    <row r="259">
      <c r="A259" s="4" t="inlineStr">
        <is>
          <t>NOAA Atlas 14 Precipitation Frequency Data Server (PFDS)</t>
        </is>
      </c>
      <c r="B259" s="19" t="inlineStr">
        <is>
          <t>Silver</t>
        </is>
      </c>
      <c r="C259" s="4" t="n">
        <v>91</v>
      </c>
      <c r="D259" s="4" t="inlineStr">
        <is>
          <t>climate_hazard</t>
        </is>
      </c>
      <c r="E259" s="4" t="inlineStr">
        <is>
          <t>healthy</t>
        </is>
      </c>
      <c r="F259" s="4" t="inlineStr">
        <is>
          <t>public_domain_us_federal</t>
        </is>
      </c>
      <c r="G259" s="4" t="inlineStr">
        <is>
          <t>grid (ASCII grids; resolution not stated) and point lookup via interactive map</t>
        </is>
      </c>
      <c r="H259" s="4" t="inlineStr">
        <is>
          <t>Needs raster support</t>
        </is>
      </c>
      <c r="I259" s="4" t="n">
        <v>2</v>
      </c>
      <c r="J259" s="4" t="inlineStr"/>
      <c r="K259" s="4" t="inlineStr">
        <is>
          <t>Curated</t>
        </is>
      </c>
      <c r="L259" s="4" t="n">
        <v>2025</v>
      </c>
      <c r="M259" s="4" t="inlineStr">
        <is>
          <t>open</t>
        </is>
      </c>
      <c r="N259" s="4" t="inlineStr">
        <is>
          <t>2026-10-29</t>
        </is>
      </c>
      <c r="O259" s="14" t="inlineStr">
        <is>
          <t>pass</t>
        </is>
      </c>
      <c r="P259" s="14" t="inlineStr">
        <is>
          <t>pass</t>
        </is>
      </c>
      <c r="Q259" s="14" t="inlineStr">
        <is>
          <t>pass</t>
        </is>
      </c>
      <c r="R259" s="14" t="inlineStr">
        <is>
          <t>pass</t>
        </is>
      </c>
      <c r="S259" s="14" t="inlineStr">
        <is>
          <t>pass</t>
        </is>
      </c>
      <c r="T259" s="14" t="inlineStr">
        <is>
          <t>pass</t>
        </is>
      </c>
      <c r="U259" s="16" t="inlineStr">
        <is>
          <t>warn</t>
        </is>
      </c>
      <c r="V259" s="16" t="inlineStr">
        <is>
          <t>warn</t>
        </is>
      </c>
      <c r="W259" s="16" t="inlineStr">
        <is>
          <t>warn</t>
        </is>
      </c>
      <c r="X259" s="14" t="inlineStr">
        <is>
          <t>pass</t>
        </is>
      </c>
      <c r="Y259" s="14" t="inlineStr">
        <is>
          <t>pass</t>
        </is>
      </c>
      <c r="Z259" s="15" t="inlineStr">
        <is>
          <t>not_checked</t>
        </is>
      </c>
      <c r="AA259" s="15" t="inlineStr">
        <is>
          <t>not_checked</t>
        </is>
      </c>
      <c r="AB259" s="15" t="inlineStr">
        <is>
          <t>not_checked</t>
        </is>
      </c>
      <c r="AC259" s="16" t="inlineStr">
        <is>
          <t>warn</t>
        </is>
      </c>
      <c r="AD259" s="15" t="inlineStr">
        <is>
          <t>not_checked</t>
        </is>
      </c>
      <c r="AE259" s="14" t="inlineStr">
        <is>
          <t>pass</t>
        </is>
      </c>
      <c r="AF259" s="14" t="inlineStr">
        <is>
          <t>pass</t>
        </is>
      </c>
      <c r="AG259" s="16" t="inlineStr">
        <is>
          <t>warn</t>
        </is>
      </c>
      <c r="AH259" s="16" t="inlineStr">
        <is>
          <t>warn</t>
        </is>
      </c>
      <c r="AI259" s="15" t="inlineStr">
        <is>
          <t>n.a.</t>
        </is>
      </c>
      <c r="AJ259" s="15" t="inlineStr">
        <is>
          <t>n.a.</t>
        </is>
      </c>
      <c r="AK259" s="4" t="inlineStr">
        <is>
          <t>format_match(warn);machine_metadata(warn);persistent_id(warn);version(warn);join_key(warn);format_gaia(warn)</t>
        </is>
      </c>
      <c r="AL259" s="17" t="inlineStr">
        <is>
          <t>https://hdsc.nws.noaa.gov/pfds/</t>
        </is>
      </c>
      <c r="AM259" s="4" t="inlineStr">
        <is>
          <t>us_noaa_atlas14_precip_frequency</t>
        </is>
      </c>
    </row>
    <row r="260">
      <c r="A260" s="4" t="inlineStr">
        <is>
          <t>NOAA NCEI / WDS Global Historical Tsunami Database (events and runups, 2100 BC to present)</t>
        </is>
      </c>
      <c r="B260" s="19" t="inlineStr">
        <is>
          <t>Silver</t>
        </is>
      </c>
      <c r="C260" s="4" t="n">
        <v>94</v>
      </c>
      <c r="D260" s="4" t="inlineStr">
        <is>
          <t>climate_hazard</t>
        </is>
      </c>
      <c r="E260" s="4" t="inlineStr">
        <is>
          <t>degraded</t>
        </is>
      </c>
      <c r="F260" s="4" t="inlineStr">
        <is>
          <t>public_domain_us_federal</t>
        </is>
      </c>
      <c r="G260" s="4" t="inlineStr">
        <is>
          <t>point</t>
        </is>
      </c>
      <c r="H260" s="4" t="inlineStr">
        <is>
          <t>Needs a count/distance step</t>
        </is>
      </c>
      <c r="I260" s="4" t="n">
        <v>2</v>
      </c>
      <c r="J260" s="4" t="inlineStr"/>
      <c r="K260" s="4" t="inlineStr">
        <is>
          <t>Curated</t>
        </is>
      </c>
      <c r="L260" s="4" t="n">
        <v>2026</v>
      </c>
      <c r="M260" s="4" t="inlineStr">
        <is>
          <t>open</t>
        </is>
      </c>
      <c r="N260" s="4" t="inlineStr">
        <is>
          <t>2026-10-29</t>
        </is>
      </c>
      <c r="O260" s="14" t="inlineStr">
        <is>
          <t>pass</t>
        </is>
      </c>
      <c r="P260" s="14" t="inlineStr">
        <is>
          <t>pass</t>
        </is>
      </c>
      <c r="Q260" s="14" t="inlineStr">
        <is>
          <t>pass</t>
        </is>
      </c>
      <c r="R260" s="14" t="inlineStr">
        <is>
          <t>pass</t>
        </is>
      </c>
      <c r="S260" s="14" t="inlineStr">
        <is>
          <t>pass</t>
        </is>
      </c>
      <c r="T260" s="16" t="inlineStr">
        <is>
          <t>warn</t>
        </is>
      </c>
      <c r="U260" s="15" t="inlineStr">
        <is>
          <t>n.a.</t>
        </is>
      </c>
      <c r="V260" s="18" t="inlineStr">
        <is>
          <t>fail</t>
        </is>
      </c>
      <c r="W260" s="14" t="inlineStr">
        <is>
          <t>pass</t>
        </is>
      </c>
      <c r="X260" s="14" t="inlineStr">
        <is>
          <t>pass</t>
        </is>
      </c>
      <c r="Y260" s="14" t="inlineStr">
        <is>
          <t>pass</t>
        </is>
      </c>
      <c r="Z260" s="14" t="inlineStr">
        <is>
          <t>pass</t>
        </is>
      </c>
      <c r="AA260" s="14" t="inlineStr">
        <is>
          <t>pass</t>
        </is>
      </c>
      <c r="AB260" s="15" t="inlineStr">
        <is>
          <t>not_checked</t>
        </is>
      </c>
      <c r="AC260" s="15" t="inlineStr">
        <is>
          <t>not_checked</t>
        </is>
      </c>
      <c r="AD260" s="14" t="inlineStr">
        <is>
          <t>pass</t>
        </is>
      </c>
      <c r="AE260" s="14" t="inlineStr">
        <is>
          <t>pass</t>
        </is>
      </c>
      <c r="AF260" s="15" t="inlineStr">
        <is>
          <t>not_checked</t>
        </is>
      </c>
      <c r="AG260" s="15" t="inlineStr">
        <is>
          <t>not_checked</t>
        </is>
      </c>
      <c r="AH260" s="15" t="inlineStr">
        <is>
          <t>not_checked</t>
        </is>
      </c>
      <c r="AI260" s="15" t="inlineStr">
        <is>
          <t>n.a.</t>
        </is>
      </c>
      <c r="AJ260" s="15" t="inlineStr">
        <is>
          <t>n.a.</t>
        </is>
      </c>
      <c r="AK260" s="4" t="inlineStr">
        <is>
          <t>machine_metadata;access_url(warn)</t>
        </is>
      </c>
      <c r="AL260" s="17" t="inlineStr">
        <is>
          <t>https://www.ncei.noaa.gov/products/natural-hazards/tsunamis-earthquakes-volcanoes/tsunamis</t>
        </is>
      </c>
      <c r="AM260" s="4" t="inlineStr">
        <is>
          <t>global_noaa_ncei_tsunami_database</t>
        </is>
      </c>
    </row>
    <row r="261">
      <c r="A261" s="4" t="inlineStr">
        <is>
          <t>Sea Level Rise Viewer Data Download</t>
        </is>
      </c>
      <c r="B261" s="19" t="inlineStr">
        <is>
          <t>Silver</t>
        </is>
      </c>
      <c r="C261" s="4" t="n">
        <v>81</v>
      </c>
      <c r="D261" s="4" t="inlineStr">
        <is>
          <t>climate_hazard</t>
        </is>
      </c>
      <c r="E261" s="4" t="inlineStr">
        <is>
          <t>degraded</t>
        </is>
      </c>
      <c r="F261" s="4" t="inlineStr">
        <is>
          <t>public_domain_us_federal</t>
        </is>
      </c>
      <c r="G261" s="4" t="inlineStr">
        <is>
          <t>raster (resolution not stated); also inundation polygons/vectors</t>
        </is>
      </c>
      <c r="H261" s="4" t="inlineStr">
        <is>
          <t>Needs raster support</t>
        </is>
      </c>
      <c r="I261" s="4" t="n">
        <v>2</v>
      </c>
      <c r="J261" s="4" t="inlineStr"/>
      <c r="K261" s="4" t="inlineStr">
        <is>
          <t>Curated</t>
        </is>
      </c>
      <c r="L261" s="4" t="n">
        <v>2026</v>
      </c>
      <c r="M261" s="4" t="inlineStr">
        <is>
          <t>open</t>
        </is>
      </c>
      <c r="N261" s="4" t="inlineStr">
        <is>
          <t>2026-10-29</t>
        </is>
      </c>
      <c r="O261" s="14" t="inlineStr">
        <is>
          <t>pass</t>
        </is>
      </c>
      <c r="P261" s="14" t="inlineStr">
        <is>
          <t>pass</t>
        </is>
      </c>
      <c r="Q261" s="14" t="inlineStr">
        <is>
          <t>pass</t>
        </is>
      </c>
      <c r="R261" s="14" t="inlineStr">
        <is>
          <t>pass</t>
        </is>
      </c>
      <c r="S261" s="14" t="inlineStr">
        <is>
          <t>pass</t>
        </is>
      </c>
      <c r="T261" s="14" t="inlineStr">
        <is>
          <t>pass</t>
        </is>
      </c>
      <c r="U261" s="16" t="inlineStr">
        <is>
          <t>warn</t>
        </is>
      </c>
      <c r="V261" s="18" t="inlineStr">
        <is>
          <t>fail</t>
        </is>
      </c>
      <c r="W261" s="16" t="inlineStr">
        <is>
          <t>warn</t>
        </is>
      </c>
      <c r="X261" s="14" t="inlineStr">
        <is>
          <t>pass</t>
        </is>
      </c>
      <c r="Y261" s="14" t="inlineStr">
        <is>
          <t>pass</t>
        </is>
      </c>
      <c r="Z261" s="16" t="inlineStr">
        <is>
          <t>warn</t>
        </is>
      </c>
      <c r="AA261" s="14" t="inlineStr">
        <is>
          <t>pass</t>
        </is>
      </c>
      <c r="AB261" s="16" t="inlineStr">
        <is>
          <t>warn</t>
        </is>
      </c>
      <c r="AC261" s="15" t="inlineStr">
        <is>
          <t>not_checked</t>
        </is>
      </c>
      <c r="AD261" s="16" t="inlineStr">
        <is>
          <t>warn</t>
        </is>
      </c>
      <c r="AE261" s="14" t="inlineStr">
        <is>
          <t>pass</t>
        </is>
      </c>
      <c r="AF261" s="14" t="inlineStr">
        <is>
          <t>pass</t>
        </is>
      </c>
      <c r="AG261" s="16" t="inlineStr">
        <is>
          <t>warn</t>
        </is>
      </c>
      <c r="AH261" s="16" t="inlineStr">
        <is>
          <t>warn</t>
        </is>
      </c>
      <c r="AI261" s="15" t="inlineStr">
        <is>
          <t>n.a.</t>
        </is>
      </c>
      <c r="AJ261" s="15" t="inlineStr">
        <is>
          <t>n.a.</t>
        </is>
      </c>
      <c r="AK261" s="4" t="inlineStr">
        <is>
          <t>machine_metadata;format_match(warn);persistent_id(warn);temporal(warn);cadence(warn);unit(warn);join_key(warn);format_gaia(warn)</t>
        </is>
      </c>
      <c r="AL261" s="17" t="inlineStr">
        <is>
          <t>https://coast.noaa.gov/slrdata/</t>
        </is>
      </c>
      <c r="AM261" s="4" t="inlineStr">
        <is>
          <t>us_noaa_slr_viewer_data</t>
        </is>
      </c>
    </row>
    <row r="262">
      <c r="A262" s="4" t="inlineStr">
        <is>
          <t>Sea Level Trends and Extremes</t>
        </is>
      </c>
      <c r="B262" s="19" t="inlineStr">
        <is>
          <t>Silver</t>
        </is>
      </c>
      <c r="C262" s="4" t="n">
        <v>87</v>
      </c>
      <c r="D262" s="4" t="inlineStr">
        <is>
          <t>climate_hazard</t>
        </is>
      </c>
      <c r="E262" s="4" t="inlineStr">
        <is>
          <t>degraded</t>
        </is>
      </c>
      <c r="F262" s="4" t="inlineStr">
        <is>
          <t>public_domain_us_federal</t>
        </is>
      </c>
      <c r="G262" s="4" t="inlineStr">
        <is>
          <t>point</t>
        </is>
      </c>
      <c r="H262" s="4" t="inlineStr">
        <is>
          <t>Needs a count/distance step</t>
        </is>
      </c>
      <c r="I262" s="4" t="n">
        <v>2</v>
      </c>
      <c r="J262" s="4" t="inlineStr"/>
      <c r="K262" s="4" t="inlineStr">
        <is>
          <t>Curated</t>
        </is>
      </c>
      <c r="L262" s="4" t="inlineStr"/>
      <c r="M262" s="4" t="inlineStr">
        <is>
          <t>open</t>
        </is>
      </c>
      <c r="N262" s="4" t="inlineStr">
        <is>
          <t>2026-10-29</t>
        </is>
      </c>
      <c r="O262" s="14" t="inlineStr">
        <is>
          <t>pass</t>
        </is>
      </c>
      <c r="P262" s="14" t="inlineStr">
        <is>
          <t>pass</t>
        </is>
      </c>
      <c r="Q262" s="14" t="inlineStr">
        <is>
          <t>pass</t>
        </is>
      </c>
      <c r="R262" s="14" t="inlineStr">
        <is>
          <t>pass</t>
        </is>
      </c>
      <c r="S262" s="14" t="inlineStr">
        <is>
          <t>pass</t>
        </is>
      </c>
      <c r="T262" s="14" t="inlineStr">
        <is>
          <t>pass</t>
        </is>
      </c>
      <c r="U262" s="14" t="inlineStr">
        <is>
          <t>pass</t>
        </is>
      </c>
      <c r="V262" s="18" t="inlineStr">
        <is>
          <t>fail</t>
        </is>
      </c>
      <c r="W262" s="16" t="inlineStr">
        <is>
          <t>warn</t>
        </is>
      </c>
      <c r="X262" s="18" t="inlineStr">
        <is>
          <t>fail</t>
        </is>
      </c>
      <c r="Y262" s="14" t="inlineStr">
        <is>
          <t>pass</t>
        </is>
      </c>
      <c r="Z262" s="16" t="inlineStr">
        <is>
          <t>warn</t>
        </is>
      </c>
      <c r="AA262" s="15" t="inlineStr">
        <is>
          <t>not_checked</t>
        </is>
      </c>
      <c r="AB262" s="15" t="inlineStr">
        <is>
          <t>not_checked</t>
        </is>
      </c>
      <c r="AC262" s="15" t="inlineStr">
        <is>
          <t>not_checked</t>
        </is>
      </c>
      <c r="AD262" s="14" t="inlineStr">
        <is>
          <t>pass</t>
        </is>
      </c>
      <c r="AE262" s="14" t="inlineStr">
        <is>
          <t>pass</t>
        </is>
      </c>
      <c r="AF262" s="14" t="inlineStr">
        <is>
          <t>pass</t>
        </is>
      </c>
      <c r="AG262" s="16" t="inlineStr">
        <is>
          <t>warn</t>
        </is>
      </c>
      <c r="AH262" s="16" t="inlineStr">
        <is>
          <t>warn</t>
        </is>
      </c>
      <c r="AI262" s="15" t="inlineStr">
        <is>
          <t>n.a.</t>
        </is>
      </c>
      <c r="AJ262" s="15" t="inlineStr">
        <is>
          <t>n.a.</t>
        </is>
      </c>
      <c r="AK262" s="4" t="inlineStr">
        <is>
          <t>machine_metadata;archived;persistent_id(warn);temporal(warn);join_key(warn);format_gaia(warn)</t>
        </is>
      </c>
      <c r="AL262" s="17" t="inlineStr">
        <is>
          <t>https://tidesandcurrents.noaa.gov/trends-and-extremes/</t>
        </is>
      </c>
      <c r="AM262" s="4" t="inlineStr">
        <is>
          <t>us_noaa_sea_level_trends</t>
        </is>
      </c>
    </row>
    <row r="263">
      <c r="A263" s="4" t="inlineStr">
        <is>
          <t>Storm Events Database</t>
        </is>
      </c>
      <c r="B263" s="19" t="inlineStr">
        <is>
          <t>Silver</t>
        </is>
      </c>
      <c r="C263" s="4" t="n">
        <v>89</v>
      </c>
      <c r="D263" s="4" t="inlineStr">
        <is>
          <t>climate_hazard</t>
        </is>
      </c>
      <c r="E263" s="4" t="inlineStr">
        <is>
          <t>degraded</t>
        </is>
      </c>
      <c r="F263" s="4" t="inlineStr">
        <is>
          <t>public_domain_us_federal</t>
        </is>
      </c>
      <c r="G263" s="4" t="inlineStr">
        <is>
          <t>point</t>
        </is>
      </c>
      <c r="H263" s="4" t="inlineStr">
        <is>
          <t>Needs a count/distance step</t>
        </is>
      </c>
      <c r="I263" s="4" t="n">
        <v>2</v>
      </c>
      <c r="J263" s="4" t="inlineStr"/>
      <c r="K263" s="4" t="inlineStr">
        <is>
          <t>Curated</t>
        </is>
      </c>
      <c r="L263" s="4" t="n">
        <v>2026</v>
      </c>
      <c r="M263" s="4" t="inlineStr">
        <is>
          <t>open</t>
        </is>
      </c>
      <c r="N263" s="4" t="inlineStr">
        <is>
          <t>2026-10-29</t>
        </is>
      </c>
      <c r="O263" s="14" t="inlineStr">
        <is>
          <t>pass</t>
        </is>
      </c>
      <c r="P263" s="14" t="inlineStr">
        <is>
          <t>pass</t>
        </is>
      </c>
      <c r="Q263" s="14" t="inlineStr">
        <is>
          <t>pass</t>
        </is>
      </c>
      <c r="R263" s="14" t="inlineStr">
        <is>
          <t>pass</t>
        </is>
      </c>
      <c r="S263" s="14" t="inlineStr">
        <is>
          <t>pass</t>
        </is>
      </c>
      <c r="T263" s="14" t="inlineStr">
        <is>
          <t>pass</t>
        </is>
      </c>
      <c r="U263" s="16" t="inlineStr">
        <is>
          <t>warn</t>
        </is>
      </c>
      <c r="V263" s="18" t="inlineStr">
        <is>
          <t>fail</t>
        </is>
      </c>
      <c r="W263" s="16" t="inlineStr">
        <is>
          <t>warn</t>
        </is>
      </c>
      <c r="X263" s="14" t="inlineStr">
        <is>
          <t>pass</t>
        </is>
      </c>
      <c r="Y263" s="14" t="inlineStr">
        <is>
          <t>pass</t>
        </is>
      </c>
      <c r="Z263" s="14" t="inlineStr">
        <is>
          <t>pass</t>
        </is>
      </c>
      <c r="AA263" s="14" t="inlineStr">
        <is>
          <t>pass</t>
        </is>
      </c>
      <c r="AB263" s="16" t="inlineStr">
        <is>
          <t>warn</t>
        </is>
      </c>
      <c r="AC263" s="14" t="inlineStr">
        <is>
          <t>pass</t>
        </is>
      </c>
      <c r="AD263" s="15" t="inlineStr">
        <is>
          <t>not_checked</t>
        </is>
      </c>
      <c r="AE263" s="15" t="inlineStr">
        <is>
          <t>not_checked</t>
        </is>
      </c>
      <c r="AF263" s="14" t="inlineStr">
        <is>
          <t>pass</t>
        </is>
      </c>
      <c r="AG263" s="16" t="inlineStr">
        <is>
          <t>warn</t>
        </is>
      </c>
      <c r="AH263" s="16" t="inlineStr">
        <is>
          <t>warn</t>
        </is>
      </c>
      <c r="AI263" s="15" t="inlineStr">
        <is>
          <t>n.a.</t>
        </is>
      </c>
      <c r="AJ263" s="15" t="inlineStr">
        <is>
          <t>n.a.</t>
        </is>
      </c>
      <c r="AK263" s="4" t="inlineStr">
        <is>
          <t>machine_metadata;format_match(warn);persistent_id(warn);cadence(warn);join_key(warn);format_gaia(warn)</t>
        </is>
      </c>
      <c r="AL263" s="17" t="inlineStr">
        <is>
          <t>https://www.ncei.noaa.gov/stormevents/</t>
        </is>
      </c>
      <c r="AM263" s="4" t="inlineStr">
        <is>
          <t>us_noaa_storm_events</t>
        </is>
      </c>
    </row>
    <row r="264">
      <c r="A264" s="4" t="inlineStr">
        <is>
          <t>TerraClimate: monthly climate and climatic water balance for global terrestrial surfaces, 1958-present (v1.1)</t>
        </is>
      </c>
      <c r="B264" s="20" t="inlineStr">
        <is>
          <t>Bronze</t>
        </is>
      </c>
      <c r="C264" s="4" t="n">
        <v>73</v>
      </c>
      <c r="D264" s="4" t="inlineStr">
        <is>
          <t>climate_hazard</t>
        </is>
      </c>
      <c r="E264" s="4" t="inlineStr">
        <is>
          <t>degraded</t>
        </is>
      </c>
      <c r="F264" s="4" t="inlineStr">
        <is>
          <t>unknown</t>
        </is>
      </c>
      <c r="G264" s="4" t="inlineStr">
        <is>
          <t>grid_4km (1/24 degree)</t>
        </is>
      </c>
      <c r="H264" s="4" t="inlineStr">
        <is>
          <t>Needs raster support</t>
        </is>
      </c>
      <c r="I264" s="4" t="n">
        <v>2</v>
      </c>
      <c r="J264" s="4" t="inlineStr"/>
      <c r="K264" s="4" t="inlineStr">
        <is>
          <t>Curated</t>
        </is>
      </c>
      <c r="L264" s="4" t="n">
        <v>2026</v>
      </c>
      <c r="M264" s="4" t="inlineStr">
        <is>
          <t>open</t>
        </is>
      </c>
      <c r="N264" s="4" t="inlineStr">
        <is>
          <t>2026-10-28</t>
        </is>
      </c>
      <c r="O264" s="14" t="inlineStr">
        <is>
          <t>pass</t>
        </is>
      </c>
      <c r="P264" s="14" t="inlineStr">
        <is>
          <t>pass</t>
        </is>
      </c>
      <c r="Q264" s="14" t="inlineStr">
        <is>
          <t>pass</t>
        </is>
      </c>
      <c r="R264" s="14" t="inlineStr">
        <is>
          <t>pass</t>
        </is>
      </c>
      <c r="S264" s="14" t="inlineStr">
        <is>
          <t>pass</t>
        </is>
      </c>
      <c r="T264" s="18" t="inlineStr">
        <is>
          <t>fail</t>
        </is>
      </c>
      <c r="U264" s="15" t="inlineStr">
        <is>
          <t>n.a.</t>
        </is>
      </c>
      <c r="V264" s="16" t="inlineStr">
        <is>
          <t>warn</t>
        </is>
      </c>
      <c r="W264" s="16" t="inlineStr">
        <is>
          <t>warn</t>
        </is>
      </c>
      <c r="X264" s="14" t="inlineStr">
        <is>
          <t>pass</t>
        </is>
      </c>
      <c r="Y264" s="18" t="inlineStr">
        <is>
          <t>fail</t>
        </is>
      </c>
      <c r="Z264" s="14" t="inlineStr">
        <is>
          <t>pass</t>
        </is>
      </c>
      <c r="AA264" s="14" t="inlineStr">
        <is>
          <t>pass</t>
        </is>
      </c>
      <c r="AB264" s="14" t="inlineStr">
        <is>
          <t>pass</t>
        </is>
      </c>
      <c r="AC264" s="14" t="inlineStr">
        <is>
          <t>pass</t>
        </is>
      </c>
      <c r="AD264" s="16" t="inlineStr">
        <is>
          <t>warn</t>
        </is>
      </c>
      <c r="AE264" s="14" t="inlineStr">
        <is>
          <t>pass</t>
        </is>
      </c>
      <c r="AF264" s="14" t="inlineStr">
        <is>
          <t>pass</t>
        </is>
      </c>
      <c r="AG264" s="16" t="inlineStr">
        <is>
          <t>warn</t>
        </is>
      </c>
      <c r="AH264" s="14" t="inlineStr">
        <is>
          <t>pass</t>
        </is>
      </c>
      <c r="AI264" s="15" t="inlineStr">
        <is>
          <t>n.a.</t>
        </is>
      </c>
      <c r="AJ264" s="15" t="inlineStr">
        <is>
          <t>n.a.</t>
        </is>
      </c>
      <c r="AK264" s="4" t="inlineStr">
        <is>
          <t>access_url;license;machine_metadata(warn);persistent_id(warn);unit(warn);join_key(warn)</t>
        </is>
      </c>
      <c r="AL264" s="17" t="inlineStr">
        <is>
          <t>https://www.climatologylab.org/terraclimate.html</t>
        </is>
      </c>
      <c r="AM264" s="4" t="inlineStr">
        <is>
          <t>global_climatology_lab_terraclimate</t>
        </is>
      </c>
    </row>
    <row r="265">
      <c r="A265" s="4" t="inlineStr">
        <is>
          <t>USGS Flood Inundation Mapping (FIM) Program map libraries</t>
        </is>
      </c>
      <c r="B265" s="19" t="inlineStr">
        <is>
          <t>Silver</t>
        </is>
      </c>
      <c r="C265" s="4" t="n">
        <v>89</v>
      </c>
      <c r="D265" s="4" t="inlineStr">
        <is>
          <t>climate_hazard</t>
        </is>
      </c>
      <c r="E265" s="4" t="inlineStr">
        <is>
          <t>healthy</t>
        </is>
      </c>
      <c r="F265" s="4" t="inlineStr">
        <is>
          <t>public_domain_us_federal</t>
        </is>
      </c>
      <c r="G265" s="4" t="inlineStr">
        <is>
          <t>polygon</t>
        </is>
      </c>
      <c r="H265" s="4" t="inlineStr">
        <is>
          <t>Joins today</t>
        </is>
      </c>
      <c r="I265" s="4" t="n">
        <v>2</v>
      </c>
      <c r="J265" s="4" t="inlineStr"/>
      <c r="K265" s="4" t="inlineStr">
        <is>
          <t>Curated</t>
        </is>
      </c>
      <c r="L265" s="4" t="n">
        <v>2026</v>
      </c>
      <c r="M265" s="4" t="inlineStr">
        <is>
          <t>open</t>
        </is>
      </c>
      <c r="N265" s="4" t="inlineStr">
        <is>
          <t>2026-10-29</t>
        </is>
      </c>
      <c r="O265" s="14" t="inlineStr">
        <is>
          <t>pass</t>
        </is>
      </c>
      <c r="P265" s="14" t="inlineStr">
        <is>
          <t>pass</t>
        </is>
      </c>
      <c r="Q265" s="14" t="inlineStr">
        <is>
          <t>pass</t>
        </is>
      </c>
      <c r="R265" s="14" t="inlineStr">
        <is>
          <t>pass</t>
        </is>
      </c>
      <c r="S265" s="14" t="inlineStr">
        <is>
          <t>pass</t>
        </is>
      </c>
      <c r="T265" s="14" t="inlineStr">
        <is>
          <t>pass</t>
        </is>
      </c>
      <c r="U265" s="14" t="inlineStr">
        <is>
          <t>pass</t>
        </is>
      </c>
      <c r="V265" s="16" t="inlineStr">
        <is>
          <t>warn</t>
        </is>
      </c>
      <c r="W265" s="16" t="inlineStr">
        <is>
          <t>warn</t>
        </is>
      </c>
      <c r="X265" s="14" t="inlineStr">
        <is>
          <t>pass</t>
        </is>
      </c>
      <c r="Y265" s="14" t="inlineStr">
        <is>
          <t>pass</t>
        </is>
      </c>
      <c r="Z265" s="16" t="inlineStr">
        <is>
          <t>warn</t>
        </is>
      </c>
      <c r="AA265" s="14" t="inlineStr">
        <is>
          <t>pass</t>
        </is>
      </c>
      <c r="AB265" s="16" t="inlineStr">
        <is>
          <t>warn</t>
        </is>
      </c>
      <c r="AC265" s="15" t="inlineStr">
        <is>
          <t>not_checked</t>
        </is>
      </c>
      <c r="AD265" s="14" t="inlineStr">
        <is>
          <t>pass</t>
        </is>
      </c>
      <c r="AE265" s="16" t="inlineStr">
        <is>
          <t>warn</t>
        </is>
      </c>
      <c r="AF265" s="15" t="inlineStr">
        <is>
          <t>not_checked</t>
        </is>
      </c>
      <c r="AG265" s="16" t="inlineStr">
        <is>
          <t>warn</t>
        </is>
      </c>
      <c r="AH265" s="16" t="inlineStr">
        <is>
          <t>warn</t>
        </is>
      </c>
      <c r="AI265" s="15" t="inlineStr">
        <is>
          <t>n.a.</t>
        </is>
      </c>
      <c r="AJ265" s="15" t="inlineStr">
        <is>
          <t>n.a.</t>
        </is>
      </c>
      <c r="AK265" s="4" t="inlineStr">
        <is>
          <t>machine_metadata(warn);persistent_id(warn);temporal(warn);cadence(warn);coverage(warn);join_key(warn);format_gaia(warn)</t>
        </is>
      </c>
      <c r="AL265" s="17" t="inlineStr">
        <is>
          <t>https://www.usgs.gov/mission-areas/water-resources/science/flood-inundation-mapping-fim-program</t>
        </is>
      </c>
      <c r="AM265" s="4" t="inlineStr">
        <is>
          <t>us_usgs_flood_inundation_mapping</t>
        </is>
      </c>
    </row>
    <row r="266">
      <c r="A266" s="4" t="inlineStr">
        <is>
          <t>Atlas of Rural and Small-Town America</t>
        </is>
      </c>
      <c r="B266" s="13" t="inlineStr">
        <is>
          <t>Gold</t>
        </is>
      </c>
      <c r="C266" s="4" t="n">
        <v>92</v>
      </c>
      <c r="D266" s="4" t="inlineStr">
        <is>
          <t>demographics</t>
        </is>
      </c>
      <c r="E266" s="4" t="inlineStr">
        <is>
          <t>degraded</t>
        </is>
      </c>
      <c r="F266" s="4" t="inlineStr">
        <is>
          <t>public_domain_us_federal</t>
        </is>
      </c>
      <c r="G266" s="4" t="inlineStr">
        <is>
          <t>county</t>
        </is>
      </c>
      <c r="H266" s="4" t="inlineStr">
        <is>
          <t>Joins today</t>
        </is>
      </c>
      <c r="I266" s="4" t="n">
        <v>3</v>
      </c>
      <c r="J266" s="4" t="inlineStr"/>
      <c r="K266" s="4" t="inlineStr">
        <is>
          <t>Curated</t>
        </is>
      </c>
      <c r="L266" s="4" t="n">
        <v>2021</v>
      </c>
      <c r="M266" s="4" t="inlineStr">
        <is>
          <t>open</t>
        </is>
      </c>
      <c r="N266" s="4" t="inlineStr">
        <is>
          <t>2026-10-29</t>
        </is>
      </c>
      <c r="O266" s="14" t="inlineStr">
        <is>
          <t>pass</t>
        </is>
      </c>
      <c r="P266" s="14" t="inlineStr">
        <is>
          <t>pass</t>
        </is>
      </c>
      <c r="Q266" s="14" t="inlineStr">
        <is>
          <t>pass</t>
        </is>
      </c>
      <c r="R266" s="14" t="inlineStr">
        <is>
          <t>pass</t>
        </is>
      </c>
      <c r="S266" s="14" t="inlineStr">
        <is>
          <t>pass</t>
        </is>
      </c>
      <c r="T266" s="14" t="inlineStr">
        <is>
          <t>pass</t>
        </is>
      </c>
      <c r="U266" s="14" t="inlineStr">
        <is>
          <t>pass</t>
        </is>
      </c>
      <c r="V266" s="18" t="inlineStr">
        <is>
          <t>fail</t>
        </is>
      </c>
      <c r="W266" s="16" t="inlineStr">
        <is>
          <t>warn</t>
        </is>
      </c>
      <c r="X266" s="14" t="inlineStr">
        <is>
          <t>pass</t>
        </is>
      </c>
      <c r="Y266" s="14" t="inlineStr">
        <is>
          <t>pass</t>
        </is>
      </c>
      <c r="Z266" s="14" t="inlineStr">
        <is>
          <t>pass</t>
        </is>
      </c>
      <c r="AA266" s="16" t="inlineStr">
        <is>
          <t>warn</t>
        </is>
      </c>
      <c r="AB266" s="16" t="inlineStr">
        <is>
          <t>warn</t>
        </is>
      </c>
      <c r="AC266" s="16" t="inlineStr">
        <is>
          <t>warn</t>
        </is>
      </c>
      <c r="AD266" s="14" t="inlineStr">
        <is>
          <t>pass</t>
        </is>
      </c>
      <c r="AE266" s="14" t="inlineStr">
        <is>
          <t>pass</t>
        </is>
      </c>
      <c r="AF266" s="14" t="inlineStr">
        <is>
          <t>pass</t>
        </is>
      </c>
      <c r="AG266" s="14" t="inlineStr">
        <is>
          <t>pass</t>
        </is>
      </c>
      <c r="AH266" s="14" t="inlineStr">
        <is>
          <t>pass</t>
        </is>
      </c>
      <c r="AI266" s="15" t="inlineStr">
        <is>
          <t>n.a.</t>
        </is>
      </c>
      <c r="AJ266" s="15" t="inlineStr">
        <is>
          <t>n.a.</t>
        </is>
      </c>
      <c r="AK266" s="4" t="inlineStr">
        <is>
          <t>machine_metadata;persistent_id(warn);recency(warn);cadence(warn);version(warn)</t>
        </is>
      </c>
      <c r="AL266" s="17" t="inlineStr">
        <is>
          <t>http://www.ers.usda.gov/data-products/atlas-of-rural-and-small-town-america</t>
        </is>
      </c>
      <c r="AM266" s="4" t="inlineStr">
        <is>
          <t>us_usda_ers_atlas_rural_small_town</t>
        </is>
      </c>
    </row>
    <row r="267">
      <c r="A267" s="4" t="inlineStr">
        <is>
          <t>GRID3 Nigeria geospatial data (settlement extents, boundaries, health facilities)</t>
        </is>
      </c>
      <c r="B267" s="20" t="inlineStr">
        <is>
          <t>Bronze</t>
        </is>
      </c>
      <c r="C267" s="4" t="n">
        <v>68</v>
      </c>
      <c r="D267" s="4" t="inlineStr">
        <is>
          <t>demographics</t>
        </is>
      </c>
      <c r="E267" s="4" t="inlineStr">
        <is>
          <t>healthy</t>
        </is>
      </c>
      <c r="F267" s="4" t="inlineStr">
        <is>
          <t>unknown</t>
        </is>
      </c>
      <c r="G267" s="4" t="inlineStr">
        <is>
          <t>point (settlement names) / polygon (settlement extents); wards (admin3), LGA (admin2), state (admin1)</t>
        </is>
      </c>
      <c r="H267" s="4" t="inlineStr">
        <is>
          <t>Joins today</t>
        </is>
      </c>
      <c r="I267" s="4" t="n">
        <v>3</v>
      </c>
      <c r="J267" s="4" t="inlineStr"/>
      <c r="K267" s="4" t="inlineStr">
        <is>
          <t>Curated</t>
        </is>
      </c>
      <c r="L267" s="4" t="n">
        <v>2026</v>
      </c>
      <c r="M267" s="4" t="inlineStr">
        <is>
          <t>open</t>
        </is>
      </c>
      <c r="N267" s="4" t="inlineStr">
        <is>
          <t>2026-10-22</t>
        </is>
      </c>
      <c r="O267" s="14" t="inlineStr">
        <is>
          <t>pass</t>
        </is>
      </c>
      <c r="P267" s="14" t="inlineStr">
        <is>
          <t>pass</t>
        </is>
      </c>
      <c r="Q267" s="14" t="inlineStr">
        <is>
          <t>pass</t>
        </is>
      </c>
      <c r="R267" s="14" t="inlineStr">
        <is>
          <t>pass</t>
        </is>
      </c>
      <c r="S267" s="14" t="inlineStr">
        <is>
          <t>pass</t>
        </is>
      </c>
      <c r="T267" s="14" t="inlineStr">
        <is>
          <t>pass</t>
        </is>
      </c>
      <c r="U267" s="16" t="inlineStr">
        <is>
          <t>warn</t>
        </is>
      </c>
      <c r="V267" s="16" t="inlineStr">
        <is>
          <t>warn</t>
        </is>
      </c>
      <c r="W267" s="16" t="inlineStr">
        <is>
          <t>warn</t>
        </is>
      </c>
      <c r="X267" s="14" t="inlineStr">
        <is>
          <t>pass</t>
        </is>
      </c>
      <c r="Y267" s="18" t="inlineStr">
        <is>
          <t>fail</t>
        </is>
      </c>
      <c r="Z267" s="16" t="inlineStr">
        <is>
          <t>warn</t>
        </is>
      </c>
      <c r="AA267" s="14" t="inlineStr">
        <is>
          <t>pass</t>
        </is>
      </c>
      <c r="AB267" s="16" t="inlineStr">
        <is>
          <t>warn</t>
        </is>
      </c>
      <c r="AC267" s="14" t="inlineStr">
        <is>
          <t>pass</t>
        </is>
      </c>
      <c r="AD267" s="16" t="inlineStr">
        <is>
          <t>warn</t>
        </is>
      </c>
      <c r="AE267" s="14" t="inlineStr">
        <is>
          <t>pass</t>
        </is>
      </c>
      <c r="AF267" s="15" t="inlineStr">
        <is>
          <t>not_checked</t>
        </is>
      </c>
      <c r="AG267" s="15" t="inlineStr">
        <is>
          <t>not_checked</t>
        </is>
      </c>
      <c r="AH267" s="15" t="inlineStr">
        <is>
          <t>not_checked</t>
        </is>
      </c>
      <c r="AI267" s="15" t="inlineStr">
        <is>
          <t>n.a.</t>
        </is>
      </c>
      <c r="AJ267" s="15" t="inlineStr">
        <is>
          <t>n.a.</t>
        </is>
      </c>
      <c r="AK267" s="4" t="inlineStr">
        <is>
          <t>license;format_match(warn);machine_metadata(warn);persistent_id(warn);temporal(warn);cadence(warn);unit(warn)</t>
        </is>
      </c>
      <c r="AL267" s="17" t="inlineStr">
        <is>
          <t>https://grid3.org/geospatial-data-nigeria</t>
        </is>
      </c>
      <c r="AM267" s="4" t="inlineStr">
        <is>
          <t>ng_grid3_nigeria</t>
        </is>
      </c>
    </row>
    <row r="268">
      <c r="A268" s="4" t="inlineStr">
        <is>
          <t>Population Estimates Program (PEP)</t>
        </is>
      </c>
      <c r="B268" s="19" t="inlineStr">
        <is>
          <t>Silver</t>
        </is>
      </c>
      <c r="C268" s="4" t="n">
        <v>90</v>
      </c>
      <c r="D268" s="4" t="inlineStr">
        <is>
          <t>demographics</t>
        </is>
      </c>
      <c r="E268" s="4" t="inlineStr">
        <is>
          <t>healthy</t>
        </is>
      </c>
      <c r="F268" s="4" t="inlineStr">
        <is>
          <t>public_domain_us_federal</t>
        </is>
      </c>
      <c r="G268" s="4" t="inlineStr">
        <is>
          <t>place (cities and towns); county; PR municipio</t>
        </is>
      </c>
      <c r="H268" s="4" t="inlineStr">
        <is>
          <t>Joins today</t>
        </is>
      </c>
      <c r="I268" s="4" t="n">
        <v>3</v>
      </c>
      <c r="J268" s="4" t="inlineStr"/>
      <c r="K268" s="4" t="inlineStr">
        <is>
          <t>Curated</t>
        </is>
      </c>
      <c r="L268" s="4" t="n">
        <v>2025</v>
      </c>
      <c r="M268" s="4" t="inlineStr">
        <is>
          <t>open</t>
        </is>
      </c>
      <c r="N268" s="4" t="inlineStr">
        <is>
          <t>2026-10-29</t>
        </is>
      </c>
      <c r="O268" s="14" t="inlineStr">
        <is>
          <t>pass</t>
        </is>
      </c>
      <c r="P268" s="14" t="inlineStr">
        <is>
          <t>pass</t>
        </is>
      </c>
      <c r="Q268" s="14" t="inlineStr">
        <is>
          <t>pass</t>
        </is>
      </c>
      <c r="R268" s="14" t="inlineStr">
        <is>
          <t>pass</t>
        </is>
      </c>
      <c r="S268" s="14" t="inlineStr">
        <is>
          <t>pass</t>
        </is>
      </c>
      <c r="T268" s="14" t="inlineStr">
        <is>
          <t>pass</t>
        </is>
      </c>
      <c r="U268" s="14" t="inlineStr">
        <is>
          <t>pass</t>
        </is>
      </c>
      <c r="V268" s="16" t="inlineStr">
        <is>
          <t>warn</t>
        </is>
      </c>
      <c r="W268" s="16" t="inlineStr">
        <is>
          <t>warn</t>
        </is>
      </c>
      <c r="X268" s="14" t="inlineStr">
        <is>
          <t>pass</t>
        </is>
      </c>
      <c r="Y268" s="14" t="inlineStr">
        <is>
          <t>pass</t>
        </is>
      </c>
      <c r="Z268" s="14" t="inlineStr">
        <is>
          <t>pass</t>
        </is>
      </c>
      <c r="AA268" s="14" t="inlineStr">
        <is>
          <t>pass</t>
        </is>
      </c>
      <c r="AB268" s="14" t="inlineStr">
        <is>
          <t>pass</t>
        </is>
      </c>
      <c r="AC268" s="14" t="inlineStr">
        <is>
          <t>pass</t>
        </is>
      </c>
      <c r="AD268" s="16" t="inlineStr">
        <is>
          <t>warn</t>
        </is>
      </c>
      <c r="AE268" s="14" t="inlineStr">
        <is>
          <t>pass</t>
        </is>
      </c>
      <c r="AF268" s="14" t="inlineStr">
        <is>
          <t>pass</t>
        </is>
      </c>
      <c r="AG268" s="15" t="inlineStr">
        <is>
          <t>not_checked</t>
        </is>
      </c>
      <c r="AH268" s="16" t="inlineStr">
        <is>
          <t>warn</t>
        </is>
      </c>
      <c r="AI268" s="15" t="inlineStr">
        <is>
          <t>n.a.</t>
        </is>
      </c>
      <c r="AJ268" s="15" t="inlineStr">
        <is>
          <t>n.a.</t>
        </is>
      </c>
      <c r="AK268" s="4" t="inlineStr">
        <is>
          <t>machine_metadata(warn);persistent_id(warn);unit(warn);format_gaia(warn)</t>
        </is>
      </c>
      <c r="AL268" s="17" t="inlineStr">
        <is>
          <t>https://www.census.gov/programs-surveys/popest.html</t>
        </is>
      </c>
      <c r="AM268" s="4" t="inlineStr">
        <is>
          <t>us_census_popest</t>
        </is>
      </c>
    </row>
    <row r="269">
      <c r="A269" s="4" t="inlineStr">
        <is>
          <t>World Development Indicators (WDI)</t>
        </is>
      </c>
      <c r="B269" s="20" t="inlineStr">
        <is>
          <t>Bronze</t>
        </is>
      </c>
      <c r="C269" s="4" t="n">
        <v>72</v>
      </c>
      <c r="D269" s="4" t="inlineStr">
        <is>
          <t>demographics</t>
        </is>
      </c>
      <c r="E269" s="4" t="inlineStr">
        <is>
          <t>degraded</t>
        </is>
      </c>
      <c r="F269" s="4" t="inlineStr">
        <is>
          <t>unknown</t>
        </is>
      </c>
      <c r="G269" s="4" t="inlineStr">
        <is>
          <t>country</t>
        </is>
      </c>
      <c r="H269" s="4" t="inlineStr">
        <is>
          <t>Not linkable as listed</t>
        </is>
      </c>
      <c r="I269" s="4" t="n">
        <v>3</v>
      </c>
      <c r="J269" s="4" t="inlineStr"/>
      <c r="K269" s="4" t="inlineStr">
        <is>
          <t>Curated</t>
        </is>
      </c>
      <c r="L269" s="4" t="inlineStr"/>
      <c r="M269" s="4" t="inlineStr">
        <is>
          <t>open</t>
        </is>
      </c>
      <c r="N269" s="4" t="inlineStr">
        <is>
          <t>2026-10-28</t>
        </is>
      </c>
      <c r="O269" s="14" t="inlineStr">
        <is>
          <t>pass</t>
        </is>
      </c>
      <c r="P269" s="14" t="inlineStr">
        <is>
          <t>pass</t>
        </is>
      </c>
      <c r="Q269" s="14" t="inlineStr">
        <is>
          <t>pass</t>
        </is>
      </c>
      <c r="R269" s="14" t="inlineStr">
        <is>
          <t>pass</t>
        </is>
      </c>
      <c r="S269" s="14" t="inlineStr">
        <is>
          <t>pass</t>
        </is>
      </c>
      <c r="T269" s="14" t="inlineStr">
        <is>
          <t>pass</t>
        </is>
      </c>
      <c r="U269" s="14" t="inlineStr">
        <is>
          <t>pass</t>
        </is>
      </c>
      <c r="V269" s="18" t="inlineStr">
        <is>
          <t>fail</t>
        </is>
      </c>
      <c r="W269" s="16" t="inlineStr">
        <is>
          <t>warn</t>
        </is>
      </c>
      <c r="X269" s="14" t="inlineStr">
        <is>
          <t>pass</t>
        </is>
      </c>
      <c r="Y269" s="18" t="inlineStr">
        <is>
          <t>fail</t>
        </is>
      </c>
      <c r="Z269" s="16" t="inlineStr">
        <is>
          <t>warn</t>
        </is>
      </c>
      <c r="AA269" s="15" t="inlineStr">
        <is>
          <t>not_checked</t>
        </is>
      </c>
      <c r="AB269" s="15" t="inlineStr">
        <is>
          <t>not_checked</t>
        </is>
      </c>
      <c r="AC269" s="15" t="inlineStr">
        <is>
          <t>not_checked</t>
        </is>
      </c>
      <c r="AD269" s="14" t="inlineStr">
        <is>
          <t>pass</t>
        </is>
      </c>
      <c r="AE269" s="14" t="inlineStr">
        <is>
          <t>pass</t>
        </is>
      </c>
      <c r="AF269" s="14" t="inlineStr">
        <is>
          <t>pass</t>
        </is>
      </c>
      <c r="AG269" s="16" t="inlineStr">
        <is>
          <t>warn</t>
        </is>
      </c>
      <c r="AH269" s="16" t="inlineStr">
        <is>
          <t>warn</t>
        </is>
      </c>
      <c r="AI269" s="15" t="inlineStr">
        <is>
          <t>n.a.</t>
        </is>
      </c>
      <c r="AJ269" s="15" t="inlineStr">
        <is>
          <t>n.a.</t>
        </is>
      </c>
      <c r="AK269" s="4" t="inlineStr">
        <is>
          <t>machine_metadata;license;persistent_id(warn);temporal(warn);join_key(warn);format_gaia(warn)</t>
        </is>
      </c>
      <c r="AL269" s="17" t="inlineStr">
        <is>
          <t>https://datatopics.worldbank.org/world-development-indicators/</t>
        </is>
      </c>
      <c r="AM269" s="4" t="inlineStr">
        <is>
          <t>global_worldbank_wdi</t>
        </is>
      </c>
    </row>
    <row r="270">
      <c r="A270" s="4" t="inlineStr">
        <is>
          <t>2020 Census Demographic and Housing Characteristics File (DHC)</t>
        </is>
      </c>
      <c r="B270" s="13" t="inlineStr">
        <is>
          <t>Gold</t>
        </is>
      </c>
      <c r="C270" s="4" t="n">
        <v>93</v>
      </c>
      <c r="D270" s="4" t="inlineStr">
        <is>
          <t>demographics</t>
        </is>
      </c>
      <c r="E270" s="4" t="inlineStr">
        <is>
          <t>healthy</t>
        </is>
      </c>
      <c r="F270" s="4" t="inlineStr">
        <is>
          <t>public_domain_us_federal</t>
        </is>
      </c>
      <c r="G270" s="4" t="inlineStr">
        <is>
          <t>block</t>
        </is>
      </c>
      <c r="H270" s="4" t="inlineStr">
        <is>
          <t>Joins today</t>
        </is>
      </c>
      <c r="I270" s="4" t="n">
        <v>2</v>
      </c>
      <c r="J270" s="4" t="inlineStr"/>
      <c r="K270" s="4" t="inlineStr">
        <is>
          <t>Curated</t>
        </is>
      </c>
      <c r="L270" s="4" t="n">
        <v>2020</v>
      </c>
      <c r="M270" s="4" t="inlineStr">
        <is>
          <t>open</t>
        </is>
      </c>
      <c r="N270" s="4" t="inlineStr">
        <is>
          <t>2026-10-29</t>
        </is>
      </c>
      <c r="O270" s="14" t="inlineStr">
        <is>
          <t>pass</t>
        </is>
      </c>
      <c r="P270" s="14" t="inlineStr">
        <is>
          <t>pass</t>
        </is>
      </c>
      <c r="Q270" s="14" t="inlineStr">
        <is>
          <t>pass</t>
        </is>
      </c>
      <c r="R270" s="14" t="inlineStr">
        <is>
          <t>pass</t>
        </is>
      </c>
      <c r="S270" s="14" t="inlineStr">
        <is>
          <t>pass</t>
        </is>
      </c>
      <c r="T270" s="14" t="inlineStr">
        <is>
          <t>pass</t>
        </is>
      </c>
      <c r="U270" s="14" t="inlineStr">
        <is>
          <t>pass</t>
        </is>
      </c>
      <c r="V270" s="16" t="inlineStr">
        <is>
          <t>warn</t>
        </is>
      </c>
      <c r="W270" s="16" t="inlineStr">
        <is>
          <t>warn</t>
        </is>
      </c>
      <c r="X270" s="14" t="inlineStr">
        <is>
          <t>pass</t>
        </is>
      </c>
      <c r="Y270" s="14" t="inlineStr">
        <is>
          <t>pass</t>
        </is>
      </c>
      <c r="Z270" s="14" t="inlineStr">
        <is>
          <t>pass</t>
        </is>
      </c>
      <c r="AA270" s="14" t="inlineStr">
        <is>
          <t>pass</t>
        </is>
      </c>
      <c r="AB270" s="16" t="inlineStr">
        <is>
          <t>warn</t>
        </is>
      </c>
      <c r="AC270" s="14" t="inlineStr">
        <is>
          <t>pass</t>
        </is>
      </c>
      <c r="AD270" s="14" t="inlineStr">
        <is>
          <t>pass</t>
        </is>
      </c>
      <c r="AE270" s="14" t="inlineStr">
        <is>
          <t>pass</t>
        </is>
      </c>
      <c r="AF270" s="14" t="inlineStr">
        <is>
          <t>pass</t>
        </is>
      </c>
      <c r="AG270" s="16" t="inlineStr">
        <is>
          <t>warn</t>
        </is>
      </c>
      <c r="AH270" s="16" t="inlineStr">
        <is>
          <t>warn</t>
        </is>
      </c>
      <c r="AI270" s="15" t="inlineStr">
        <is>
          <t>n.a.</t>
        </is>
      </c>
      <c r="AJ270" s="15" t="inlineStr">
        <is>
          <t>n.a.</t>
        </is>
      </c>
      <c r="AK270" s="4" t="inlineStr">
        <is>
          <t>machine_metadata(warn);persistent_id(warn);cadence(warn);join_key(warn);format_gaia(warn)</t>
        </is>
      </c>
      <c r="AL270" s="17" t="inlineStr">
        <is>
          <t>https://www.census.gov/data/tables/2023/dec/2020-census-dhc.html</t>
        </is>
      </c>
      <c r="AM270" s="4" t="inlineStr">
        <is>
          <t>us_census_decennial_dhc</t>
        </is>
      </c>
    </row>
    <row r="271">
      <c r="A271" s="4" t="inlineStr">
        <is>
          <t>2021 Population and Housing Census (PHC 2021)</t>
        </is>
      </c>
      <c r="B271" s="20" t="inlineStr">
        <is>
          <t>Bronze</t>
        </is>
      </c>
      <c r="C271" s="4" t="n">
        <v>72</v>
      </c>
      <c r="D271" s="4" t="inlineStr">
        <is>
          <t>demographics</t>
        </is>
      </c>
      <c r="E271" s="4" t="inlineStr">
        <is>
          <t>degraded</t>
        </is>
      </c>
      <c r="F271" s="4" t="inlineStr">
        <is>
          <t>unknown</t>
        </is>
      </c>
      <c r="G271" s="4" t="inlineStr">
        <is>
          <t>admin2 (district) as stated ('District &amp; regional outputs'); sub-district/locality not stated on pages read</t>
        </is>
      </c>
      <c r="H271" s="4" t="inlineStr">
        <is>
          <t>Joins today</t>
        </is>
      </c>
      <c r="I271" s="4" t="n">
        <v>2</v>
      </c>
      <c r="J271" s="4" t="inlineStr"/>
      <c r="K271" s="4" t="inlineStr">
        <is>
          <t>Curated</t>
        </is>
      </c>
      <c r="L271" s="4" t="n">
        <v>2021</v>
      </c>
      <c r="M271" s="4" t="inlineStr">
        <is>
          <t>unknown</t>
        </is>
      </c>
      <c r="N271" s="4" t="inlineStr">
        <is>
          <t>2026-10-22</t>
        </is>
      </c>
      <c r="O271" s="14" t="inlineStr">
        <is>
          <t>pass</t>
        </is>
      </c>
      <c r="P271" s="14" t="inlineStr">
        <is>
          <t>pass</t>
        </is>
      </c>
      <c r="Q271" s="14" t="inlineStr">
        <is>
          <t>pass</t>
        </is>
      </c>
      <c r="R271" s="14" t="inlineStr">
        <is>
          <t>pass</t>
        </is>
      </c>
      <c r="S271" s="14" t="inlineStr">
        <is>
          <t>pass</t>
        </is>
      </c>
      <c r="T271" s="14" t="inlineStr">
        <is>
          <t>pass</t>
        </is>
      </c>
      <c r="U271" s="14" t="inlineStr">
        <is>
          <t>pass</t>
        </is>
      </c>
      <c r="V271" s="18" t="inlineStr">
        <is>
          <t>fail</t>
        </is>
      </c>
      <c r="W271" s="16" t="inlineStr">
        <is>
          <t>warn</t>
        </is>
      </c>
      <c r="X271" s="14" t="inlineStr">
        <is>
          <t>pass</t>
        </is>
      </c>
      <c r="Y271" s="18" t="inlineStr">
        <is>
          <t>fail</t>
        </is>
      </c>
      <c r="Z271" s="14" t="inlineStr">
        <is>
          <t>pass</t>
        </is>
      </c>
      <c r="AA271" s="14" t="inlineStr">
        <is>
          <t>pass</t>
        </is>
      </c>
      <c r="AB271" s="16" t="inlineStr">
        <is>
          <t>warn</t>
        </is>
      </c>
      <c r="AC271" s="14" t="inlineStr">
        <is>
          <t>pass</t>
        </is>
      </c>
      <c r="AD271" s="16" t="inlineStr">
        <is>
          <t>warn</t>
        </is>
      </c>
      <c r="AE271" s="16" t="inlineStr">
        <is>
          <t>warn</t>
        </is>
      </c>
      <c r="AF271" s="14" t="inlineStr">
        <is>
          <t>pass</t>
        </is>
      </c>
      <c r="AG271" s="15" t="inlineStr">
        <is>
          <t>not_checked</t>
        </is>
      </c>
      <c r="AH271" s="16" t="inlineStr">
        <is>
          <t>warn</t>
        </is>
      </c>
      <c r="AI271" s="15" t="inlineStr">
        <is>
          <t>n.a.</t>
        </is>
      </c>
      <c r="AJ271" s="15" t="inlineStr">
        <is>
          <t>n.a.</t>
        </is>
      </c>
      <c r="AK271" s="4" t="inlineStr">
        <is>
          <t>machine_metadata;license;persistent_id(warn);cadence(warn);unit(warn);coverage(warn);format_gaia(warn)</t>
        </is>
      </c>
      <c r="AL271" s="17" t="inlineStr">
        <is>
          <t>https://www.statsghana.gov.gh/census-surveys/population-housing-census</t>
        </is>
      </c>
      <c r="AM271" s="4" t="inlineStr">
        <is>
          <t>gh_gss_phc_2021</t>
        </is>
      </c>
    </row>
    <row r="272">
      <c r="A272" s="4" t="inlineStr">
        <is>
          <t>Bank Danych Lokalnych (BDL)</t>
        </is>
      </c>
      <c r="B272" s="20" t="inlineStr">
        <is>
          <t>Bronze</t>
        </is>
      </c>
      <c r="C272" s="4" t="n">
        <v>89</v>
      </c>
      <c r="D272" s="4" t="inlineStr">
        <is>
          <t>demographics</t>
        </is>
      </c>
      <c r="E272" s="4" t="inlineStr">
        <is>
          <t>degraded</t>
        </is>
      </c>
      <c r="F272" s="4" t="inlineStr">
        <is>
          <t>not checked</t>
        </is>
      </c>
      <c r="G272" s="4" t="inlineStr">
        <is>
          <t>unknown</t>
        </is>
      </c>
      <c r="H272" s="4" t="inlineStr">
        <is>
          <t>Unknown</t>
        </is>
      </c>
      <c r="I272" s="4" t="n">
        <v>2</v>
      </c>
      <c r="J272" s="4" t="inlineStr"/>
      <c r="K272" s="4" t="inlineStr">
        <is>
          <t>Curated</t>
        </is>
      </c>
      <c r="L272" s="4" t="inlineStr">
        <is>
          <t>current</t>
        </is>
      </c>
      <c r="M272" s="4" t="inlineStr">
        <is>
          <t>open</t>
        </is>
      </c>
      <c r="N272" s="4" t="inlineStr">
        <is>
          <t>2026-10-22</t>
        </is>
      </c>
      <c r="O272" s="14" t="inlineStr">
        <is>
          <t>pass</t>
        </is>
      </c>
      <c r="P272" s="14" t="inlineStr">
        <is>
          <t>pass</t>
        </is>
      </c>
      <c r="Q272" s="14" t="inlineStr">
        <is>
          <t>pass</t>
        </is>
      </c>
      <c r="R272" s="14" t="inlineStr">
        <is>
          <t>pass</t>
        </is>
      </c>
      <c r="S272" s="14" t="inlineStr">
        <is>
          <t>pass</t>
        </is>
      </c>
      <c r="T272" s="14" t="inlineStr">
        <is>
          <t>pass</t>
        </is>
      </c>
      <c r="U272" s="14" t="inlineStr">
        <is>
          <t>pass</t>
        </is>
      </c>
      <c r="V272" s="18" t="inlineStr">
        <is>
          <t>fail</t>
        </is>
      </c>
      <c r="W272" s="16" t="inlineStr">
        <is>
          <t>warn</t>
        </is>
      </c>
      <c r="X272" s="14" t="inlineStr">
        <is>
          <t>pass</t>
        </is>
      </c>
      <c r="Y272" s="15" t="inlineStr">
        <is>
          <t>not_checked</t>
        </is>
      </c>
      <c r="Z272" s="15" t="inlineStr">
        <is>
          <t>not_checked</t>
        </is>
      </c>
      <c r="AA272" s="15" t="inlineStr">
        <is>
          <t>not_checked</t>
        </is>
      </c>
      <c r="AB272" s="15" t="inlineStr">
        <is>
          <t>not_checked</t>
        </is>
      </c>
      <c r="AC272" s="15" t="inlineStr">
        <is>
          <t>not_checked</t>
        </is>
      </c>
      <c r="AD272" s="15" t="inlineStr">
        <is>
          <t>not_checked</t>
        </is>
      </c>
      <c r="AE272" s="15" t="inlineStr">
        <is>
          <t>not_checked</t>
        </is>
      </c>
      <c r="AF272" s="15" t="inlineStr">
        <is>
          <t>not_checked</t>
        </is>
      </c>
      <c r="AG272" s="15" t="inlineStr">
        <is>
          <t>not_checked</t>
        </is>
      </c>
      <c r="AH272" s="15" t="inlineStr">
        <is>
          <t>not_checked</t>
        </is>
      </c>
      <c r="AI272" s="15" t="inlineStr">
        <is>
          <t>n.a.</t>
        </is>
      </c>
      <c r="AJ272" s="15" t="inlineStr">
        <is>
          <t>n.a.</t>
        </is>
      </c>
      <c r="AK272" s="4" t="inlineStr">
        <is>
          <t>machine_metadata;persistent_id(warn)</t>
        </is>
      </c>
      <c r="AL272" s="17" t="inlineStr">
        <is>
          <t>https://bdl.stat.gov.pl/bdl/start</t>
        </is>
      </c>
      <c r="AM272" s="4" t="inlineStr">
        <is>
          <t>pl_gus_bdl</t>
        </is>
      </c>
    </row>
    <row r="273">
      <c r="A273" s="4" t="inlineStr">
        <is>
          <t>Censos Nacionales 2017: XII de Poblacion, VII de Vivienda y III de Comunidades Indigenas</t>
        </is>
      </c>
      <c r="B273" s="20" t="inlineStr">
        <is>
          <t>Bronze</t>
        </is>
      </c>
      <c r="C273" s="4" t="n">
        <v>74</v>
      </c>
      <c r="D273" s="4" t="inlineStr">
        <is>
          <t>demographics</t>
        </is>
      </c>
      <c r="E273" s="4" t="inlineStr">
        <is>
          <t>degraded</t>
        </is>
      </c>
      <c r="F273" s="4" t="inlineStr">
        <is>
          <t>unknown</t>
        </is>
      </c>
      <c r="G273" s="4" t="inlineStr">
        <is>
          <t>block</t>
        </is>
      </c>
      <c r="H273" s="4" t="inlineStr">
        <is>
          <t>Joins today</t>
        </is>
      </c>
      <c r="I273" s="4" t="n">
        <v>2</v>
      </c>
      <c r="J273" s="4" t="inlineStr"/>
      <c r="K273" s="4" t="inlineStr">
        <is>
          <t>Curated</t>
        </is>
      </c>
      <c r="L273" s="4" t="n">
        <v>2017</v>
      </c>
      <c r="M273" s="4" t="inlineStr">
        <is>
          <t>open</t>
        </is>
      </c>
      <c r="N273" s="4" t="inlineStr">
        <is>
          <t>2026-10-22</t>
        </is>
      </c>
      <c r="O273" s="14" t="inlineStr">
        <is>
          <t>pass</t>
        </is>
      </c>
      <c r="P273" s="14" t="inlineStr">
        <is>
          <t>pass</t>
        </is>
      </c>
      <c r="Q273" s="14" t="inlineStr">
        <is>
          <t>pass</t>
        </is>
      </c>
      <c r="R273" s="14" t="inlineStr">
        <is>
          <t>pass</t>
        </is>
      </c>
      <c r="S273" s="14" t="inlineStr">
        <is>
          <t>pass</t>
        </is>
      </c>
      <c r="T273" s="14" t="inlineStr">
        <is>
          <t>pass</t>
        </is>
      </c>
      <c r="U273" s="14" t="inlineStr">
        <is>
          <t>pass</t>
        </is>
      </c>
      <c r="V273" s="18" t="inlineStr">
        <is>
          <t>fail</t>
        </is>
      </c>
      <c r="W273" s="16" t="inlineStr">
        <is>
          <t>warn</t>
        </is>
      </c>
      <c r="X273" s="14" t="inlineStr">
        <is>
          <t>pass</t>
        </is>
      </c>
      <c r="Y273" s="18" t="inlineStr">
        <is>
          <t>fail</t>
        </is>
      </c>
      <c r="Z273" s="14" t="inlineStr">
        <is>
          <t>pass</t>
        </is>
      </c>
      <c r="AA273" s="16" t="inlineStr">
        <is>
          <t>warn</t>
        </is>
      </c>
      <c r="AB273" s="14" t="inlineStr">
        <is>
          <t>pass</t>
        </is>
      </c>
      <c r="AC273" s="14" t="inlineStr">
        <is>
          <t>pass</t>
        </is>
      </c>
      <c r="AD273" s="14" t="inlineStr">
        <is>
          <t>pass</t>
        </is>
      </c>
      <c r="AE273" s="14" t="inlineStr">
        <is>
          <t>pass</t>
        </is>
      </c>
      <c r="AF273" s="14" t="inlineStr">
        <is>
          <t>pass</t>
        </is>
      </c>
      <c r="AG273" s="16" t="inlineStr">
        <is>
          <t>warn</t>
        </is>
      </c>
      <c r="AH273" s="16" t="inlineStr">
        <is>
          <t>warn</t>
        </is>
      </c>
      <c r="AI273" s="15" t="inlineStr">
        <is>
          <t>n.a.</t>
        </is>
      </c>
      <c r="AJ273" s="15" t="inlineStr">
        <is>
          <t>n.a.</t>
        </is>
      </c>
      <c r="AK273" s="4" t="inlineStr">
        <is>
          <t>machine_metadata;license;persistent_id(warn);recency(warn);join_key(warn);format_gaia(warn)</t>
        </is>
      </c>
      <c r="AL273" s="17" t="inlineStr">
        <is>
          <t>https://www.inei.gob.pe/estadisticas/censos/</t>
        </is>
      </c>
      <c r="AM273" s="4" t="inlineStr">
        <is>
          <t>pe_inei_censos_2017</t>
        </is>
      </c>
    </row>
    <row r="274">
      <c r="A274" s="4" t="inlineStr">
        <is>
          <t>Census DataPacks</t>
        </is>
      </c>
      <c r="B274" s="20" t="inlineStr">
        <is>
          <t>Bronze</t>
        </is>
      </c>
      <c r="C274" s="4" t="n">
        <v>82</v>
      </c>
      <c r="D274" s="4" t="inlineStr">
        <is>
          <t>demographics</t>
        </is>
      </c>
      <c r="E274" s="4" t="inlineStr">
        <is>
          <t>degraded</t>
        </is>
      </c>
      <c r="F274" s="4" t="inlineStr">
        <is>
          <t>unknown</t>
        </is>
      </c>
      <c r="G274" s="4" t="inlineStr">
        <is>
          <t>polygon (SA1, Statistical Area Level 1; POA postal areas also available)</t>
        </is>
      </c>
      <c r="H274" s="4" t="inlineStr">
        <is>
          <t>Joins today</t>
        </is>
      </c>
      <c r="I274" s="4" t="n">
        <v>2</v>
      </c>
      <c r="J274" s="4" t="inlineStr"/>
      <c r="K274" s="4" t="inlineStr">
        <is>
          <t>Curated</t>
        </is>
      </c>
      <c r="L274" s="4" t="n">
        <v>2021</v>
      </c>
      <c r="M274" s="4" t="inlineStr">
        <is>
          <t>open</t>
        </is>
      </c>
      <c r="N274" s="4" t="inlineStr">
        <is>
          <t>2026-10-22</t>
        </is>
      </c>
      <c r="O274" s="14" t="inlineStr">
        <is>
          <t>pass</t>
        </is>
      </c>
      <c r="P274" s="14" t="inlineStr">
        <is>
          <t>pass</t>
        </is>
      </c>
      <c r="Q274" s="14" t="inlineStr">
        <is>
          <t>pass</t>
        </is>
      </c>
      <c r="R274" s="14" t="inlineStr">
        <is>
          <t>pass</t>
        </is>
      </c>
      <c r="S274" s="14" t="inlineStr">
        <is>
          <t>pass</t>
        </is>
      </c>
      <c r="T274" s="15" t="inlineStr">
        <is>
          <t>n.a.</t>
        </is>
      </c>
      <c r="U274" s="15" t="inlineStr">
        <is>
          <t>n.a.</t>
        </is>
      </c>
      <c r="V274" s="18" t="inlineStr">
        <is>
          <t>fail</t>
        </is>
      </c>
      <c r="W274" s="16" t="inlineStr">
        <is>
          <t>warn</t>
        </is>
      </c>
      <c r="X274" s="14" t="inlineStr">
        <is>
          <t>pass</t>
        </is>
      </c>
      <c r="Y274" s="18" t="inlineStr">
        <is>
          <t>fail</t>
        </is>
      </c>
      <c r="Z274" s="14" t="inlineStr">
        <is>
          <t>pass</t>
        </is>
      </c>
      <c r="AA274" s="14" t="inlineStr">
        <is>
          <t>pass</t>
        </is>
      </c>
      <c r="AB274" s="16" t="inlineStr">
        <is>
          <t>warn</t>
        </is>
      </c>
      <c r="AC274" s="14" t="inlineStr">
        <is>
          <t>pass</t>
        </is>
      </c>
      <c r="AD274" s="14" t="inlineStr">
        <is>
          <t>pass</t>
        </is>
      </c>
      <c r="AE274" s="14" t="inlineStr">
        <is>
          <t>pass</t>
        </is>
      </c>
      <c r="AF274" s="14" t="inlineStr">
        <is>
          <t>pass</t>
        </is>
      </c>
      <c r="AG274" s="14" t="inlineStr">
        <is>
          <t>pass</t>
        </is>
      </c>
      <c r="AH274" s="14" t="inlineStr">
        <is>
          <t>pass</t>
        </is>
      </c>
      <c r="AI274" s="15" t="inlineStr">
        <is>
          <t>n.a.</t>
        </is>
      </c>
      <c r="AJ274" s="15" t="inlineStr">
        <is>
          <t>n.a.</t>
        </is>
      </c>
      <c r="AK274" s="4" t="inlineStr">
        <is>
          <t>machine_metadata;license;persistent_id(warn);cadence(warn)</t>
        </is>
      </c>
      <c r="AL274" s="17" t="inlineStr">
        <is>
          <t>https://www.abs.gov.au/census/find-census-data/datapacks</t>
        </is>
      </c>
      <c r="AM274" s="4" t="inlineStr">
        <is>
          <t>au_abs_census_datapacks</t>
        </is>
      </c>
    </row>
    <row r="275">
      <c r="A275" s="4" t="inlineStr">
        <is>
          <t>Census Planning Database (PDB)</t>
        </is>
      </c>
      <c r="B275" s="13" t="inlineStr">
        <is>
          <t>Gold</t>
        </is>
      </c>
      <c r="C275" s="4" t="n">
        <v>93</v>
      </c>
      <c r="D275" s="4" t="inlineStr">
        <is>
          <t>demographics</t>
        </is>
      </c>
      <c r="E275" s="4" t="inlineStr">
        <is>
          <t>healthy</t>
        </is>
      </c>
      <c r="F275" s="4" t="inlineStr">
        <is>
          <t>public_domain_us_federal</t>
        </is>
      </c>
      <c r="G275" s="4" t="inlineStr">
        <is>
          <t>block_group</t>
        </is>
      </c>
      <c r="H275" s="4" t="inlineStr">
        <is>
          <t>Joins today</t>
        </is>
      </c>
      <c r="I275" s="4" t="n">
        <v>2</v>
      </c>
      <c r="J275" s="4" t="inlineStr"/>
      <c r="K275" s="4" t="inlineStr">
        <is>
          <t>Curated</t>
        </is>
      </c>
      <c r="L275" s="4" t="n">
        <v>2026</v>
      </c>
      <c r="M275" s="4" t="inlineStr">
        <is>
          <t>open</t>
        </is>
      </c>
      <c r="N275" s="4" t="inlineStr">
        <is>
          <t>2026-10-29</t>
        </is>
      </c>
      <c r="O275" s="14" t="inlineStr">
        <is>
          <t>pass</t>
        </is>
      </c>
      <c r="P275" s="14" t="inlineStr">
        <is>
          <t>pass</t>
        </is>
      </c>
      <c r="Q275" s="14" t="inlineStr">
        <is>
          <t>pass</t>
        </is>
      </c>
      <c r="R275" s="14" t="inlineStr">
        <is>
          <t>pass</t>
        </is>
      </c>
      <c r="S275" s="14" t="inlineStr">
        <is>
          <t>pass</t>
        </is>
      </c>
      <c r="T275" s="14" t="inlineStr">
        <is>
          <t>pass</t>
        </is>
      </c>
      <c r="U275" s="14" t="inlineStr">
        <is>
          <t>pass</t>
        </is>
      </c>
      <c r="V275" s="16" t="inlineStr">
        <is>
          <t>warn</t>
        </is>
      </c>
      <c r="W275" s="16" t="inlineStr">
        <is>
          <t>warn</t>
        </is>
      </c>
      <c r="X275" s="14" t="inlineStr">
        <is>
          <t>pass</t>
        </is>
      </c>
      <c r="Y275" s="14" t="inlineStr">
        <is>
          <t>pass</t>
        </is>
      </c>
      <c r="Z275" s="14" t="inlineStr">
        <is>
          <t>pass</t>
        </is>
      </c>
      <c r="AA275" s="14" t="inlineStr">
        <is>
          <t>pass</t>
        </is>
      </c>
      <c r="AB275" s="14" t="inlineStr">
        <is>
          <t>pass</t>
        </is>
      </c>
      <c r="AC275" s="14" t="inlineStr">
        <is>
          <t>pass</t>
        </is>
      </c>
      <c r="AD275" s="14" t="inlineStr">
        <is>
          <t>pass</t>
        </is>
      </c>
      <c r="AE275" s="14" t="inlineStr">
        <is>
          <t>pass</t>
        </is>
      </c>
      <c r="AF275" s="14" t="inlineStr">
        <is>
          <t>pass</t>
        </is>
      </c>
      <c r="AG275" s="16" t="inlineStr">
        <is>
          <t>warn</t>
        </is>
      </c>
      <c r="AH275" s="14" t="inlineStr">
        <is>
          <t>pass</t>
        </is>
      </c>
      <c r="AI275" s="15" t="inlineStr">
        <is>
          <t>n.a.</t>
        </is>
      </c>
      <c r="AJ275" s="15" t="inlineStr">
        <is>
          <t>n.a.</t>
        </is>
      </c>
      <c r="AK275" s="4" t="inlineStr">
        <is>
          <t>machine_metadata(warn);persistent_id(warn);join_key(warn)</t>
        </is>
      </c>
      <c r="AL275" s="17" t="inlineStr">
        <is>
          <t>https://www.census.gov/topics/research/guidance/planning-databases.html</t>
        </is>
      </c>
      <c r="AM275" s="4" t="inlineStr">
        <is>
          <t>us_census_planning_database</t>
        </is>
      </c>
    </row>
    <row r="276">
      <c r="A276" s="4" t="inlineStr">
        <is>
          <t>Decennial Census P.L. 94-171 Redistricting Data</t>
        </is>
      </c>
      <c r="B276" s="13" t="inlineStr">
        <is>
          <t>Gold</t>
        </is>
      </c>
      <c r="C276" s="4" t="n">
        <v>98</v>
      </c>
      <c r="D276" s="4" t="inlineStr">
        <is>
          <t>demographics</t>
        </is>
      </c>
      <c r="E276" s="4" t="inlineStr">
        <is>
          <t>healthy</t>
        </is>
      </c>
      <c r="F276" s="4" t="inlineStr">
        <is>
          <t>public_domain_us_federal</t>
        </is>
      </c>
      <c r="G276" s="4" t="inlineStr">
        <is>
          <t>block</t>
        </is>
      </c>
      <c r="H276" s="4" t="inlineStr">
        <is>
          <t>Joins today</t>
        </is>
      </c>
      <c r="I276" s="4" t="n">
        <v>2</v>
      </c>
      <c r="J276" s="4" t="inlineStr"/>
      <c r="K276" s="4" t="inlineStr">
        <is>
          <t>Curated</t>
        </is>
      </c>
      <c r="L276" s="4" t="n">
        <v>2020</v>
      </c>
      <c r="M276" s="4" t="inlineStr">
        <is>
          <t>open</t>
        </is>
      </c>
      <c r="N276" s="4" t="inlineStr">
        <is>
          <t>2026-10-29</t>
        </is>
      </c>
      <c r="O276" s="14" t="inlineStr">
        <is>
          <t>pass</t>
        </is>
      </c>
      <c r="P276" s="14" t="inlineStr">
        <is>
          <t>pass</t>
        </is>
      </c>
      <c r="Q276" s="14" t="inlineStr">
        <is>
          <t>pass</t>
        </is>
      </c>
      <c r="R276" s="14" t="inlineStr">
        <is>
          <t>pass</t>
        </is>
      </c>
      <c r="S276" s="14" t="inlineStr">
        <is>
          <t>pass</t>
        </is>
      </c>
      <c r="T276" s="16" t="inlineStr">
        <is>
          <t>warn</t>
        </is>
      </c>
      <c r="U276" s="15" t="inlineStr">
        <is>
          <t>n.a.</t>
        </is>
      </c>
      <c r="V276" s="16" t="inlineStr">
        <is>
          <t>warn</t>
        </is>
      </c>
      <c r="W276" s="16" t="inlineStr">
        <is>
          <t>warn</t>
        </is>
      </c>
      <c r="X276" s="14" t="inlineStr">
        <is>
          <t>pass</t>
        </is>
      </c>
      <c r="Y276" s="14" t="inlineStr">
        <is>
          <t>pass</t>
        </is>
      </c>
      <c r="Z276" s="14" t="inlineStr">
        <is>
          <t>pass</t>
        </is>
      </c>
      <c r="AA276" s="14" t="inlineStr">
        <is>
          <t>pass</t>
        </is>
      </c>
      <c r="AB276" s="16" t="inlineStr">
        <is>
          <t>warn</t>
        </is>
      </c>
      <c r="AC276" s="14" t="inlineStr">
        <is>
          <t>pass</t>
        </is>
      </c>
      <c r="AD276" s="14" t="inlineStr">
        <is>
          <t>pass</t>
        </is>
      </c>
      <c r="AE276" s="14" t="inlineStr">
        <is>
          <t>pass</t>
        </is>
      </c>
      <c r="AF276" s="14" t="inlineStr">
        <is>
          <t>pass</t>
        </is>
      </c>
      <c r="AG276" s="14" t="inlineStr">
        <is>
          <t>pass</t>
        </is>
      </c>
      <c r="AH276" s="14" t="inlineStr">
        <is>
          <t>pass</t>
        </is>
      </c>
      <c r="AI276" s="15" t="inlineStr">
        <is>
          <t>n.a.</t>
        </is>
      </c>
      <c r="AJ276" s="15" t="inlineStr">
        <is>
          <t>n.a.</t>
        </is>
      </c>
      <c r="AK276" s="4" t="inlineStr">
        <is>
          <t>access_url(warn);machine_metadata(warn);persistent_id(warn);cadence(warn)</t>
        </is>
      </c>
      <c r="AL276" s="17" t="inlineStr">
        <is>
          <t>https://www.census.gov/programs-surveys/decennial-census/about/rdo/summary-files.html</t>
        </is>
      </c>
      <c r="AM276" s="4" t="inlineStr">
        <is>
          <t>us_census_decennial_pl94171</t>
        </is>
      </c>
    </row>
    <row r="277">
      <c r="A277" s="4" t="inlineStr">
        <is>
          <t>Det Danske Kvadratnet (grid statistics, natbefolkning)</t>
        </is>
      </c>
      <c r="B277" s="20" t="inlineStr">
        <is>
          <t>Bronze</t>
        </is>
      </c>
      <c r="C277" s="4" t="n">
        <v>68</v>
      </c>
      <c r="D277" s="4" t="inlineStr">
        <is>
          <t>demographics</t>
        </is>
      </c>
      <c r="E277" s="4" t="inlineStr">
        <is>
          <t>healthy</t>
        </is>
      </c>
      <c r="F277" s="4" t="inlineStr">
        <is>
          <t>restricted</t>
        </is>
      </c>
      <c r="G277" s="4" t="inlineStr">
        <is>
          <t>grid_100m</t>
        </is>
      </c>
      <c r="H277" s="4" t="inlineStr">
        <is>
          <t>Needs raster support</t>
        </is>
      </c>
      <c r="I277" s="4" t="n">
        <v>2</v>
      </c>
      <c r="J277" s="4" t="inlineStr"/>
      <c r="K277" s="4" t="inlineStr">
        <is>
          <t>Curated</t>
        </is>
      </c>
      <c r="L277" s="4" t="n">
        <v>2019</v>
      </c>
      <c r="M277" s="4" t="inlineStr">
        <is>
          <t>restricted</t>
        </is>
      </c>
      <c r="N277" s="4" t="inlineStr">
        <is>
          <t>2026-10-28</t>
        </is>
      </c>
      <c r="O277" s="14" t="inlineStr">
        <is>
          <t>pass</t>
        </is>
      </c>
      <c r="P277" s="14" t="inlineStr">
        <is>
          <t>pass</t>
        </is>
      </c>
      <c r="Q277" s="14" t="inlineStr">
        <is>
          <t>pass</t>
        </is>
      </c>
      <c r="R277" s="14" t="inlineStr">
        <is>
          <t>pass</t>
        </is>
      </c>
      <c r="S277" s="14" t="inlineStr">
        <is>
          <t>pass</t>
        </is>
      </c>
      <c r="T277" s="15" t="inlineStr">
        <is>
          <t>n.a.</t>
        </is>
      </c>
      <c r="U277" s="15" t="inlineStr">
        <is>
          <t>n.a.</t>
        </is>
      </c>
      <c r="V277" s="16" t="inlineStr">
        <is>
          <t>warn</t>
        </is>
      </c>
      <c r="W277" s="16" t="inlineStr">
        <is>
          <t>warn</t>
        </is>
      </c>
      <c r="X277" s="14" t="inlineStr">
        <is>
          <t>pass</t>
        </is>
      </c>
      <c r="Y277" s="18" t="inlineStr">
        <is>
          <t>fail</t>
        </is>
      </c>
      <c r="Z277" s="15" t="inlineStr">
        <is>
          <t>not_checked</t>
        </is>
      </c>
      <c r="AA277" s="15" t="inlineStr">
        <is>
          <t>not_checked</t>
        </is>
      </c>
      <c r="AB277" s="15" t="inlineStr">
        <is>
          <t>not_checked</t>
        </is>
      </c>
      <c r="AC277" s="15" t="inlineStr">
        <is>
          <t>not_checked</t>
        </is>
      </c>
      <c r="AD277" s="14" t="inlineStr">
        <is>
          <t>pass</t>
        </is>
      </c>
      <c r="AE277" s="14" t="inlineStr">
        <is>
          <t>pass</t>
        </is>
      </c>
      <c r="AF277" s="18" t="inlineStr">
        <is>
          <t>fail</t>
        </is>
      </c>
      <c r="AG277" s="15" t="inlineStr">
        <is>
          <t>not_checked</t>
        </is>
      </c>
      <c r="AH277" s="15" t="inlineStr">
        <is>
          <t>not_checked</t>
        </is>
      </c>
      <c r="AI277" s="15" t="inlineStr">
        <is>
          <t>n.a.</t>
        </is>
      </c>
      <c r="AJ277" s="15" t="inlineStr">
        <is>
          <t>n.a.</t>
        </is>
      </c>
      <c r="AK277" s="4" t="inlineStr">
        <is>
          <t>license;access;machine_metadata(warn);persistent_id(warn)</t>
        </is>
      </c>
      <c r="AL277" s="17" t="inlineStr">
        <is>
          <t>https://www.dst.dk/da/TilSalg/produkter/geodata/kvadratnet</t>
        </is>
      </c>
      <c r="AM277" s="4" t="inlineStr">
        <is>
          <t>dk_dst_kvadratnet</t>
        </is>
      </c>
    </row>
    <row r="278">
      <c r="A278" s="4" t="inlineStr">
        <is>
          <t>Esri Demographics (Updated Demographics, Tapestry Segmentation, Urbanicity Types)</t>
        </is>
      </c>
      <c r="B278" s="20" t="inlineStr">
        <is>
          <t>Bronze</t>
        </is>
      </c>
      <c r="C278" s="4" t="n">
        <v>72</v>
      </c>
      <c r="D278" s="4" t="inlineStr">
        <is>
          <t>demographics</t>
        </is>
      </c>
      <c r="E278" s="4" t="inlineStr">
        <is>
          <t>healthy</t>
        </is>
      </c>
      <c r="F278" s="4" t="inlineStr">
        <is>
          <t>restricted</t>
        </is>
      </c>
      <c r="G278" s="4" t="inlineStr">
        <is>
          <t>block</t>
        </is>
      </c>
      <c r="H278" s="4" t="inlineStr">
        <is>
          <t>Joins today</t>
        </is>
      </c>
      <c r="I278" s="4" t="n">
        <v>2</v>
      </c>
      <c r="J278" s="4" t="inlineStr"/>
      <c r="K278" s="4" t="inlineStr">
        <is>
          <t>Curated</t>
        </is>
      </c>
      <c r="L278" s="4" t="n">
        <v>2026</v>
      </c>
      <c r="M278" s="4" t="inlineStr">
        <is>
          <t>restricted</t>
        </is>
      </c>
      <c r="N278" s="4" t="inlineStr">
        <is>
          <t>2026-10-22</t>
        </is>
      </c>
      <c r="O278" s="14" t="inlineStr">
        <is>
          <t>pass</t>
        </is>
      </c>
      <c r="P278" s="14" t="inlineStr">
        <is>
          <t>pass</t>
        </is>
      </c>
      <c r="Q278" s="14" t="inlineStr">
        <is>
          <t>pass</t>
        </is>
      </c>
      <c r="R278" s="14" t="inlineStr">
        <is>
          <t>pass</t>
        </is>
      </c>
      <c r="S278" s="14" t="inlineStr">
        <is>
          <t>pass</t>
        </is>
      </c>
      <c r="T278" s="15" t="inlineStr">
        <is>
          <t>n.a.</t>
        </is>
      </c>
      <c r="U278" s="15" t="inlineStr">
        <is>
          <t>n.a.</t>
        </is>
      </c>
      <c r="V278" s="16" t="inlineStr">
        <is>
          <t>warn</t>
        </is>
      </c>
      <c r="W278" s="16" t="inlineStr">
        <is>
          <t>warn</t>
        </is>
      </c>
      <c r="X278" s="14" t="inlineStr">
        <is>
          <t>pass</t>
        </is>
      </c>
      <c r="Y278" s="18" t="inlineStr">
        <is>
          <t>fail</t>
        </is>
      </c>
      <c r="Z278" s="14" t="inlineStr">
        <is>
          <t>pass</t>
        </is>
      </c>
      <c r="AA278" s="14" t="inlineStr">
        <is>
          <t>pass</t>
        </is>
      </c>
      <c r="AB278" s="14" t="inlineStr">
        <is>
          <t>pass</t>
        </is>
      </c>
      <c r="AC278" s="14" t="inlineStr">
        <is>
          <t>pass</t>
        </is>
      </c>
      <c r="AD278" s="14" t="inlineStr">
        <is>
          <t>pass</t>
        </is>
      </c>
      <c r="AE278" s="14" t="inlineStr">
        <is>
          <t>pass</t>
        </is>
      </c>
      <c r="AF278" s="18" t="inlineStr">
        <is>
          <t>fail</t>
        </is>
      </c>
      <c r="AG278" s="15" t="inlineStr">
        <is>
          <t>not_checked</t>
        </is>
      </c>
      <c r="AH278" s="16" t="inlineStr">
        <is>
          <t>warn</t>
        </is>
      </c>
      <c r="AI278" s="15" t="inlineStr">
        <is>
          <t>n.a.</t>
        </is>
      </c>
      <c r="AJ278" s="15" t="inlineStr">
        <is>
          <t>n.a.</t>
        </is>
      </c>
      <c r="AK278" s="4" t="inlineStr">
        <is>
          <t>license;access;machine_metadata(warn);persistent_id(warn);format_gaia(warn)</t>
        </is>
      </c>
      <c r="AL278" s="17" t="inlineStr">
        <is>
          <t>https://www.esri.com/en-us/arcgis/products/data/data-portfolio/demographics</t>
        </is>
      </c>
      <c r="AM278" s="4" t="inlineStr">
        <is>
          <t>us_esri_demographics</t>
        </is>
      </c>
    </row>
    <row r="279">
      <c r="A279" s="4" t="inlineStr">
        <is>
          <t>IOM Displacement Tracking Matrix (DTM) data and API</t>
        </is>
      </c>
      <c r="B279" s="20" t="inlineStr">
        <is>
          <t>Bronze</t>
        </is>
      </c>
      <c r="C279" s="4" t="n">
        <v>89</v>
      </c>
      <c r="D279" s="4" t="inlineStr">
        <is>
          <t>demographics</t>
        </is>
      </c>
      <c r="E279" s="4" t="inlineStr">
        <is>
          <t>degraded</t>
        </is>
      </c>
      <c r="F279" s="4" t="inlineStr">
        <is>
          <t>not checked</t>
        </is>
      </c>
      <c r="G279" s="4" t="inlineStr">
        <is>
          <t>country</t>
        </is>
      </c>
      <c r="H279" s="4" t="inlineStr">
        <is>
          <t>Not linkable as listed</t>
        </is>
      </c>
      <c r="I279" s="4" t="n">
        <v>2</v>
      </c>
      <c r="J279" s="4" t="inlineStr"/>
      <c r="K279" s="4" t="inlineStr">
        <is>
          <t>Curated</t>
        </is>
      </c>
      <c r="L279" s="4" t="n">
        <v>2025</v>
      </c>
      <c r="M279" s="4" t="inlineStr">
        <is>
          <t>registration</t>
        </is>
      </c>
      <c r="N279" s="4" t="inlineStr">
        <is>
          <t>2026-10-22</t>
        </is>
      </c>
      <c r="O279" s="14" t="inlineStr">
        <is>
          <t>pass</t>
        </is>
      </c>
      <c r="P279" s="14" t="inlineStr">
        <is>
          <t>pass</t>
        </is>
      </c>
      <c r="Q279" s="14" t="inlineStr">
        <is>
          <t>pass</t>
        </is>
      </c>
      <c r="R279" s="14" t="inlineStr">
        <is>
          <t>pass</t>
        </is>
      </c>
      <c r="S279" s="14" t="inlineStr">
        <is>
          <t>pass</t>
        </is>
      </c>
      <c r="T279" s="15" t="inlineStr">
        <is>
          <t>n.a.</t>
        </is>
      </c>
      <c r="U279" s="15" t="inlineStr">
        <is>
          <t>n.a.</t>
        </is>
      </c>
      <c r="V279" s="18" t="inlineStr">
        <is>
          <t>fail</t>
        </is>
      </c>
      <c r="W279" s="16" t="inlineStr">
        <is>
          <t>warn</t>
        </is>
      </c>
      <c r="X279" s="14" t="inlineStr">
        <is>
          <t>pass</t>
        </is>
      </c>
      <c r="Y279" s="15" t="inlineStr">
        <is>
          <t>not_checked</t>
        </is>
      </c>
      <c r="Z279" s="15" t="inlineStr">
        <is>
          <t>not_checked</t>
        </is>
      </c>
      <c r="AA279" s="15" t="inlineStr">
        <is>
          <t>not_checked</t>
        </is>
      </c>
      <c r="AB279" s="15" t="inlineStr">
        <is>
          <t>not_checked</t>
        </is>
      </c>
      <c r="AC279" s="15" t="inlineStr">
        <is>
          <t>not_checked</t>
        </is>
      </c>
      <c r="AD279" s="15" t="inlineStr">
        <is>
          <t>not_checked</t>
        </is>
      </c>
      <c r="AE279" s="15" t="inlineStr">
        <is>
          <t>not_checked</t>
        </is>
      </c>
      <c r="AF279" s="15" t="inlineStr">
        <is>
          <t>not_checked</t>
        </is>
      </c>
      <c r="AG279" s="15" t="inlineStr">
        <is>
          <t>not_checked</t>
        </is>
      </c>
      <c r="AH279" s="15" t="inlineStr">
        <is>
          <t>not_checked</t>
        </is>
      </c>
      <c r="AI279" s="15" t="inlineStr">
        <is>
          <t>n.a.</t>
        </is>
      </c>
      <c r="AJ279" s="15" t="inlineStr">
        <is>
          <t>n.a.</t>
        </is>
      </c>
      <c r="AK279" s="4" t="inlineStr">
        <is>
          <t>machine_metadata;persistent_id(warn)</t>
        </is>
      </c>
      <c r="AL279" s="17" t="inlineStr">
        <is>
          <t>https://dtm.iom.int/data-and-analysis/dtm-api</t>
        </is>
      </c>
      <c r="AM279" s="4" t="inlineStr">
        <is>
          <t>global_iom_dtm</t>
        </is>
      </c>
    </row>
    <row r="280">
      <c r="A280" s="4" t="inlineStr">
        <is>
          <t>LEHD Origin-Destination Employment Statistics (LODES)</t>
        </is>
      </c>
      <c r="B280" s="13" t="inlineStr">
        <is>
          <t>Gold</t>
        </is>
      </c>
      <c r="C280" s="4" t="n">
        <v>95</v>
      </c>
      <c r="D280" s="4" t="inlineStr">
        <is>
          <t>demographics</t>
        </is>
      </c>
      <c r="E280" s="4" t="inlineStr">
        <is>
          <t>degraded</t>
        </is>
      </c>
      <c r="F280" s="4" t="inlineStr">
        <is>
          <t>public_domain_us_federal</t>
        </is>
      </c>
      <c r="G280" s="4" t="inlineStr">
        <is>
          <t>block</t>
        </is>
      </c>
      <c r="H280" s="4" t="inlineStr">
        <is>
          <t>Joins today</t>
        </is>
      </c>
      <c r="I280" s="4" t="n">
        <v>2</v>
      </c>
      <c r="J280" s="4" t="inlineStr"/>
      <c r="K280" s="4" t="inlineStr">
        <is>
          <t>Curated</t>
        </is>
      </c>
      <c r="L280" s="4" t="n">
        <v>2023</v>
      </c>
      <c r="M280" s="4" t="inlineStr">
        <is>
          <t>open</t>
        </is>
      </c>
      <c r="N280" s="4" t="inlineStr">
        <is>
          <t>2026-10-29</t>
        </is>
      </c>
      <c r="O280" s="14" t="inlineStr">
        <is>
          <t>pass</t>
        </is>
      </c>
      <c r="P280" s="14" t="inlineStr">
        <is>
          <t>pass</t>
        </is>
      </c>
      <c r="Q280" s="14" t="inlineStr">
        <is>
          <t>pass</t>
        </is>
      </c>
      <c r="R280" s="14" t="inlineStr">
        <is>
          <t>pass</t>
        </is>
      </c>
      <c r="S280" s="14" t="inlineStr">
        <is>
          <t>pass</t>
        </is>
      </c>
      <c r="T280" s="14" t="inlineStr">
        <is>
          <t>pass</t>
        </is>
      </c>
      <c r="U280" s="16" t="inlineStr">
        <is>
          <t>warn</t>
        </is>
      </c>
      <c r="V280" s="18" t="inlineStr">
        <is>
          <t>fail</t>
        </is>
      </c>
      <c r="W280" s="16" t="inlineStr">
        <is>
          <t>warn</t>
        </is>
      </c>
      <c r="X280" s="14" t="inlineStr">
        <is>
          <t>pass</t>
        </is>
      </c>
      <c r="Y280" s="14" t="inlineStr">
        <is>
          <t>pass</t>
        </is>
      </c>
      <c r="Z280" s="14" t="inlineStr">
        <is>
          <t>pass</t>
        </is>
      </c>
      <c r="AA280" s="14" t="inlineStr">
        <is>
          <t>pass</t>
        </is>
      </c>
      <c r="AB280" s="16" t="inlineStr">
        <is>
          <t>warn</t>
        </is>
      </c>
      <c r="AC280" s="14" t="inlineStr">
        <is>
          <t>pass</t>
        </is>
      </c>
      <c r="AD280" s="14" t="inlineStr">
        <is>
          <t>pass</t>
        </is>
      </c>
      <c r="AE280" s="14" t="inlineStr">
        <is>
          <t>pass</t>
        </is>
      </c>
      <c r="AF280" s="14" t="inlineStr">
        <is>
          <t>pass</t>
        </is>
      </c>
      <c r="AG280" s="14" t="inlineStr">
        <is>
          <t>pass</t>
        </is>
      </c>
      <c r="AH280" s="14" t="inlineStr">
        <is>
          <t>pass</t>
        </is>
      </c>
      <c r="AI280" s="15" t="inlineStr">
        <is>
          <t>n.a.</t>
        </is>
      </c>
      <c r="AJ280" s="15" t="inlineStr">
        <is>
          <t>n.a.</t>
        </is>
      </c>
      <c r="AK280" s="4" t="inlineStr">
        <is>
          <t>machine_metadata;format_match(warn);persistent_id(warn);cadence(warn)</t>
        </is>
      </c>
      <c r="AL280" s="17" t="inlineStr">
        <is>
          <t>https://lehd.ces.census.gov/data/</t>
        </is>
      </c>
      <c r="AM280" s="4" t="inlineStr">
        <is>
          <t>us_census_lehd_lodes</t>
        </is>
      </c>
    </row>
    <row r="281">
      <c r="A281" s="4" t="inlineStr">
        <is>
          <t>SGIS (Statistical Geographic Information Service)</t>
        </is>
      </c>
      <c r="B281" s="20" t="inlineStr">
        <is>
          <t>Bronze</t>
        </is>
      </c>
      <c r="C281" s="4" t="n">
        <v>54</v>
      </c>
      <c r="D281" s="4" t="inlineStr">
        <is>
          <t>demographics</t>
        </is>
      </c>
      <c r="E281" s="4" t="inlineStr">
        <is>
          <t>degraded</t>
        </is>
      </c>
      <c r="F281" s="4" t="inlineStr">
        <is>
          <t>unknown</t>
        </is>
      </c>
      <c r="G281" s="4" t="inlineStr">
        <is>
          <t>grid_</t>
        </is>
      </c>
      <c r="H281" s="4" t="inlineStr">
        <is>
          <t>Needs raster support</t>
        </is>
      </c>
      <c r="I281" s="4" t="n">
        <v>2</v>
      </c>
      <c r="J281" s="4" t="inlineStr"/>
      <c r="K281" s="4" t="inlineStr">
        <is>
          <t>Curated</t>
        </is>
      </c>
      <c r="L281" s="4" t="n">
        <v>2024</v>
      </c>
      <c r="M281" s="4" t="inlineStr">
        <is>
          <t>restricted</t>
        </is>
      </c>
      <c r="N281" s="4" t="inlineStr">
        <is>
          <t>2026-10-28</t>
        </is>
      </c>
      <c r="O281" s="14" t="inlineStr">
        <is>
          <t>pass</t>
        </is>
      </c>
      <c r="P281" s="14" t="inlineStr">
        <is>
          <t>pass</t>
        </is>
      </c>
      <c r="Q281" s="14" t="inlineStr">
        <is>
          <t>pass</t>
        </is>
      </c>
      <c r="R281" s="16" t="inlineStr">
        <is>
          <t>warn</t>
        </is>
      </c>
      <c r="S281" s="14" t="inlineStr">
        <is>
          <t>pass</t>
        </is>
      </c>
      <c r="T281" s="18" t="inlineStr">
        <is>
          <t>fail</t>
        </is>
      </c>
      <c r="U281" s="15" t="inlineStr">
        <is>
          <t>n.a.</t>
        </is>
      </c>
      <c r="V281" s="18" t="inlineStr">
        <is>
          <t>fail</t>
        </is>
      </c>
      <c r="W281" s="16" t="inlineStr">
        <is>
          <t>warn</t>
        </is>
      </c>
      <c r="X281" s="14" t="inlineStr">
        <is>
          <t>pass</t>
        </is>
      </c>
      <c r="Y281" s="18" t="inlineStr">
        <is>
          <t>fail</t>
        </is>
      </c>
      <c r="Z281" s="16" t="inlineStr">
        <is>
          <t>warn</t>
        </is>
      </c>
      <c r="AA281" s="14" t="inlineStr">
        <is>
          <t>pass</t>
        </is>
      </c>
      <c r="AB281" s="15" t="inlineStr">
        <is>
          <t>not_checked</t>
        </is>
      </c>
      <c r="AC281" s="15" t="inlineStr">
        <is>
          <t>not_checked</t>
        </is>
      </c>
      <c r="AD281" s="15" t="inlineStr">
        <is>
          <t>not_checked</t>
        </is>
      </c>
      <c r="AE281" s="15" t="inlineStr">
        <is>
          <t>not_checked</t>
        </is>
      </c>
      <c r="AF281" s="18" t="inlineStr">
        <is>
          <t>fail</t>
        </is>
      </c>
      <c r="AG281" s="15" t="inlineStr">
        <is>
          <t>not_checked</t>
        </is>
      </c>
      <c r="AH281" s="16" t="inlineStr">
        <is>
          <t>warn</t>
        </is>
      </c>
      <c r="AI281" s="15" t="inlineStr">
        <is>
          <t>n.a.</t>
        </is>
      </c>
      <c r="AJ281" s="15" t="inlineStr">
        <is>
          <t>n.a.</t>
        </is>
      </c>
      <c r="AK281" s="4" t="inlineStr">
        <is>
          <t>access_url;machine_metadata;license;access;soft404(warn);persistent_id(warn);temporal(warn);format_gaia(warn)</t>
        </is>
      </c>
      <c r="AL281" s="17" t="inlineStr">
        <is>
          <t>https://sgis.mods.go.kr/view/index</t>
        </is>
      </c>
      <c r="AM281" s="4" t="inlineStr">
        <is>
          <t>kr_mods_sgis</t>
        </is>
      </c>
    </row>
    <row r="282">
      <c r="A282" s="4" t="inlineStr">
        <is>
          <t>UNdata</t>
        </is>
      </c>
      <c r="B282" s="20" t="inlineStr">
        <is>
          <t>Bronze</t>
        </is>
      </c>
      <c r="C282" s="4" t="n">
        <v>71</v>
      </c>
      <c r="D282" s="4" t="inlineStr">
        <is>
          <t>demographics</t>
        </is>
      </c>
      <c r="E282" s="4" t="inlineStr">
        <is>
          <t>degraded</t>
        </is>
      </c>
      <c r="F282" s="4" t="inlineStr">
        <is>
          <t>not checked</t>
        </is>
      </c>
      <c r="G282" s="4" t="inlineStr">
        <is>
          <t>country</t>
        </is>
      </c>
      <c r="H282" s="4" t="inlineStr">
        <is>
          <t>Not linkable as listed</t>
        </is>
      </c>
      <c r="I282" s="4" t="n">
        <v>2</v>
      </c>
      <c r="J282" s="4" t="inlineStr"/>
      <c r="K282" s="4" t="inlineStr">
        <is>
          <t>Curated</t>
        </is>
      </c>
      <c r="L282" s="4" t="inlineStr">
        <is>
          <t>current</t>
        </is>
      </c>
      <c r="M282" s="4" t="inlineStr">
        <is>
          <t>open</t>
        </is>
      </c>
      <c r="N282" s="4" t="inlineStr">
        <is>
          <t>2026-10-22</t>
        </is>
      </c>
      <c r="O282" s="14" t="inlineStr">
        <is>
          <t>pass</t>
        </is>
      </c>
      <c r="P282" s="14" t="inlineStr">
        <is>
          <t>pass</t>
        </is>
      </c>
      <c r="Q282" s="14" t="inlineStr">
        <is>
          <t>pass</t>
        </is>
      </c>
      <c r="R282" s="16" t="inlineStr">
        <is>
          <t>warn</t>
        </is>
      </c>
      <c r="S282" s="15" t="inlineStr">
        <is>
          <t>not_checked</t>
        </is>
      </c>
      <c r="T282" s="15" t="inlineStr">
        <is>
          <t>n.a.</t>
        </is>
      </c>
      <c r="U282" s="15" t="inlineStr">
        <is>
          <t>n.a.</t>
        </is>
      </c>
      <c r="V282" s="18" t="inlineStr">
        <is>
          <t>fail</t>
        </is>
      </c>
      <c r="W282" s="16" t="inlineStr">
        <is>
          <t>warn</t>
        </is>
      </c>
      <c r="X282" s="14" t="inlineStr">
        <is>
          <t>pass</t>
        </is>
      </c>
      <c r="Y282" s="15" t="inlineStr">
        <is>
          <t>not_checked</t>
        </is>
      </c>
      <c r="Z282" s="15" t="inlineStr">
        <is>
          <t>not_checked</t>
        </is>
      </c>
      <c r="AA282" s="15" t="inlineStr">
        <is>
          <t>not_checked</t>
        </is>
      </c>
      <c r="AB282" s="15" t="inlineStr">
        <is>
          <t>not_checked</t>
        </is>
      </c>
      <c r="AC282" s="15" t="inlineStr">
        <is>
          <t>not_checked</t>
        </is>
      </c>
      <c r="AD282" s="15" t="inlineStr">
        <is>
          <t>not_checked</t>
        </is>
      </c>
      <c r="AE282" s="15" t="inlineStr">
        <is>
          <t>not_checked</t>
        </is>
      </c>
      <c r="AF282" s="15" t="inlineStr">
        <is>
          <t>not_checked</t>
        </is>
      </c>
      <c r="AG282" s="15" t="inlineStr">
        <is>
          <t>not_checked</t>
        </is>
      </c>
      <c r="AH282" s="15" t="inlineStr">
        <is>
          <t>not_checked</t>
        </is>
      </c>
      <c r="AI282" s="15" t="inlineStr">
        <is>
          <t>n.a.</t>
        </is>
      </c>
      <c r="AJ282" s="15" t="inlineStr">
        <is>
          <t>n.a.</t>
        </is>
      </c>
      <c r="AK282" s="4" t="inlineStr">
        <is>
          <t>machine_metadata;soft404(warn);persistent_id(warn)</t>
        </is>
      </c>
      <c r="AL282" s="17" t="inlineStr">
        <is>
          <t>https://data.un.org/</t>
        </is>
      </c>
      <c r="AM282" s="4" t="inlineStr">
        <is>
          <t>global_un_undata</t>
        </is>
      </c>
    </row>
    <row r="283">
      <c r="A283" s="4" t="inlineStr">
        <is>
          <t>Wijk- en buurtkaart</t>
        </is>
      </c>
      <c r="B283" s="20" t="inlineStr">
        <is>
          <t>Bronze</t>
        </is>
      </c>
      <c r="C283" s="4" t="n">
        <v>94</v>
      </c>
      <c r="D283" s="4" t="inlineStr">
        <is>
          <t>demographics</t>
        </is>
      </c>
      <c r="E283" s="4" t="inlineStr">
        <is>
          <t>healthy</t>
        </is>
      </c>
      <c r="F283" s="4" t="inlineStr">
        <is>
          <t>not checked</t>
        </is>
      </c>
      <c r="G283" s="4" t="inlineStr">
        <is>
          <t>unknown</t>
        </is>
      </c>
      <c r="H283" s="4" t="inlineStr">
        <is>
          <t>Unknown</t>
        </is>
      </c>
      <c r="I283" s="4" t="n">
        <v>2</v>
      </c>
      <c r="J283" s="4" t="inlineStr"/>
      <c r="K283" s="4" t="inlineStr">
        <is>
          <t>Curated</t>
        </is>
      </c>
      <c r="L283" s="4" t="n">
        <v>2024</v>
      </c>
      <c r="M283" s="4" t="inlineStr">
        <is>
          <t>open</t>
        </is>
      </c>
      <c r="N283" s="4" t="inlineStr">
        <is>
          <t>2026-10-22</t>
        </is>
      </c>
      <c r="O283" s="14" t="inlineStr">
        <is>
          <t>pass</t>
        </is>
      </c>
      <c r="P283" s="14" t="inlineStr">
        <is>
          <t>pass</t>
        </is>
      </c>
      <c r="Q283" s="14" t="inlineStr">
        <is>
          <t>pass</t>
        </is>
      </c>
      <c r="R283" s="14" t="inlineStr">
        <is>
          <t>pass</t>
        </is>
      </c>
      <c r="S283" s="14" t="inlineStr">
        <is>
          <t>pass</t>
        </is>
      </c>
      <c r="T283" s="15" t="inlineStr">
        <is>
          <t>n.a.</t>
        </is>
      </c>
      <c r="U283" s="15" t="inlineStr">
        <is>
          <t>n.a.</t>
        </is>
      </c>
      <c r="V283" s="16" t="inlineStr">
        <is>
          <t>warn</t>
        </is>
      </c>
      <c r="W283" s="16" t="inlineStr">
        <is>
          <t>warn</t>
        </is>
      </c>
      <c r="X283" s="14" t="inlineStr">
        <is>
          <t>pass</t>
        </is>
      </c>
      <c r="Y283" s="15" t="inlineStr">
        <is>
          <t>not_checked</t>
        </is>
      </c>
      <c r="Z283" s="15" t="inlineStr">
        <is>
          <t>not_checked</t>
        </is>
      </c>
      <c r="AA283" s="15" t="inlineStr">
        <is>
          <t>not_checked</t>
        </is>
      </c>
      <c r="AB283" s="15" t="inlineStr">
        <is>
          <t>not_checked</t>
        </is>
      </c>
      <c r="AC283" s="15" t="inlineStr">
        <is>
          <t>not_checked</t>
        </is>
      </c>
      <c r="AD283" s="15" t="inlineStr">
        <is>
          <t>not_checked</t>
        </is>
      </c>
      <c r="AE283" s="15" t="inlineStr">
        <is>
          <t>not_checked</t>
        </is>
      </c>
      <c r="AF283" s="15" t="inlineStr">
        <is>
          <t>not_checked</t>
        </is>
      </c>
      <c r="AG283" s="15" t="inlineStr">
        <is>
          <t>not_checked</t>
        </is>
      </c>
      <c r="AH283" s="15" t="inlineStr">
        <is>
          <t>not_checked</t>
        </is>
      </c>
      <c r="AI283" s="15" t="inlineStr">
        <is>
          <t>n.a.</t>
        </is>
      </c>
      <c r="AJ283" s="15" t="inlineStr">
        <is>
          <t>n.a.</t>
        </is>
      </c>
      <c r="AK283" s="4" t="inlineStr">
        <is>
          <t>machine_metadata(warn);persistent_id(warn)</t>
        </is>
      </c>
      <c r="AL283" s="17" t="inlineStr">
        <is>
          <t>https://www.cbs.nl/nl-nl/dossier/nederland-regionaal/geografische-data/wijk-en-buurtkaart-2024</t>
        </is>
      </c>
      <c r="AM283" s="4" t="inlineStr">
        <is>
          <t>nl_cbs_wijk_buurtkaart</t>
        </is>
      </c>
    </row>
    <row r="284">
      <c r="A284" s="4" t="inlineStr">
        <is>
          <t>World Urbanization Prospects (WUP)</t>
        </is>
      </c>
      <c r="B284" s="20" t="inlineStr">
        <is>
          <t>Bronze</t>
        </is>
      </c>
      <c r="C284" s="4" t="n">
        <v>89</v>
      </c>
      <c r="D284" s="4" t="inlineStr">
        <is>
          <t>demographics</t>
        </is>
      </c>
      <c r="E284" s="4" t="inlineStr">
        <is>
          <t>degraded</t>
        </is>
      </c>
      <c r="F284" s="4" t="inlineStr">
        <is>
          <t>not checked</t>
        </is>
      </c>
      <c r="G284" s="4" t="inlineStr">
        <is>
          <t>country</t>
        </is>
      </c>
      <c r="H284" s="4" t="inlineStr">
        <is>
          <t>Not linkable as listed</t>
        </is>
      </c>
      <c r="I284" s="4" t="n">
        <v>2</v>
      </c>
      <c r="J284" s="4" t="inlineStr"/>
      <c r="K284" s="4" t="inlineStr">
        <is>
          <t>Curated</t>
        </is>
      </c>
      <c r="L284" s="4" t="n">
        <v>2025</v>
      </c>
      <c r="M284" s="4" t="inlineStr">
        <is>
          <t>open</t>
        </is>
      </c>
      <c r="N284" s="4" t="inlineStr">
        <is>
          <t>2026-10-22</t>
        </is>
      </c>
      <c r="O284" s="14" t="inlineStr">
        <is>
          <t>pass</t>
        </is>
      </c>
      <c r="P284" s="14" t="inlineStr">
        <is>
          <t>pass</t>
        </is>
      </c>
      <c r="Q284" s="14" t="inlineStr">
        <is>
          <t>pass</t>
        </is>
      </c>
      <c r="R284" s="14" t="inlineStr">
        <is>
          <t>pass</t>
        </is>
      </c>
      <c r="S284" s="14" t="inlineStr">
        <is>
          <t>pass</t>
        </is>
      </c>
      <c r="T284" s="15" t="inlineStr">
        <is>
          <t>n.a.</t>
        </is>
      </c>
      <c r="U284" s="15" t="inlineStr">
        <is>
          <t>n.a.</t>
        </is>
      </c>
      <c r="V284" s="18" t="inlineStr">
        <is>
          <t>fail</t>
        </is>
      </c>
      <c r="W284" s="16" t="inlineStr">
        <is>
          <t>warn</t>
        </is>
      </c>
      <c r="X284" s="14" t="inlineStr">
        <is>
          <t>pass</t>
        </is>
      </c>
      <c r="Y284" s="15" t="inlineStr">
        <is>
          <t>not_checked</t>
        </is>
      </c>
      <c r="Z284" s="15" t="inlineStr">
        <is>
          <t>not_checked</t>
        </is>
      </c>
      <c r="AA284" s="15" t="inlineStr">
        <is>
          <t>not_checked</t>
        </is>
      </c>
      <c r="AB284" s="15" t="inlineStr">
        <is>
          <t>not_checked</t>
        </is>
      </c>
      <c r="AC284" s="15" t="inlineStr">
        <is>
          <t>not_checked</t>
        </is>
      </c>
      <c r="AD284" s="15" t="inlineStr">
        <is>
          <t>not_checked</t>
        </is>
      </c>
      <c r="AE284" s="15" t="inlineStr">
        <is>
          <t>not_checked</t>
        </is>
      </c>
      <c r="AF284" s="15" t="inlineStr">
        <is>
          <t>not_checked</t>
        </is>
      </c>
      <c r="AG284" s="15" t="inlineStr">
        <is>
          <t>not_checked</t>
        </is>
      </c>
      <c r="AH284" s="15" t="inlineStr">
        <is>
          <t>not_checked</t>
        </is>
      </c>
      <c r="AI284" s="15" t="inlineStr">
        <is>
          <t>n.a.</t>
        </is>
      </c>
      <c r="AJ284" s="15" t="inlineStr">
        <is>
          <t>n.a.</t>
        </is>
      </c>
      <c r="AK284" s="4" t="inlineStr">
        <is>
          <t>machine_metadata;persistent_id(warn)</t>
        </is>
      </c>
      <c r="AL284" s="17" t="inlineStr">
        <is>
          <t>https://population.un.org/wup/</t>
        </is>
      </c>
      <c r="AM284" s="4" t="inlineStr">
        <is>
          <t>global_un_wup</t>
        </is>
      </c>
    </row>
    <row r="285">
      <c r="A285" s="4" t="inlineStr">
        <is>
          <t>Air Quality and Health Impacts (NYC Community Air Survey and surveillance indicators)</t>
        </is>
      </c>
      <c r="B285" s="20" t="inlineStr">
        <is>
          <t>Bronze</t>
        </is>
      </c>
      <c r="C285" s="4" t="n">
        <v>78</v>
      </c>
      <c r="D285" s="4" t="inlineStr">
        <is>
          <t>environment</t>
        </is>
      </c>
      <c r="E285" s="4" t="inlineStr">
        <is>
          <t>healthy</t>
        </is>
      </c>
      <c r="F285" s="4" t="inlineStr">
        <is>
          <t>unknown</t>
        </is>
      </c>
      <c r="G285" s="4" t="inlineStr">
        <is>
          <t>postcode_small_area</t>
        </is>
      </c>
      <c r="H285" s="4" t="inlineStr">
        <is>
          <t>Joins today</t>
        </is>
      </c>
      <c r="I285" s="4" t="n">
        <v>3</v>
      </c>
      <c r="J285" s="4" t="inlineStr"/>
      <c r="K285" s="4" t="inlineStr">
        <is>
          <t>Curated</t>
        </is>
      </c>
      <c r="L285" s="4" t="n">
        <v>2026</v>
      </c>
      <c r="M285" s="4" t="inlineStr">
        <is>
          <t>open</t>
        </is>
      </c>
      <c r="N285" s="4" t="inlineStr">
        <is>
          <t>2026-10-22</t>
        </is>
      </c>
      <c r="O285" s="14" t="inlineStr">
        <is>
          <t>pass</t>
        </is>
      </c>
      <c r="P285" s="14" t="inlineStr">
        <is>
          <t>pass</t>
        </is>
      </c>
      <c r="Q285" s="14" t="inlineStr">
        <is>
          <t>pass</t>
        </is>
      </c>
      <c r="R285" s="14" t="inlineStr">
        <is>
          <t>pass</t>
        </is>
      </c>
      <c r="S285" s="14" t="inlineStr">
        <is>
          <t>pass</t>
        </is>
      </c>
      <c r="T285" s="14" t="inlineStr">
        <is>
          <t>pass</t>
        </is>
      </c>
      <c r="U285" s="16" t="inlineStr">
        <is>
          <t>warn</t>
        </is>
      </c>
      <c r="V285" s="14" t="inlineStr">
        <is>
          <t>pass</t>
        </is>
      </c>
      <c r="W285" s="16" t="inlineStr">
        <is>
          <t>warn</t>
        </is>
      </c>
      <c r="X285" s="14" t="inlineStr">
        <is>
          <t>pass</t>
        </is>
      </c>
      <c r="Y285" s="18" t="inlineStr">
        <is>
          <t>fail</t>
        </is>
      </c>
      <c r="Z285" s="16" t="inlineStr">
        <is>
          <t>warn</t>
        </is>
      </c>
      <c r="AA285" s="14" t="inlineStr">
        <is>
          <t>pass</t>
        </is>
      </c>
      <c r="AB285" s="15" t="inlineStr">
        <is>
          <t>not_checked</t>
        </is>
      </c>
      <c r="AC285" s="16" t="inlineStr">
        <is>
          <t>warn</t>
        </is>
      </c>
      <c r="AD285" s="15" t="inlineStr">
        <is>
          <t>not_checked</t>
        </is>
      </c>
      <c r="AE285" s="14" t="inlineStr">
        <is>
          <t>pass</t>
        </is>
      </c>
      <c r="AF285" s="14" t="inlineStr">
        <is>
          <t>pass</t>
        </is>
      </c>
      <c r="AG285" s="15" t="inlineStr">
        <is>
          <t>not_checked</t>
        </is>
      </c>
      <c r="AH285" s="16" t="inlineStr">
        <is>
          <t>warn</t>
        </is>
      </c>
      <c r="AI285" s="15" t="inlineStr">
        <is>
          <t>n.a.</t>
        </is>
      </c>
      <c r="AJ285" s="15" t="inlineStr">
        <is>
          <t>n.a.</t>
        </is>
      </c>
      <c r="AK285" s="4" t="inlineStr">
        <is>
          <t>license;format_match(warn);persistent_id(warn);temporal(warn);version(warn);format_gaia(warn)</t>
        </is>
      </c>
      <c r="AL285" s="17" t="inlineStr">
        <is>
          <t>https://catalog.data.gov/dataset/air-quality</t>
        </is>
      </c>
      <c r="AM285" s="4" t="inlineStr">
        <is>
          <t>us_nyc_air_quality_and_health_impacts</t>
        </is>
      </c>
    </row>
    <row r="286">
      <c r="A286" s="4" t="inlineStr">
        <is>
          <t>Air Quality System (AQS) Data Mart API</t>
        </is>
      </c>
      <c r="B286" s="19" t="inlineStr">
        <is>
          <t>Silver</t>
        </is>
      </c>
      <c r="C286" s="4" t="n">
        <v>93</v>
      </c>
      <c r="D286" s="4" t="inlineStr">
        <is>
          <t>environment</t>
        </is>
      </c>
      <c r="E286" s="4" t="inlineStr">
        <is>
          <t>healthy</t>
        </is>
      </c>
      <c r="F286" s="4" t="inlineStr">
        <is>
          <t>public_domain_us_federal</t>
        </is>
      </c>
      <c r="G286" s="4" t="inlineStr">
        <is>
          <t>point</t>
        </is>
      </c>
      <c r="H286" s="4" t="inlineStr">
        <is>
          <t>Needs a count/distance step</t>
        </is>
      </c>
      <c r="I286" s="4" t="n">
        <v>3</v>
      </c>
      <c r="J286" s="4" t="inlineStr"/>
      <c r="K286" s="4" t="inlineStr">
        <is>
          <t>Curated</t>
        </is>
      </c>
      <c r="L286" s="4" t="n">
        <v>2026</v>
      </c>
      <c r="M286" s="4" t="inlineStr">
        <is>
          <t>open</t>
        </is>
      </c>
      <c r="N286" s="4" t="inlineStr">
        <is>
          <t>2026-10-29</t>
        </is>
      </c>
      <c r="O286" s="14" t="inlineStr">
        <is>
          <t>pass</t>
        </is>
      </c>
      <c r="P286" s="14" t="inlineStr">
        <is>
          <t>pass</t>
        </is>
      </c>
      <c r="Q286" s="14" t="inlineStr">
        <is>
          <t>pass</t>
        </is>
      </c>
      <c r="R286" s="14" t="inlineStr">
        <is>
          <t>pass</t>
        </is>
      </c>
      <c r="S286" s="14" t="inlineStr">
        <is>
          <t>pass</t>
        </is>
      </c>
      <c r="T286" s="14" t="inlineStr">
        <is>
          <t>pass</t>
        </is>
      </c>
      <c r="U286" s="16" t="inlineStr">
        <is>
          <t>warn</t>
        </is>
      </c>
      <c r="V286" s="16" t="inlineStr">
        <is>
          <t>warn</t>
        </is>
      </c>
      <c r="W286" s="16" t="inlineStr">
        <is>
          <t>warn</t>
        </is>
      </c>
      <c r="X286" s="14" t="inlineStr">
        <is>
          <t>pass</t>
        </is>
      </c>
      <c r="Y286" s="14" t="inlineStr">
        <is>
          <t>pass</t>
        </is>
      </c>
      <c r="Z286" s="15" t="inlineStr">
        <is>
          <t>not_checked</t>
        </is>
      </c>
      <c r="AA286" s="14" t="inlineStr">
        <is>
          <t>pass</t>
        </is>
      </c>
      <c r="AB286" s="16" t="inlineStr">
        <is>
          <t>warn</t>
        </is>
      </c>
      <c r="AC286" s="14" t="inlineStr">
        <is>
          <t>pass</t>
        </is>
      </c>
      <c r="AD286" s="14" t="inlineStr">
        <is>
          <t>pass</t>
        </is>
      </c>
      <c r="AE286" s="14" t="inlineStr">
        <is>
          <t>pass</t>
        </is>
      </c>
      <c r="AF286" s="16" t="inlineStr">
        <is>
          <t>warn</t>
        </is>
      </c>
      <c r="AG286" s="14" t="inlineStr">
        <is>
          <t>pass</t>
        </is>
      </c>
      <c r="AH286" s="16" t="inlineStr">
        <is>
          <t>warn</t>
        </is>
      </c>
      <c r="AI286" s="15" t="inlineStr">
        <is>
          <t>n.a.</t>
        </is>
      </c>
      <c r="AJ286" s="15" t="inlineStr">
        <is>
          <t>n.a.</t>
        </is>
      </c>
      <c r="AK286" s="4" t="inlineStr">
        <is>
          <t>format_match(warn);machine_metadata(warn);persistent_id(warn);cadence(warn);access(warn);format_gaia(warn)</t>
        </is>
      </c>
      <c r="AL286" s="17" t="inlineStr">
        <is>
          <t>https://aqs.epa.gov/aqsweb/documents/data_api.html</t>
        </is>
      </c>
      <c r="AM286" s="4" t="inlineStr">
        <is>
          <t>us_epa_aqs_data_mart_api</t>
        </is>
      </c>
    </row>
    <row r="287">
      <c r="A287" s="4" t="inlineStr">
        <is>
          <t>AirData Annual AQI by County</t>
        </is>
      </c>
      <c r="B287" s="13" t="inlineStr">
        <is>
          <t>Gold</t>
        </is>
      </c>
      <c r="C287" s="4" t="n">
        <v>93</v>
      </c>
      <c r="D287" s="4" t="inlineStr">
        <is>
          <t>environment</t>
        </is>
      </c>
      <c r="E287" s="4" t="inlineStr">
        <is>
          <t>healthy</t>
        </is>
      </c>
      <c r="F287" s="4" t="inlineStr">
        <is>
          <t>public_domain_us_federal</t>
        </is>
      </c>
      <c r="G287" s="4" t="inlineStr">
        <is>
          <t>county</t>
        </is>
      </c>
      <c r="H287" s="4" t="inlineStr">
        <is>
          <t>Joins today</t>
        </is>
      </c>
      <c r="I287" s="4" t="n">
        <v>3</v>
      </c>
      <c r="J287" s="4" t="inlineStr">
        <is>
          <t>us_2022_annual_aqi_by_county;us_2023_annual_aqi_by_county</t>
        </is>
      </c>
      <c r="K287" s="4" t="inlineStr">
        <is>
          <t>Curated</t>
        </is>
      </c>
      <c r="L287" s="4" t="n">
        <v>2026</v>
      </c>
      <c r="M287" s="4" t="inlineStr">
        <is>
          <t>open</t>
        </is>
      </c>
      <c r="N287" s="4" t="inlineStr">
        <is>
          <t>2026-10-29</t>
        </is>
      </c>
      <c r="O287" s="14" t="inlineStr">
        <is>
          <t>pass</t>
        </is>
      </c>
      <c r="P287" s="14" t="inlineStr">
        <is>
          <t>pass</t>
        </is>
      </c>
      <c r="Q287" s="14" t="inlineStr">
        <is>
          <t>pass</t>
        </is>
      </c>
      <c r="R287" s="14" t="inlineStr">
        <is>
          <t>pass</t>
        </is>
      </c>
      <c r="S287" s="14" t="inlineStr">
        <is>
          <t>pass</t>
        </is>
      </c>
      <c r="T287" s="14" t="inlineStr">
        <is>
          <t>pass</t>
        </is>
      </c>
      <c r="U287" s="16" t="inlineStr">
        <is>
          <t>warn</t>
        </is>
      </c>
      <c r="V287" s="16" t="inlineStr">
        <is>
          <t>warn</t>
        </is>
      </c>
      <c r="W287" s="16" t="inlineStr">
        <is>
          <t>warn</t>
        </is>
      </c>
      <c r="X287" s="14" t="inlineStr">
        <is>
          <t>pass</t>
        </is>
      </c>
      <c r="Y287" s="14" t="inlineStr">
        <is>
          <t>pass</t>
        </is>
      </c>
      <c r="Z287" s="14" t="inlineStr">
        <is>
          <t>pass</t>
        </is>
      </c>
      <c r="AA287" s="14" t="inlineStr">
        <is>
          <t>pass</t>
        </is>
      </c>
      <c r="AB287" s="14" t="inlineStr">
        <is>
          <t>pass</t>
        </is>
      </c>
      <c r="AC287" s="16" t="inlineStr">
        <is>
          <t>warn</t>
        </is>
      </c>
      <c r="AD287" s="14" t="inlineStr">
        <is>
          <t>pass</t>
        </is>
      </c>
      <c r="AE287" s="15" t="inlineStr">
        <is>
          <t>not_checked</t>
        </is>
      </c>
      <c r="AF287" s="14" t="inlineStr">
        <is>
          <t>pass</t>
        </is>
      </c>
      <c r="AG287" s="16" t="inlineStr">
        <is>
          <t>warn</t>
        </is>
      </c>
      <c r="AH287" s="16" t="inlineStr">
        <is>
          <t>warn</t>
        </is>
      </c>
      <c r="AI287" s="14" t="inlineStr">
        <is>
          <t>pass</t>
        </is>
      </c>
      <c r="AJ287" s="14" t="inlineStr">
        <is>
          <t>pass</t>
        </is>
      </c>
      <c r="AK287" s="4" t="inlineStr">
        <is>
          <t>format_match(warn);machine_metadata(warn);persistent_id(warn);version(warn);join_key(warn);format_gaia(warn)</t>
        </is>
      </c>
      <c r="AL287" s="17" t="inlineStr">
        <is>
          <t>https://aqs.epa.gov/aqsweb/airdata/download_files.html</t>
        </is>
      </c>
      <c r="AM287" s="4" t="inlineStr">
        <is>
          <t>us_epa_airdata_annual_aqi_by_county</t>
        </is>
      </c>
    </row>
    <row r="288">
      <c r="A288" s="4" t="inlineStr">
        <is>
          <t>AirData Pre-Generated Data Files (Annual, Daily, Hourly summaries; Site and Monitor Descriptions)</t>
        </is>
      </c>
      <c r="B288" s="13" t="inlineStr">
        <is>
          <t>Gold</t>
        </is>
      </c>
      <c r="C288" s="4" t="n">
        <v>93</v>
      </c>
      <c r="D288" s="4" t="inlineStr">
        <is>
          <t>environment</t>
        </is>
      </c>
      <c r="E288" s="4" t="inlineStr">
        <is>
          <t>healthy</t>
        </is>
      </c>
      <c r="F288" s="4" t="inlineStr">
        <is>
          <t>public_domain_us_federal</t>
        </is>
      </c>
      <c r="G288" s="4" t="inlineStr">
        <is>
          <t>point</t>
        </is>
      </c>
      <c r="H288" s="4" t="inlineStr">
        <is>
          <t>Needs a count/distance step</t>
        </is>
      </c>
      <c r="I288" s="4" t="n">
        <v>3</v>
      </c>
      <c r="J288" s="4" t="inlineStr"/>
      <c r="K288" s="4" t="inlineStr">
        <is>
          <t>Curated</t>
        </is>
      </c>
      <c r="L288" s="4" t="n">
        <v>2026</v>
      </c>
      <c r="M288" s="4" t="inlineStr">
        <is>
          <t>open</t>
        </is>
      </c>
      <c r="N288" s="4" t="inlineStr">
        <is>
          <t>2026-10-29</t>
        </is>
      </c>
      <c r="O288" s="14" t="inlineStr">
        <is>
          <t>pass</t>
        </is>
      </c>
      <c r="P288" s="14" t="inlineStr">
        <is>
          <t>pass</t>
        </is>
      </c>
      <c r="Q288" s="14" t="inlineStr">
        <is>
          <t>pass</t>
        </is>
      </c>
      <c r="R288" s="14" t="inlineStr">
        <is>
          <t>pass</t>
        </is>
      </c>
      <c r="S288" s="14" t="inlineStr">
        <is>
          <t>pass</t>
        </is>
      </c>
      <c r="T288" s="14" t="inlineStr">
        <is>
          <t>pass</t>
        </is>
      </c>
      <c r="U288" s="16" t="inlineStr">
        <is>
          <t>warn</t>
        </is>
      </c>
      <c r="V288" s="16" t="inlineStr">
        <is>
          <t>warn</t>
        </is>
      </c>
      <c r="W288" s="16" t="inlineStr">
        <is>
          <t>warn</t>
        </is>
      </c>
      <c r="X288" s="14" t="inlineStr">
        <is>
          <t>pass</t>
        </is>
      </c>
      <c r="Y288" s="14" t="inlineStr">
        <is>
          <t>pass</t>
        </is>
      </c>
      <c r="Z288" s="14" t="inlineStr">
        <is>
          <t>pass</t>
        </is>
      </c>
      <c r="AA288" s="14" t="inlineStr">
        <is>
          <t>pass</t>
        </is>
      </c>
      <c r="AB288" s="14" t="inlineStr">
        <is>
          <t>pass</t>
        </is>
      </c>
      <c r="AC288" s="16" t="inlineStr">
        <is>
          <t>warn</t>
        </is>
      </c>
      <c r="AD288" s="14" t="inlineStr">
        <is>
          <t>pass</t>
        </is>
      </c>
      <c r="AE288" s="14" t="inlineStr">
        <is>
          <t>pass</t>
        </is>
      </c>
      <c r="AF288" s="14" t="inlineStr">
        <is>
          <t>pass</t>
        </is>
      </c>
      <c r="AG288" s="16" t="inlineStr">
        <is>
          <t>warn</t>
        </is>
      </c>
      <c r="AH288" s="14" t="inlineStr">
        <is>
          <t>pass</t>
        </is>
      </c>
      <c r="AI288" s="15" t="inlineStr">
        <is>
          <t>n.a.</t>
        </is>
      </c>
      <c r="AJ288" s="15" t="inlineStr">
        <is>
          <t>n.a.</t>
        </is>
      </c>
      <c r="AK288" s="4" t="inlineStr">
        <is>
          <t>format_match(warn);machine_metadata(warn);persistent_id(warn);version(warn);join_key(warn)</t>
        </is>
      </c>
      <c r="AL288" s="17" t="inlineStr">
        <is>
          <t>https://www.epa.gov/outdoor-air-quality-data</t>
        </is>
      </c>
      <c r="AM288" s="4" t="inlineStr">
        <is>
          <t>us_epa_airdata_pregenerated_files</t>
        </is>
      </c>
    </row>
    <row r="289">
      <c r="A289" s="4" t="inlineStr">
        <is>
          <t>Anthropogenic Biomes of the World, Version 2 (1700, 1800, 1900, 2000)</t>
        </is>
      </c>
      <c r="B289" s="20" t="inlineStr">
        <is>
          <t>Bronze</t>
        </is>
      </c>
      <c r="C289" s="4" t="n">
        <v>72</v>
      </c>
      <c r="D289" s="4" t="inlineStr">
        <is>
          <t>environment</t>
        </is>
      </c>
      <c r="E289" s="4" t="inlineStr">
        <is>
          <t>healthy</t>
        </is>
      </c>
      <c r="F289" s="4" t="inlineStr">
        <is>
          <t>unknown</t>
        </is>
      </c>
      <c r="G289" s="4" t="inlineStr">
        <is>
          <t>grid_5arcmin</t>
        </is>
      </c>
      <c r="H289" s="4" t="inlineStr">
        <is>
          <t>Needs raster support</t>
        </is>
      </c>
      <c r="I289" s="4" t="n">
        <v>3</v>
      </c>
      <c r="J289" s="4" t="inlineStr"/>
      <c r="K289" s="4" t="inlineStr">
        <is>
          <t>Curated</t>
        </is>
      </c>
      <c r="L289" s="4" t="n">
        <v>2000</v>
      </c>
      <c r="M289" s="4" t="inlineStr">
        <is>
          <t>unknown</t>
        </is>
      </c>
      <c r="N289" s="4" t="inlineStr">
        <is>
          <t>2026-10-22</t>
        </is>
      </c>
      <c r="O289" s="14" t="inlineStr">
        <is>
          <t>pass</t>
        </is>
      </c>
      <c r="P289" s="14" t="inlineStr">
        <is>
          <t>pass</t>
        </is>
      </c>
      <c r="Q289" s="14" t="inlineStr">
        <is>
          <t>pass</t>
        </is>
      </c>
      <c r="R289" s="14" t="inlineStr">
        <is>
          <t>pass</t>
        </is>
      </c>
      <c r="S289" s="14" t="inlineStr">
        <is>
          <t>pass</t>
        </is>
      </c>
      <c r="T289" s="14" t="inlineStr">
        <is>
          <t>pass</t>
        </is>
      </c>
      <c r="U289" s="16" t="inlineStr">
        <is>
          <t>warn</t>
        </is>
      </c>
      <c r="V289" s="14" t="inlineStr">
        <is>
          <t>pass</t>
        </is>
      </c>
      <c r="W289" s="14" t="inlineStr">
        <is>
          <t>pass</t>
        </is>
      </c>
      <c r="X289" s="14" t="inlineStr">
        <is>
          <t>pass</t>
        </is>
      </c>
      <c r="Y289" s="18" t="inlineStr">
        <is>
          <t>fail</t>
        </is>
      </c>
      <c r="Z289" s="14" t="inlineStr">
        <is>
          <t>pass</t>
        </is>
      </c>
      <c r="AA289" s="16" t="inlineStr">
        <is>
          <t>warn</t>
        </is>
      </c>
      <c r="AB289" s="15" t="inlineStr">
        <is>
          <t>not_checked</t>
        </is>
      </c>
      <c r="AC289" s="14" t="inlineStr">
        <is>
          <t>pass</t>
        </is>
      </c>
      <c r="AD289" s="15" t="inlineStr">
        <is>
          <t>not_checked</t>
        </is>
      </c>
      <c r="AE289" s="14" t="inlineStr">
        <is>
          <t>pass</t>
        </is>
      </c>
      <c r="AF289" s="16" t="inlineStr">
        <is>
          <t>warn</t>
        </is>
      </c>
      <c r="AG289" s="15" t="inlineStr">
        <is>
          <t>not_checked</t>
        </is>
      </c>
      <c r="AH289" s="15" t="inlineStr">
        <is>
          <t>not_checked</t>
        </is>
      </c>
      <c r="AI289" s="15" t="inlineStr">
        <is>
          <t>n.a.</t>
        </is>
      </c>
      <c r="AJ289" s="15" t="inlineStr">
        <is>
          <t>n.a.</t>
        </is>
      </c>
      <c r="AK289" s="4" t="inlineStr">
        <is>
          <t>license;format_match(warn);recency(warn);access(warn)</t>
        </is>
      </c>
      <c r="AL289" s="17" t="inlineStr">
        <is>
          <t>https://data.nasa.gov/dataset/anthropogenic-biomes-of-the-world-version-2-2000</t>
        </is>
      </c>
      <c r="AM289" s="4" t="inlineStr">
        <is>
          <t>global_sedac_anthropogenic_biomes_v2</t>
        </is>
      </c>
    </row>
    <row r="290">
      <c r="A290" s="4" t="inlineStr">
        <is>
          <t>CANUE environmental exposure data (postal-code indexed)</t>
        </is>
      </c>
      <c r="B290" s="20" t="inlineStr">
        <is>
          <t>Bronze</t>
        </is>
      </c>
      <c r="C290" s="4" t="n">
        <v>66</v>
      </c>
      <c r="D290" s="4" t="inlineStr">
        <is>
          <t>environment</t>
        </is>
      </c>
      <c r="E290" s="4" t="inlineStr">
        <is>
          <t>healthy</t>
        </is>
      </c>
      <c r="F290" s="4" t="inlineStr">
        <is>
          <t>restricted</t>
        </is>
      </c>
      <c r="G290" s="4" t="inlineStr">
        <is>
          <t>zip (Canadian postal code)</t>
        </is>
      </c>
      <c r="H290" s="4" t="inlineStr">
        <is>
          <t>Joins today</t>
        </is>
      </c>
      <c r="I290" s="4" t="n">
        <v>3</v>
      </c>
      <c r="J290" s="4" t="inlineStr"/>
      <c r="K290" s="4" t="inlineStr">
        <is>
          <t>Curated</t>
        </is>
      </c>
      <c r="L290" s="4" t="inlineStr"/>
      <c r="M290" s="4" t="inlineStr">
        <is>
          <t>restricted</t>
        </is>
      </c>
      <c r="N290" s="4" t="inlineStr">
        <is>
          <t>2026-10-22</t>
        </is>
      </c>
      <c r="O290" s="14" t="inlineStr">
        <is>
          <t>pass</t>
        </is>
      </c>
      <c r="P290" s="14" t="inlineStr">
        <is>
          <t>pass</t>
        </is>
      </c>
      <c r="Q290" s="14" t="inlineStr">
        <is>
          <t>pass</t>
        </is>
      </c>
      <c r="R290" s="14" t="inlineStr">
        <is>
          <t>pass</t>
        </is>
      </c>
      <c r="S290" s="14" t="inlineStr">
        <is>
          <t>pass</t>
        </is>
      </c>
      <c r="T290" s="14" t="inlineStr">
        <is>
          <t>pass</t>
        </is>
      </c>
      <c r="U290" s="16" t="inlineStr">
        <is>
          <t>warn</t>
        </is>
      </c>
      <c r="V290" s="16" t="inlineStr">
        <is>
          <t>warn</t>
        </is>
      </c>
      <c r="W290" s="16" t="inlineStr">
        <is>
          <t>warn</t>
        </is>
      </c>
      <c r="X290" s="14" t="inlineStr">
        <is>
          <t>pass</t>
        </is>
      </c>
      <c r="Y290" s="18" t="inlineStr">
        <is>
          <t>fail</t>
        </is>
      </c>
      <c r="Z290" s="15" t="inlineStr">
        <is>
          <t>not_checked</t>
        </is>
      </c>
      <c r="AA290" s="15" t="inlineStr">
        <is>
          <t>not_checked</t>
        </is>
      </c>
      <c r="AB290" s="15" t="inlineStr">
        <is>
          <t>not_checked</t>
        </is>
      </c>
      <c r="AC290" s="15" t="inlineStr">
        <is>
          <t>not_checked</t>
        </is>
      </c>
      <c r="AD290" s="14" t="inlineStr">
        <is>
          <t>pass</t>
        </is>
      </c>
      <c r="AE290" s="14" t="inlineStr">
        <is>
          <t>pass</t>
        </is>
      </c>
      <c r="AF290" s="18" t="inlineStr">
        <is>
          <t>fail</t>
        </is>
      </c>
      <c r="AG290" s="16" t="inlineStr">
        <is>
          <t>warn</t>
        </is>
      </c>
      <c r="AH290" s="15" t="inlineStr">
        <is>
          <t>not_checked</t>
        </is>
      </c>
      <c r="AI290" s="15" t="inlineStr">
        <is>
          <t>n.a.</t>
        </is>
      </c>
      <c r="AJ290" s="15" t="inlineStr">
        <is>
          <t>n.a.</t>
        </is>
      </c>
      <c r="AK290" s="4" t="inlineStr">
        <is>
          <t>license;access;format_match(warn);machine_metadata(warn);persistent_id(warn);join_key(warn)</t>
        </is>
      </c>
      <c r="AL290" s="17" t="inlineStr">
        <is>
          <t>https://canue.ca/data-tools/canue-data/</t>
        </is>
      </c>
      <c r="AM290" s="4" t="inlineStr">
        <is>
          <t>ca_canue</t>
        </is>
      </c>
    </row>
    <row r="291">
      <c r="A291" s="4" t="inlineStr">
        <is>
          <t>Daily wildfire smoke PM2.5 for the contiguous US (Childs et al.), 10 km grid, county, tract and ZIP</t>
        </is>
      </c>
      <c r="B291" s="20" t="inlineStr">
        <is>
          <t>Bronze</t>
        </is>
      </c>
      <c r="C291" s="4" t="n">
        <v>84</v>
      </c>
      <c r="D291" s="4" t="inlineStr">
        <is>
          <t>environment</t>
        </is>
      </c>
      <c r="E291" s="4" t="inlineStr">
        <is>
          <t>healthy</t>
        </is>
      </c>
      <c r="F291" s="4" t="inlineStr">
        <is>
          <t>unknown</t>
        </is>
      </c>
      <c r="G291" s="4" t="inlineStr">
        <is>
          <t>grid_10km</t>
        </is>
      </c>
      <c r="H291" s="4" t="inlineStr">
        <is>
          <t>Needs raster support</t>
        </is>
      </c>
      <c r="I291" s="4" t="n">
        <v>3</v>
      </c>
      <c r="J291" s="4" t="inlineStr"/>
      <c r="K291" s="4" t="inlineStr">
        <is>
          <t>Curated</t>
        </is>
      </c>
      <c r="L291" s="4" t="n">
        <v>2023</v>
      </c>
      <c r="M291" s="4" t="inlineStr">
        <is>
          <t>open</t>
        </is>
      </c>
      <c r="N291" s="4" t="inlineStr">
        <is>
          <t>2026-10-22</t>
        </is>
      </c>
      <c r="O291" s="14" t="inlineStr">
        <is>
          <t>pass</t>
        </is>
      </c>
      <c r="P291" s="14" t="inlineStr">
        <is>
          <t>pass</t>
        </is>
      </c>
      <c r="Q291" s="14" t="inlineStr">
        <is>
          <t>pass</t>
        </is>
      </c>
      <c r="R291" s="14" t="inlineStr">
        <is>
          <t>pass</t>
        </is>
      </c>
      <c r="S291" s="14" t="inlineStr">
        <is>
          <t>pass</t>
        </is>
      </c>
      <c r="T291" s="14" t="inlineStr">
        <is>
          <t>pass</t>
        </is>
      </c>
      <c r="U291" s="16" t="inlineStr">
        <is>
          <t>warn</t>
        </is>
      </c>
      <c r="V291" s="16" t="inlineStr">
        <is>
          <t>warn</t>
        </is>
      </c>
      <c r="W291" s="16" t="inlineStr">
        <is>
          <t>warn</t>
        </is>
      </c>
      <c r="X291" s="14" t="inlineStr">
        <is>
          <t>pass</t>
        </is>
      </c>
      <c r="Y291" s="18" t="inlineStr">
        <is>
          <t>fail</t>
        </is>
      </c>
      <c r="Z291" s="14" t="inlineStr">
        <is>
          <t>pass</t>
        </is>
      </c>
      <c r="AA291" s="14" t="inlineStr">
        <is>
          <t>pass</t>
        </is>
      </c>
      <c r="AB291" s="16" t="inlineStr">
        <is>
          <t>warn</t>
        </is>
      </c>
      <c r="AC291" s="14" t="inlineStr">
        <is>
          <t>pass</t>
        </is>
      </c>
      <c r="AD291" s="14" t="inlineStr">
        <is>
          <t>pass</t>
        </is>
      </c>
      <c r="AE291" s="14" t="inlineStr">
        <is>
          <t>pass</t>
        </is>
      </c>
      <c r="AF291" s="14" t="inlineStr">
        <is>
          <t>pass</t>
        </is>
      </c>
      <c r="AG291" s="14" t="inlineStr">
        <is>
          <t>pass</t>
        </is>
      </c>
      <c r="AH291" s="14" t="inlineStr">
        <is>
          <t>pass</t>
        </is>
      </c>
      <c r="AI291" s="15" t="inlineStr">
        <is>
          <t>n.a.</t>
        </is>
      </c>
      <c r="AJ291" s="15" t="inlineStr">
        <is>
          <t>n.a.</t>
        </is>
      </c>
      <c r="AK291" s="4" t="inlineStr">
        <is>
          <t>license;format_match(warn);machine_metadata(warn);persistent_id(warn);cadence(warn)</t>
        </is>
      </c>
      <c r="AL291" s="17" t="inlineStr">
        <is>
          <t>https://www.stanfordecholab.com/wildfire_smoke</t>
        </is>
      </c>
      <c r="AM291" s="4" t="inlineStr">
        <is>
          <t>us_stanford_echolab_wildfire_smoke_pm25</t>
        </is>
      </c>
    </row>
    <row r="292">
      <c r="A292" s="4" t="inlineStr">
        <is>
          <t>EnviroAtlas (pointer: green space and tree cover metrics)</t>
        </is>
      </c>
      <c r="B292" s="19" t="inlineStr">
        <is>
          <t>Silver</t>
        </is>
      </c>
      <c r="C292" s="4" t="n">
        <v>92</v>
      </c>
      <c r="D292" s="4" t="inlineStr">
        <is>
          <t>environment</t>
        </is>
      </c>
      <c r="E292" s="4" t="inlineStr">
        <is>
          <t>healthy</t>
        </is>
      </c>
      <c r="F292" s="4" t="inlineStr">
        <is>
          <t>public_domain_us_federal</t>
        </is>
      </c>
      <c r="G292" s="4" t="inlineStr">
        <is>
          <t>grid_1m</t>
        </is>
      </c>
      <c r="H292" s="4" t="inlineStr">
        <is>
          <t>Needs raster support</t>
        </is>
      </c>
      <c r="I292" s="4" t="n">
        <v>3</v>
      </c>
      <c r="J292" s="4" t="inlineStr"/>
      <c r="K292" s="4" t="inlineStr">
        <is>
          <t>Curated</t>
        </is>
      </c>
      <c r="L292" s="4" t="n">
        <v>2020</v>
      </c>
      <c r="M292" s="4" t="inlineStr">
        <is>
          <t>open</t>
        </is>
      </c>
      <c r="N292" s="4" t="inlineStr">
        <is>
          <t>2026-10-29</t>
        </is>
      </c>
      <c r="O292" s="14" t="inlineStr">
        <is>
          <t>pass</t>
        </is>
      </c>
      <c r="P292" s="14" t="inlineStr">
        <is>
          <t>pass</t>
        </is>
      </c>
      <c r="Q292" s="14" t="inlineStr">
        <is>
          <t>pass</t>
        </is>
      </c>
      <c r="R292" s="14" t="inlineStr">
        <is>
          <t>pass</t>
        </is>
      </c>
      <c r="S292" s="14" t="inlineStr">
        <is>
          <t>pass</t>
        </is>
      </c>
      <c r="T292" s="14" t="inlineStr">
        <is>
          <t>pass</t>
        </is>
      </c>
      <c r="U292" s="14" t="inlineStr">
        <is>
          <t>pass</t>
        </is>
      </c>
      <c r="V292" s="16" t="inlineStr">
        <is>
          <t>warn</t>
        </is>
      </c>
      <c r="W292" s="16" t="inlineStr">
        <is>
          <t>warn</t>
        </is>
      </c>
      <c r="X292" s="14" t="inlineStr">
        <is>
          <t>pass</t>
        </is>
      </c>
      <c r="Y292" s="14" t="inlineStr">
        <is>
          <t>pass</t>
        </is>
      </c>
      <c r="Z292" s="15" t="inlineStr">
        <is>
          <t>not_checked</t>
        </is>
      </c>
      <c r="AA292" s="15" t="inlineStr">
        <is>
          <t>not_checked</t>
        </is>
      </c>
      <c r="AB292" s="15" t="inlineStr">
        <is>
          <t>not_checked</t>
        </is>
      </c>
      <c r="AC292" s="15" t="inlineStr">
        <is>
          <t>not_checked</t>
        </is>
      </c>
      <c r="AD292" s="14" t="inlineStr">
        <is>
          <t>pass</t>
        </is>
      </c>
      <c r="AE292" s="14" t="inlineStr">
        <is>
          <t>pass</t>
        </is>
      </c>
      <c r="AF292" s="14" t="inlineStr">
        <is>
          <t>pass</t>
        </is>
      </c>
      <c r="AG292" s="16" t="inlineStr">
        <is>
          <t>warn</t>
        </is>
      </c>
      <c r="AH292" s="15" t="inlineStr">
        <is>
          <t>not_checked</t>
        </is>
      </c>
      <c r="AI292" s="15" t="inlineStr">
        <is>
          <t>n.a.</t>
        </is>
      </c>
      <c r="AJ292" s="15" t="inlineStr">
        <is>
          <t>n.a.</t>
        </is>
      </c>
      <c r="AK292" s="4" t="inlineStr">
        <is>
          <t>machine_metadata(warn);persistent_id(warn);join_key(warn)</t>
        </is>
      </c>
      <c r="AL292" s="17" t="inlineStr">
        <is>
          <t>https://www.epa.gov/enviroatlas/enviroatlas-data</t>
        </is>
      </c>
      <c r="AM292" s="4" t="inlineStr">
        <is>
          <t>us_epa_enviroatlas</t>
        </is>
      </c>
    </row>
    <row r="293">
      <c r="A293" s="4" t="inlineStr">
        <is>
          <t>EnviroAtlas National Data (metric tables by HUC12, county, tract, block group)</t>
        </is>
      </c>
      <c r="B293" s="19" t="inlineStr">
        <is>
          <t>Silver</t>
        </is>
      </c>
      <c r="C293" s="4" t="n">
        <v>94</v>
      </c>
      <c r="D293" s="4" t="inlineStr">
        <is>
          <t>environment</t>
        </is>
      </c>
      <c r="E293" s="4" t="inlineStr">
        <is>
          <t>healthy</t>
        </is>
      </c>
      <c r="F293" s="4" t="inlineStr">
        <is>
          <t>public_domain_us_federal</t>
        </is>
      </c>
      <c r="G293" s="4" t="inlineStr">
        <is>
          <t>block_group</t>
        </is>
      </c>
      <c r="H293" s="4" t="inlineStr">
        <is>
          <t>Joins today</t>
        </is>
      </c>
      <c r="I293" s="4" t="n">
        <v>3</v>
      </c>
      <c r="J293" s="4" t="inlineStr"/>
      <c r="K293" s="4" t="inlineStr">
        <is>
          <t>Curated</t>
        </is>
      </c>
      <c r="L293" s="4" t="n">
        <v>2025</v>
      </c>
      <c r="M293" s="4" t="inlineStr">
        <is>
          <t>open</t>
        </is>
      </c>
      <c r="N293" s="4" t="inlineStr">
        <is>
          <t>2026-10-29</t>
        </is>
      </c>
      <c r="O293" s="14" t="inlineStr">
        <is>
          <t>pass</t>
        </is>
      </c>
      <c r="P293" s="14" t="inlineStr">
        <is>
          <t>pass</t>
        </is>
      </c>
      <c r="Q293" s="14" t="inlineStr">
        <is>
          <t>pass</t>
        </is>
      </c>
      <c r="R293" s="14" t="inlineStr">
        <is>
          <t>pass</t>
        </is>
      </c>
      <c r="S293" s="14" t="inlineStr">
        <is>
          <t>pass</t>
        </is>
      </c>
      <c r="T293" s="14" t="inlineStr">
        <is>
          <t>pass</t>
        </is>
      </c>
      <c r="U293" s="16" t="inlineStr">
        <is>
          <t>warn</t>
        </is>
      </c>
      <c r="V293" s="16" t="inlineStr">
        <is>
          <t>warn</t>
        </is>
      </c>
      <c r="W293" s="16" t="inlineStr">
        <is>
          <t>warn</t>
        </is>
      </c>
      <c r="X293" s="14" t="inlineStr">
        <is>
          <t>pass</t>
        </is>
      </c>
      <c r="Y293" s="14" t="inlineStr">
        <is>
          <t>pass</t>
        </is>
      </c>
      <c r="Z293" s="16" t="inlineStr">
        <is>
          <t>warn</t>
        </is>
      </c>
      <c r="AA293" s="14" t="inlineStr">
        <is>
          <t>pass</t>
        </is>
      </c>
      <c r="AB293" s="15" t="inlineStr">
        <is>
          <t>not_checked</t>
        </is>
      </c>
      <c r="AC293" s="16" t="inlineStr">
        <is>
          <t>warn</t>
        </is>
      </c>
      <c r="AD293" s="14" t="inlineStr">
        <is>
          <t>pass</t>
        </is>
      </c>
      <c r="AE293" s="14" t="inlineStr">
        <is>
          <t>pass</t>
        </is>
      </c>
      <c r="AF293" s="14" t="inlineStr">
        <is>
          <t>pass</t>
        </is>
      </c>
      <c r="AG293" s="14" t="inlineStr">
        <is>
          <t>pass</t>
        </is>
      </c>
      <c r="AH293" s="14" t="inlineStr">
        <is>
          <t>pass</t>
        </is>
      </c>
      <c r="AI293" s="15" t="inlineStr">
        <is>
          <t>n.a.</t>
        </is>
      </c>
      <c r="AJ293" s="15" t="inlineStr">
        <is>
          <t>n.a.</t>
        </is>
      </c>
      <c r="AK293" s="4" t="inlineStr">
        <is>
          <t>format_match(warn);machine_metadata(warn);persistent_id(warn);temporal(warn);version(warn)</t>
        </is>
      </c>
      <c r="AL293" s="17" t="inlineStr">
        <is>
          <t>https://www.epa.gov/enviroatlas/data-download</t>
        </is>
      </c>
      <c r="AM293" s="4" t="inlineStr">
        <is>
          <t>us_epa_enviroatlas_national</t>
        </is>
      </c>
    </row>
    <row r="294">
      <c r="A294" s="4" t="inlineStr">
        <is>
          <t>ESA WorldCereal global temporary crop extent, crop type (maize, cereals) and irrigation maps 10 m</t>
        </is>
      </c>
      <c r="B294" s="20" t="inlineStr">
        <is>
          <t>Bronze</t>
        </is>
      </c>
      <c r="C294" s="4" t="n">
        <v>73</v>
      </c>
      <c r="D294" s="4" t="inlineStr">
        <is>
          <t>environment</t>
        </is>
      </c>
      <c r="E294" s="4" t="inlineStr">
        <is>
          <t>degraded</t>
        </is>
      </c>
      <c r="F294" s="4" t="inlineStr">
        <is>
          <t>unknown</t>
        </is>
      </c>
      <c r="G294" s="4" t="inlineStr">
        <is>
          <t>grid_10m</t>
        </is>
      </c>
      <c r="H294" s="4" t="inlineStr">
        <is>
          <t>Needs raster support</t>
        </is>
      </c>
      <c r="I294" s="4" t="n">
        <v>3</v>
      </c>
      <c r="J294" s="4" t="inlineStr"/>
      <c r="K294" s="4" t="inlineStr">
        <is>
          <t>Curated</t>
        </is>
      </c>
      <c r="L294" s="4" t="n">
        <v>2021</v>
      </c>
      <c r="M294" s="4" t="inlineStr">
        <is>
          <t>open</t>
        </is>
      </c>
      <c r="N294" s="4" t="inlineStr">
        <is>
          <t>2026-10-22</t>
        </is>
      </c>
      <c r="O294" s="14" t="inlineStr">
        <is>
          <t>pass</t>
        </is>
      </c>
      <c r="P294" s="14" t="inlineStr">
        <is>
          <t>pass</t>
        </is>
      </c>
      <c r="Q294" s="14" t="inlineStr">
        <is>
          <t>pass</t>
        </is>
      </c>
      <c r="R294" s="16" t="inlineStr">
        <is>
          <t>warn</t>
        </is>
      </c>
      <c r="S294" s="14" t="inlineStr">
        <is>
          <t>pass</t>
        </is>
      </c>
      <c r="T294" s="14" t="inlineStr">
        <is>
          <t>pass</t>
        </is>
      </c>
      <c r="U294" s="16" t="inlineStr">
        <is>
          <t>warn</t>
        </is>
      </c>
      <c r="V294" s="18" t="inlineStr">
        <is>
          <t>fail</t>
        </is>
      </c>
      <c r="W294" s="16" t="inlineStr">
        <is>
          <t>warn</t>
        </is>
      </c>
      <c r="X294" s="14" t="inlineStr">
        <is>
          <t>pass</t>
        </is>
      </c>
      <c r="Y294" s="18" t="inlineStr">
        <is>
          <t>fail</t>
        </is>
      </c>
      <c r="Z294" s="14" t="inlineStr">
        <is>
          <t>pass</t>
        </is>
      </c>
      <c r="AA294" s="14" t="inlineStr">
        <is>
          <t>pass</t>
        </is>
      </c>
      <c r="AB294" s="14" t="inlineStr">
        <is>
          <t>pass</t>
        </is>
      </c>
      <c r="AC294" s="16" t="inlineStr">
        <is>
          <t>warn</t>
        </is>
      </c>
      <c r="AD294" s="14" t="inlineStr">
        <is>
          <t>pass</t>
        </is>
      </c>
      <c r="AE294" s="14" t="inlineStr">
        <is>
          <t>pass</t>
        </is>
      </c>
      <c r="AF294" s="14" t="inlineStr">
        <is>
          <t>pass</t>
        </is>
      </c>
      <c r="AG294" s="16" t="inlineStr">
        <is>
          <t>warn</t>
        </is>
      </c>
      <c r="AH294" s="15" t="inlineStr">
        <is>
          <t>not_checked</t>
        </is>
      </c>
      <c r="AI294" s="15" t="inlineStr">
        <is>
          <t>n.a.</t>
        </is>
      </c>
      <c r="AJ294" s="15" t="inlineStr">
        <is>
          <t>n.a.</t>
        </is>
      </c>
      <c r="AK294" s="4" t="inlineStr">
        <is>
          <t>machine_metadata;license;soft404(warn);format_match(warn);persistent_id(warn);version(warn);join_key(warn)</t>
        </is>
      </c>
      <c r="AL294" s="17" t="inlineStr">
        <is>
          <t>https://esa-worldcereal.org/en</t>
        </is>
      </c>
      <c r="AM294" s="4" t="inlineStr">
        <is>
          <t>global_esa_worldcereal</t>
        </is>
      </c>
    </row>
    <row r="295">
      <c r="A295" s="4" t="inlineStr">
        <is>
          <t>European Air Quality Index</t>
        </is>
      </c>
      <c r="B295" s="20" t="inlineStr">
        <is>
          <t>Bronze</t>
        </is>
      </c>
      <c r="C295" s="4" t="n">
        <v>68</v>
      </c>
      <c r="D295" s="4" t="inlineStr">
        <is>
          <t>environment</t>
        </is>
      </c>
      <c r="E295" s="4" t="inlineStr">
        <is>
          <t>degraded</t>
        </is>
      </c>
      <c r="F295" s="4" t="inlineStr">
        <is>
          <t>unknown</t>
        </is>
      </c>
      <c r="G295" s="4" t="inlineStr">
        <is>
          <t>grid_1km (modelled layer); point (monitoring stations, &gt;3,500)</t>
        </is>
      </c>
      <c r="H295" s="4" t="inlineStr">
        <is>
          <t>Needs raster support</t>
        </is>
      </c>
      <c r="I295" s="4" t="n">
        <v>3</v>
      </c>
      <c r="J295" s="4" t="inlineStr"/>
      <c r="K295" s="4" t="inlineStr">
        <is>
          <t>Curated</t>
        </is>
      </c>
      <c r="L295" s="4" t="n">
        <v>2026</v>
      </c>
      <c r="M295" s="4" t="inlineStr">
        <is>
          <t>unknown</t>
        </is>
      </c>
      <c r="N295" s="4" t="inlineStr">
        <is>
          <t>2026-10-22</t>
        </is>
      </c>
      <c r="O295" s="14" t="inlineStr">
        <is>
          <t>pass</t>
        </is>
      </c>
      <c r="P295" s="14" t="inlineStr">
        <is>
          <t>pass</t>
        </is>
      </c>
      <c r="Q295" s="14" t="inlineStr">
        <is>
          <t>pass</t>
        </is>
      </c>
      <c r="R295" s="14" t="inlineStr">
        <is>
          <t>pass</t>
        </is>
      </c>
      <c r="S295" s="14" t="inlineStr">
        <is>
          <t>pass</t>
        </is>
      </c>
      <c r="T295" s="15" t="inlineStr">
        <is>
          <t>n.a.</t>
        </is>
      </c>
      <c r="U295" s="15" t="inlineStr">
        <is>
          <t>n.a.</t>
        </is>
      </c>
      <c r="V295" s="18" t="inlineStr">
        <is>
          <t>fail</t>
        </is>
      </c>
      <c r="W295" s="16" t="inlineStr">
        <is>
          <t>warn</t>
        </is>
      </c>
      <c r="X295" s="14" t="inlineStr">
        <is>
          <t>pass</t>
        </is>
      </c>
      <c r="Y295" s="18" t="inlineStr">
        <is>
          <t>fail</t>
        </is>
      </c>
      <c r="Z295" s="14" t="inlineStr">
        <is>
          <t>pass</t>
        </is>
      </c>
      <c r="AA295" s="14" t="inlineStr">
        <is>
          <t>pass</t>
        </is>
      </c>
      <c r="AB295" s="14" t="inlineStr">
        <is>
          <t>pass</t>
        </is>
      </c>
      <c r="AC295" s="15" t="inlineStr">
        <is>
          <t>not_checked</t>
        </is>
      </c>
      <c r="AD295" s="14" t="inlineStr">
        <is>
          <t>pass</t>
        </is>
      </c>
      <c r="AE295" s="14" t="inlineStr">
        <is>
          <t>pass</t>
        </is>
      </c>
      <c r="AF295" s="18" t="inlineStr">
        <is>
          <t>fail</t>
        </is>
      </c>
      <c r="AG295" s="16" t="inlineStr">
        <is>
          <t>warn</t>
        </is>
      </c>
      <c r="AH295" s="16" t="inlineStr">
        <is>
          <t>warn</t>
        </is>
      </c>
      <c r="AI295" s="15" t="inlineStr">
        <is>
          <t>n.a.</t>
        </is>
      </c>
      <c r="AJ295" s="15" t="inlineStr">
        <is>
          <t>n.a.</t>
        </is>
      </c>
      <c r="AK295" s="4" t="inlineStr">
        <is>
          <t>machine_metadata;license;access;persistent_id(warn);join_key(warn);format_gaia(warn)</t>
        </is>
      </c>
      <c r="AL295" s="17" t="inlineStr">
        <is>
          <t>https://airindex.eea.europa.eu/AQI/index.html</t>
        </is>
      </c>
      <c r="AM295" s="4" t="inlineStr">
        <is>
          <t>eu_eea_european_air_quality_index</t>
        </is>
      </c>
    </row>
    <row r="296">
      <c r="A296" s="4" t="inlineStr">
        <is>
          <t>GECCO (Geoscience and hEalth Cohort COnsortium) environmental exposure data</t>
        </is>
      </c>
      <c r="B296" s="20" t="inlineStr">
        <is>
          <t>Bronze</t>
        </is>
      </c>
      <c r="C296" s="4" t="n">
        <v>61</v>
      </c>
      <c r="D296" s="4" t="inlineStr">
        <is>
          <t>environment</t>
        </is>
      </c>
      <c r="E296" s="4" t="inlineStr">
        <is>
          <t>healthy</t>
        </is>
      </c>
      <c r="F296" s="4" t="inlineStr">
        <is>
          <t>restricted</t>
        </is>
      </c>
      <c r="G296" s="4" t="inlineStr">
        <is>
          <t>point</t>
        </is>
      </c>
      <c r="H296" s="4" t="inlineStr">
        <is>
          <t>Needs a count/distance step</t>
        </is>
      </c>
      <c r="I296" s="4" t="n">
        <v>3</v>
      </c>
      <c r="J296" s="4" t="inlineStr"/>
      <c r="K296" s="4" t="inlineStr">
        <is>
          <t>Curated</t>
        </is>
      </c>
      <c r="L296" s="4" t="inlineStr">
        <is>
          <t>current</t>
        </is>
      </c>
      <c r="M296" s="4" t="inlineStr">
        <is>
          <t>restricted</t>
        </is>
      </c>
      <c r="N296" s="4" t="inlineStr">
        <is>
          <t>2026-10-22</t>
        </is>
      </c>
      <c r="O296" s="14" t="inlineStr">
        <is>
          <t>pass</t>
        </is>
      </c>
      <c r="P296" s="14" t="inlineStr">
        <is>
          <t>pass</t>
        </is>
      </c>
      <c r="Q296" s="14" t="inlineStr">
        <is>
          <t>pass</t>
        </is>
      </c>
      <c r="R296" s="14" t="inlineStr">
        <is>
          <t>pass</t>
        </is>
      </c>
      <c r="S296" s="14" t="inlineStr">
        <is>
          <t>pass</t>
        </is>
      </c>
      <c r="T296" s="15" t="inlineStr">
        <is>
          <t>n.a.</t>
        </is>
      </c>
      <c r="U296" s="15" t="inlineStr">
        <is>
          <t>n.a.</t>
        </is>
      </c>
      <c r="V296" s="16" t="inlineStr">
        <is>
          <t>warn</t>
        </is>
      </c>
      <c r="W296" s="16" t="inlineStr">
        <is>
          <t>warn</t>
        </is>
      </c>
      <c r="X296" s="14" t="inlineStr">
        <is>
          <t>pass</t>
        </is>
      </c>
      <c r="Y296" s="18" t="inlineStr">
        <is>
          <t>fail</t>
        </is>
      </c>
      <c r="Z296" s="15" t="inlineStr">
        <is>
          <t>not_checked</t>
        </is>
      </c>
      <c r="AA296" s="15" t="inlineStr">
        <is>
          <t>not_checked</t>
        </is>
      </c>
      <c r="AB296" s="16" t="inlineStr">
        <is>
          <t>warn</t>
        </is>
      </c>
      <c r="AC296" s="15" t="inlineStr">
        <is>
          <t>not_checked</t>
        </is>
      </c>
      <c r="AD296" s="15" t="inlineStr">
        <is>
          <t>not_checked</t>
        </is>
      </c>
      <c r="AE296" s="14" t="inlineStr">
        <is>
          <t>pass</t>
        </is>
      </c>
      <c r="AF296" s="18" t="inlineStr">
        <is>
          <t>fail</t>
        </is>
      </c>
      <c r="AG296" s="15" t="inlineStr">
        <is>
          <t>not_checked</t>
        </is>
      </c>
      <c r="AH296" s="15" t="inlineStr">
        <is>
          <t>not_checked</t>
        </is>
      </c>
      <c r="AI296" s="15" t="inlineStr">
        <is>
          <t>n.a.</t>
        </is>
      </c>
      <c r="AJ296" s="15" t="inlineStr">
        <is>
          <t>n.a.</t>
        </is>
      </c>
      <c r="AK296" s="4" t="inlineStr">
        <is>
          <t>license;access;machine_metadata(warn);persistent_id(warn);cadence(warn)</t>
        </is>
      </c>
      <c r="AL296" s="17" t="inlineStr">
        <is>
          <t>https://www.gecco.nl/</t>
        </is>
      </c>
      <c r="AM296" s="4" t="inlineStr">
        <is>
          <t>nl_gecco</t>
        </is>
      </c>
    </row>
    <row r="297">
      <c r="A297" s="4" t="inlineStr">
        <is>
          <t>Global Annual PM2.5 Grids from MODIS, MISR, SeaWiFS and VIIRS Aerosol Optical Depth (AOD), 1998-2022, V5.GL.04</t>
        </is>
      </c>
      <c r="B297" s="20" t="inlineStr">
        <is>
          <t>Bronze</t>
        </is>
      </c>
      <c r="C297" s="4" t="n">
        <v>85</v>
      </c>
      <c r="D297" s="4" t="inlineStr">
        <is>
          <t>environment</t>
        </is>
      </c>
      <c r="E297" s="4" t="inlineStr">
        <is>
          <t>healthy</t>
        </is>
      </c>
      <c r="F297" s="4" t="inlineStr">
        <is>
          <t>unknown</t>
        </is>
      </c>
      <c r="G297" s="4" t="inlineStr">
        <is>
          <t>grid_0.01deg</t>
        </is>
      </c>
      <c r="H297" s="4" t="inlineStr">
        <is>
          <t>Needs raster support</t>
        </is>
      </c>
      <c r="I297" s="4" t="n">
        <v>3</v>
      </c>
      <c r="J297" s="4" t="inlineStr"/>
      <c r="K297" s="4" t="inlineStr">
        <is>
          <t>Curated</t>
        </is>
      </c>
      <c r="L297" s="4" t="n">
        <v>2022</v>
      </c>
      <c r="M297" s="4" t="inlineStr">
        <is>
          <t>registration</t>
        </is>
      </c>
      <c r="N297" s="4" t="inlineStr">
        <is>
          <t>2026-10-22</t>
        </is>
      </c>
      <c r="O297" s="14" t="inlineStr">
        <is>
          <t>pass</t>
        </is>
      </c>
      <c r="P297" s="14" t="inlineStr">
        <is>
          <t>pass</t>
        </is>
      </c>
      <c r="Q297" s="14" t="inlineStr">
        <is>
          <t>pass</t>
        </is>
      </c>
      <c r="R297" s="14" t="inlineStr">
        <is>
          <t>pass</t>
        </is>
      </c>
      <c r="S297" s="14" t="inlineStr">
        <is>
          <t>pass</t>
        </is>
      </c>
      <c r="T297" s="14" t="inlineStr">
        <is>
          <t>pass</t>
        </is>
      </c>
      <c r="U297" s="16" t="inlineStr">
        <is>
          <t>warn</t>
        </is>
      </c>
      <c r="V297" s="14" t="inlineStr">
        <is>
          <t>pass</t>
        </is>
      </c>
      <c r="W297" s="14" t="inlineStr">
        <is>
          <t>pass</t>
        </is>
      </c>
      <c r="X297" s="14" t="inlineStr">
        <is>
          <t>pass</t>
        </is>
      </c>
      <c r="Y297" s="18" t="inlineStr">
        <is>
          <t>fail</t>
        </is>
      </c>
      <c r="Z297" s="14" t="inlineStr">
        <is>
          <t>pass</t>
        </is>
      </c>
      <c r="AA297" s="14" t="inlineStr">
        <is>
          <t>pass</t>
        </is>
      </c>
      <c r="AB297" s="15" t="inlineStr">
        <is>
          <t>not_checked</t>
        </is>
      </c>
      <c r="AC297" s="14" t="inlineStr">
        <is>
          <t>pass</t>
        </is>
      </c>
      <c r="AD297" s="14" t="inlineStr">
        <is>
          <t>pass</t>
        </is>
      </c>
      <c r="AE297" s="14" t="inlineStr">
        <is>
          <t>pass</t>
        </is>
      </c>
      <c r="AF297" s="15" t="inlineStr">
        <is>
          <t>not_checked</t>
        </is>
      </c>
      <c r="AG297" s="14" t="inlineStr">
        <is>
          <t>pass</t>
        </is>
      </c>
      <c r="AH297" s="14" t="inlineStr">
        <is>
          <t>pass</t>
        </is>
      </c>
      <c r="AI297" s="15" t="inlineStr">
        <is>
          <t>n.a.</t>
        </is>
      </c>
      <c r="AJ297" s="15" t="inlineStr">
        <is>
          <t>n.a.</t>
        </is>
      </c>
      <c r="AK297" s="4" t="inlineStr">
        <is>
          <t>license;format_match(warn)</t>
        </is>
      </c>
      <c r="AL297" s="17" t="inlineStr">
        <is>
          <t>https://data.nasa.gov/dataset/global-annual-pm2-5-grids-from-modis-misr-seawifs-and-viirs-aerosol-optical-depth-aod-1998</t>
        </is>
      </c>
      <c r="AM297" s="4" t="inlineStr">
        <is>
          <t>global_sedac_annual_pm25_grids_v5gl04</t>
        </is>
      </c>
    </row>
    <row r="298">
      <c r="A298" s="4" t="inlineStr">
        <is>
          <t>GRACE/GRACE-FO Monthly Mass Grids - Global Mascons (JPL RL06.3M v04, CRI filtered)</t>
        </is>
      </c>
      <c r="B298" s="19" t="inlineStr">
        <is>
          <t>Silver</t>
        </is>
      </c>
      <c r="C298" s="4" t="n">
        <v>85</v>
      </c>
      <c r="D298" s="4" t="inlineStr">
        <is>
          <t>environment</t>
        </is>
      </c>
      <c r="E298" s="4" t="inlineStr">
        <is>
          <t>healthy</t>
        </is>
      </c>
      <c r="F298" s="4" t="inlineStr">
        <is>
          <t>public_domain_us_federal</t>
        </is>
      </c>
      <c r="G298" s="4" t="inlineStr">
        <is>
          <t>grid_0.5deg</t>
        </is>
      </c>
      <c r="H298" s="4" t="inlineStr">
        <is>
          <t>Needs raster support</t>
        </is>
      </c>
      <c r="I298" s="4" t="n">
        <v>3</v>
      </c>
      <c r="J298" s="4" t="inlineStr"/>
      <c r="K298" s="4" t="inlineStr">
        <is>
          <t>Curated</t>
        </is>
      </c>
      <c r="L298" s="4" t="n">
        <v>2026</v>
      </c>
      <c r="M298" s="4" t="inlineStr">
        <is>
          <t>open</t>
        </is>
      </c>
      <c r="N298" s="4" t="inlineStr">
        <is>
          <t>2026-10-29</t>
        </is>
      </c>
      <c r="O298" s="14" t="inlineStr">
        <is>
          <t>pass</t>
        </is>
      </c>
      <c r="P298" s="14" t="inlineStr">
        <is>
          <t>pass</t>
        </is>
      </c>
      <c r="Q298" s="14" t="inlineStr">
        <is>
          <t>pass</t>
        </is>
      </c>
      <c r="R298" s="14" t="inlineStr">
        <is>
          <t>pass</t>
        </is>
      </c>
      <c r="S298" s="14" t="inlineStr">
        <is>
          <t>pass</t>
        </is>
      </c>
      <c r="T298" s="16" t="inlineStr">
        <is>
          <t>warn</t>
        </is>
      </c>
      <c r="U298" s="15" t="inlineStr">
        <is>
          <t>n.a.</t>
        </is>
      </c>
      <c r="V298" s="16" t="inlineStr">
        <is>
          <t>warn</t>
        </is>
      </c>
      <c r="W298" s="14" t="inlineStr">
        <is>
          <t>pass</t>
        </is>
      </c>
      <c r="X298" s="14" t="inlineStr">
        <is>
          <t>pass</t>
        </is>
      </c>
      <c r="Y298" s="14" t="inlineStr">
        <is>
          <t>pass</t>
        </is>
      </c>
      <c r="Z298" s="16" t="inlineStr">
        <is>
          <t>warn</t>
        </is>
      </c>
      <c r="AA298" s="14" t="inlineStr">
        <is>
          <t>pass</t>
        </is>
      </c>
      <c r="AB298" s="16" t="inlineStr">
        <is>
          <t>warn</t>
        </is>
      </c>
      <c r="AC298" s="14" t="inlineStr">
        <is>
          <t>pass</t>
        </is>
      </c>
      <c r="AD298" s="14" t="inlineStr">
        <is>
          <t>pass</t>
        </is>
      </c>
      <c r="AE298" s="14" t="inlineStr">
        <is>
          <t>pass</t>
        </is>
      </c>
      <c r="AF298" s="16" t="inlineStr">
        <is>
          <t>warn</t>
        </is>
      </c>
      <c r="AG298" s="16" t="inlineStr">
        <is>
          <t>warn</t>
        </is>
      </c>
      <c r="AH298" s="14" t="inlineStr">
        <is>
          <t>pass</t>
        </is>
      </c>
      <c r="AI298" s="15" t="inlineStr">
        <is>
          <t>n.a.</t>
        </is>
      </c>
      <c r="AJ298" s="15" t="inlineStr">
        <is>
          <t>n.a.</t>
        </is>
      </c>
      <c r="AK298" s="4" t="inlineStr">
        <is>
          <t>access_url(warn);machine_metadata(warn);temporal(warn);cadence(warn);access(warn);join_key(warn)</t>
        </is>
      </c>
      <c r="AL298" s="17" t="inlineStr">
        <is>
          <t>https://grace.jpl.nasa.gov/data/get-data/jpl_global_mascons/</t>
        </is>
      </c>
      <c r="AM298" s="4" t="inlineStr">
        <is>
          <t>global_nasa_grace_jpl_mascons</t>
        </is>
      </c>
    </row>
    <row r="299">
      <c r="A299" s="4" t="inlineStr">
        <is>
          <t>Green Book Nonattainment Areas data download</t>
        </is>
      </c>
      <c r="B299" s="13" t="inlineStr">
        <is>
          <t>Gold</t>
        </is>
      </c>
      <c r="C299" s="4" t="n">
        <v>93</v>
      </c>
      <c r="D299" s="4" t="inlineStr">
        <is>
          <t>environment</t>
        </is>
      </c>
      <c r="E299" s="4" t="inlineStr">
        <is>
          <t>healthy</t>
        </is>
      </c>
      <c r="F299" s="4" t="inlineStr">
        <is>
          <t>public_domain_us_federal</t>
        </is>
      </c>
      <c r="G299" s="4" t="inlineStr">
        <is>
          <t>county</t>
        </is>
      </c>
      <c r="H299" s="4" t="inlineStr">
        <is>
          <t>Joins today</t>
        </is>
      </c>
      <c r="I299" s="4" t="n">
        <v>3</v>
      </c>
      <c r="J299" s="4" t="inlineStr"/>
      <c r="K299" s="4" t="inlineStr">
        <is>
          <t>Curated</t>
        </is>
      </c>
      <c r="L299" s="4" t="n">
        <v>2026</v>
      </c>
      <c r="M299" s="4" t="inlineStr">
        <is>
          <t>open</t>
        </is>
      </c>
      <c r="N299" s="4" t="inlineStr">
        <is>
          <t>2026-10-29</t>
        </is>
      </c>
      <c r="O299" s="14" t="inlineStr">
        <is>
          <t>pass</t>
        </is>
      </c>
      <c r="P299" s="14" t="inlineStr">
        <is>
          <t>pass</t>
        </is>
      </c>
      <c r="Q299" s="14" t="inlineStr">
        <is>
          <t>pass</t>
        </is>
      </c>
      <c r="R299" s="14" t="inlineStr">
        <is>
          <t>pass</t>
        </is>
      </c>
      <c r="S299" s="14" t="inlineStr">
        <is>
          <t>pass</t>
        </is>
      </c>
      <c r="T299" s="14" t="inlineStr">
        <is>
          <t>pass</t>
        </is>
      </c>
      <c r="U299" s="16" t="inlineStr">
        <is>
          <t>warn</t>
        </is>
      </c>
      <c r="V299" s="16" t="inlineStr">
        <is>
          <t>warn</t>
        </is>
      </c>
      <c r="W299" s="16" t="inlineStr">
        <is>
          <t>warn</t>
        </is>
      </c>
      <c r="X299" s="14" t="inlineStr">
        <is>
          <t>pass</t>
        </is>
      </c>
      <c r="Y299" s="14" t="inlineStr">
        <is>
          <t>pass</t>
        </is>
      </c>
      <c r="Z299" s="14" t="inlineStr">
        <is>
          <t>pass</t>
        </is>
      </c>
      <c r="AA299" s="14" t="inlineStr">
        <is>
          <t>pass</t>
        </is>
      </c>
      <c r="AB299" s="16" t="inlineStr">
        <is>
          <t>warn</t>
        </is>
      </c>
      <c r="AC299" s="15" t="inlineStr">
        <is>
          <t>not_checked</t>
        </is>
      </c>
      <c r="AD299" s="14" t="inlineStr">
        <is>
          <t>pass</t>
        </is>
      </c>
      <c r="AE299" s="15" t="inlineStr">
        <is>
          <t>not_checked</t>
        </is>
      </c>
      <c r="AF299" s="14" t="inlineStr">
        <is>
          <t>pass</t>
        </is>
      </c>
      <c r="AG299" s="16" t="inlineStr">
        <is>
          <t>warn</t>
        </is>
      </c>
      <c r="AH299" s="16" t="inlineStr">
        <is>
          <t>warn</t>
        </is>
      </c>
      <c r="AI299" s="15" t="inlineStr">
        <is>
          <t>n.a.</t>
        </is>
      </c>
      <c r="AJ299" s="15" t="inlineStr">
        <is>
          <t>n.a.</t>
        </is>
      </c>
      <c r="AK299" s="4" t="inlineStr">
        <is>
          <t>format_match(warn);machine_metadata(warn);persistent_id(warn);cadence(warn);join_key(warn);format_gaia(warn)</t>
        </is>
      </c>
      <c r="AL299" s="17" t="inlineStr">
        <is>
          <t>https://www.epa.gov/green-book/green-book-data-download</t>
        </is>
      </c>
      <c r="AM299" s="4" t="inlineStr">
        <is>
          <t>us_epa_green_book_nonattainment</t>
        </is>
      </c>
    </row>
    <row r="300">
      <c r="A300" s="4" t="inlineStr">
        <is>
          <t>Greenhouse Gas Reporting Program (GHGRP) facility-level emissions data sets</t>
        </is>
      </c>
      <c r="B300" s="19" t="inlineStr">
        <is>
          <t>Silver</t>
        </is>
      </c>
      <c r="C300" s="4" t="n">
        <v>93</v>
      </c>
      <c r="D300" s="4" t="inlineStr">
        <is>
          <t>environment</t>
        </is>
      </c>
      <c r="E300" s="4" t="inlineStr">
        <is>
          <t>healthy</t>
        </is>
      </c>
      <c r="F300" s="4" t="inlineStr">
        <is>
          <t>public_domain_us_federal</t>
        </is>
      </c>
      <c r="G300" s="4" t="inlineStr">
        <is>
          <t>point</t>
        </is>
      </c>
      <c r="H300" s="4" t="inlineStr">
        <is>
          <t>Needs a count/distance step</t>
        </is>
      </c>
      <c r="I300" s="4" t="n">
        <v>3</v>
      </c>
      <c r="J300" s="4" t="inlineStr"/>
      <c r="K300" s="4" t="inlineStr">
        <is>
          <t>Curated</t>
        </is>
      </c>
      <c r="L300" s="4" t="n">
        <v>2023</v>
      </c>
      <c r="M300" s="4" t="inlineStr">
        <is>
          <t>open</t>
        </is>
      </c>
      <c r="N300" s="4" t="inlineStr">
        <is>
          <t>2026-10-29</t>
        </is>
      </c>
      <c r="O300" s="14" t="inlineStr">
        <is>
          <t>pass</t>
        </is>
      </c>
      <c r="P300" s="14" t="inlineStr">
        <is>
          <t>pass</t>
        </is>
      </c>
      <c r="Q300" s="14" t="inlineStr">
        <is>
          <t>pass</t>
        </is>
      </c>
      <c r="R300" s="14" t="inlineStr">
        <is>
          <t>pass</t>
        </is>
      </c>
      <c r="S300" s="14" t="inlineStr">
        <is>
          <t>pass</t>
        </is>
      </c>
      <c r="T300" s="14" t="inlineStr">
        <is>
          <t>pass</t>
        </is>
      </c>
      <c r="U300" s="16" t="inlineStr">
        <is>
          <t>warn</t>
        </is>
      </c>
      <c r="V300" s="16" t="inlineStr">
        <is>
          <t>warn</t>
        </is>
      </c>
      <c r="W300" s="16" t="inlineStr">
        <is>
          <t>warn</t>
        </is>
      </c>
      <c r="X300" s="14" t="inlineStr">
        <is>
          <t>pass</t>
        </is>
      </c>
      <c r="Y300" s="14" t="inlineStr">
        <is>
          <t>pass</t>
        </is>
      </c>
      <c r="Z300" s="14" t="inlineStr">
        <is>
          <t>pass</t>
        </is>
      </c>
      <c r="AA300" s="14" t="inlineStr">
        <is>
          <t>pass</t>
        </is>
      </c>
      <c r="AB300" s="14" t="inlineStr">
        <is>
          <t>pass</t>
        </is>
      </c>
      <c r="AC300" s="14" t="inlineStr">
        <is>
          <t>pass</t>
        </is>
      </c>
      <c r="AD300" s="14" t="inlineStr">
        <is>
          <t>pass</t>
        </is>
      </c>
      <c r="AE300" s="14" t="inlineStr">
        <is>
          <t>pass</t>
        </is>
      </c>
      <c r="AF300" s="14" t="inlineStr">
        <is>
          <t>pass</t>
        </is>
      </c>
      <c r="AG300" s="16" t="inlineStr">
        <is>
          <t>warn</t>
        </is>
      </c>
      <c r="AH300" s="16" t="inlineStr">
        <is>
          <t>warn</t>
        </is>
      </c>
      <c r="AI300" s="15" t="inlineStr">
        <is>
          <t>n.a.</t>
        </is>
      </c>
      <c r="AJ300" s="15" t="inlineStr">
        <is>
          <t>n.a.</t>
        </is>
      </c>
      <c r="AK300" s="4" t="inlineStr">
        <is>
          <t>format_match(warn);machine_metadata(warn);persistent_id(warn);join_key(warn);format_gaia(warn)</t>
        </is>
      </c>
      <c r="AL300" s="17" t="inlineStr">
        <is>
          <t>https://www.epa.gov/ghgreporting/data-sets</t>
        </is>
      </c>
      <c r="AM300" s="4" t="inlineStr">
        <is>
          <t>us_epa_ghgrp</t>
        </is>
      </c>
    </row>
    <row r="301">
      <c r="A301" s="4" t="inlineStr">
        <is>
          <t>Gridded Livestock of the World (GLW)</t>
        </is>
      </c>
      <c r="B301" s="20" t="inlineStr">
        <is>
          <t>Bronze</t>
        </is>
      </c>
      <c r="C301" s="4" t="n">
        <v>71</v>
      </c>
      <c r="D301" s="4" t="inlineStr">
        <is>
          <t>environment</t>
        </is>
      </c>
      <c r="E301" s="4" t="inlineStr">
        <is>
          <t>degraded</t>
        </is>
      </c>
      <c r="F301" s="4" t="inlineStr">
        <is>
          <t>unknown</t>
        </is>
      </c>
      <c r="G301" s="4" t="inlineStr">
        <is>
          <t>grid_</t>
        </is>
      </c>
      <c r="H301" s="4" t="inlineStr">
        <is>
          <t>Needs raster support</t>
        </is>
      </c>
      <c r="I301" s="4" t="n">
        <v>3</v>
      </c>
      <c r="J301" s="4" t="inlineStr"/>
      <c r="K301" s="4" t="inlineStr">
        <is>
          <t>Curated</t>
        </is>
      </c>
      <c r="L301" s="4" t="n">
        <v>2020</v>
      </c>
      <c r="M301" s="4" t="inlineStr">
        <is>
          <t>unknown</t>
        </is>
      </c>
      <c r="N301" s="4" t="inlineStr">
        <is>
          <t>2026-10-22</t>
        </is>
      </c>
      <c r="O301" s="14" t="inlineStr">
        <is>
          <t>pass</t>
        </is>
      </c>
      <c r="P301" s="14" t="inlineStr">
        <is>
          <t>pass</t>
        </is>
      </c>
      <c r="Q301" s="14" t="inlineStr">
        <is>
          <t>pass</t>
        </is>
      </c>
      <c r="R301" s="14" t="inlineStr">
        <is>
          <t>pass</t>
        </is>
      </c>
      <c r="S301" s="14" t="inlineStr">
        <is>
          <t>pass</t>
        </is>
      </c>
      <c r="T301" s="15" t="inlineStr">
        <is>
          <t>n.a.</t>
        </is>
      </c>
      <c r="U301" s="15" t="inlineStr">
        <is>
          <t>n.a.</t>
        </is>
      </c>
      <c r="V301" s="18" t="inlineStr">
        <is>
          <t>fail</t>
        </is>
      </c>
      <c r="W301" s="16" t="inlineStr">
        <is>
          <t>warn</t>
        </is>
      </c>
      <c r="X301" s="14" t="inlineStr">
        <is>
          <t>pass</t>
        </is>
      </c>
      <c r="Y301" s="18" t="inlineStr">
        <is>
          <t>fail</t>
        </is>
      </c>
      <c r="Z301" s="14" t="inlineStr">
        <is>
          <t>pass</t>
        </is>
      </c>
      <c r="AA301" s="14" t="inlineStr">
        <is>
          <t>pass</t>
        </is>
      </c>
      <c r="AB301" s="16" t="inlineStr">
        <is>
          <t>warn</t>
        </is>
      </c>
      <c r="AC301" s="14" t="inlineStr">
        <is>
          <t>pass</t>
        </is>
      </c>
      <c r="AD301" s="15" t="inlineStr">
        <is>
          <t>not_checked</t>
        </is>
      </c>
      <c r="AE301" s="14" t="inlineStr">
        <is>
          <t>pass</t>
        </is>
      </c>
      <c r="AF301" s="16" t="inlineStr">
        <is>
          <t>warn</t>
        </is>
      </c>
      <c r="AG301" s="15" t="inlineStr">
        <is>
          <t>not_checked</t>
        </is>
      </c>
      <c r="AH301" s="15" t="inlineStr">
        <is>
          <t>not_checked</t>
        </is>
      </c>
      <c r="AI301" s="15" t="inlineStr">
        <is>
          <t>n.a.</t>
        </is>
      </c>
      <c r="AJ301" s="15" t="inlineStr">
        <is>
          <t>n.a.</t>
        </is>
      </c>
      <c r="AK301" s="4" t="inlineStr">
        <is>
          <t>machine_metadata;license;persistent_id(warn);cadence(warn);access(warn)</t>
        </is>
      </c>
      <c r="AL301" s="17" t="inlineStr">
        <is>
          <t>https://www.fao.org/livestock-systems/global-distributions/en/</t>
        </is>
      </c>
      <c r="AM301" s="4" t="inlineStr">
        <is>
          <t>global_fao_glw</t>
        </is>
      </c>
    </row>
    <row r="302">
      <c r="A302" s="4" t="inlineStr">
        <is>
          <t>Harmonized World Soil Database v2.0 (HWSD v2.0 / v2.01)</t>
        </is>
      </c>
      <c r="B302" s="20" t="inlineStr">
        <is>
          <t>Bronze</t>
        </is>
      </c>
      <c r="C302" s="4" t="n">
        <v>77</v>
      </c>
      <c r="D302" s="4" t="inlineStr">
        <is>
          <t>environment</t>
        </is>
      </c>
      <c r="E302" s="4" t="inlineStr">
        <is>
          <t>degraded</t>
        </is>
      </c>
      <c r="F302" s="4" t="inlineStr">
        <is>
          <t>unknown</t>
        </is>
      </c>
      <c r="G302" s="4" t="inlineStr">
        <is>
          <t>grid_30arcsec</t>
        </is>
      </c>
      <c r="H302" s="4" t="inlineStr">
        <is>
          <t>Needs raster support</t>
        </is>
      </c>
      <c r="I302" s="4" t="n">
        <v>3</v>
      </c>
      <c r="J302" s="4" t="inlineStr"/>
      <c r="K302" s="4" t="inlineStr">
        <is>
          <t>Curated</t>
        </is>
      </c>
      <c r="L302" s="4" t="n">
        <v>2023</v>
      </c>
      <c r="M302" s="4" t="inlineStr">
        <is>
          <t>open</t>
        </is>
      </c>
      <c r="N302" s="4" t="inlineStr">
        <is>
          <t>2026-10-22</t>
        </is>
      </c>
      <c r="O302" s="14" t="inlineStr">
        <is>
          <t>pass</t>
        </is>
      </c>
      <c r="P302" s="14" t="inlineStr">
        <is>
          <t>pass</t>
        </is>
      </c>
      <c r="Q302" s="14" t="inlineStr">
        <is>
          <t>pass</t>
        </is>
      </c>
      <c r="R302" s="14" t="inlineStr">
        <is>
          <t>pass</t>
        </is>
      </c>
      <c r="S302" s="14" t="inlineStr">
        <is>
          <t>pass</t>
        </is>
      </c>
      <c r="T302" s="18" t="inlineStr">
        <is>
          <t>fail</t>
        </is>
      </c>
      <c r="U302" s="15" t="inlineStr">
        <is>
          <t>n.a.</t>
        </is>
      </c>
      <c r="V302" s="18" t="inlineStr">
        <is>
          <t>fail</t>
        </is>
      </c>
      <c r="W302" s="16" t="inlineStr">
        <is>
          <t>warn</t>
        </is>
      </c>
      <c r="X302" s="14" t="inlineStr">
        <is>
          <t>pass</t>
        </is>
      </c>
      <c r="Y302" s="18" t="inlineStr">
        <is>
          <t>fail</t>
        </is>
      </c>
      <c r="Z302" s="14" t="inlineStr">
        <is>
          <t>pass</t>
        </is>
      </c>
      <c r="AA302" s="14" t="inlineStr">
        <is>
          <t>pass</t>
        </is>
      </c>
      <c r="AB302" s="16" t="inlineStr">
        <is>
          <t>warn</t>
        </is>
      </c>
      <c r="AC302" s="14" t="inlineStr">
        <is>
          <t>pass</t>
        </is>
      </c>
      <c r="AD302" s="14" t="inlineStr">
        <is>
          <t>pass</t>
        </is>
      </c>
      <c r="AE302" s="14" t="inlineStr">
        <is>
          <t>pass</t>
        </is>
      </c>
      <c r="AF302" s="14" t="inlineStr">
        <is>
          <t>pass</t>
        </is>
      </c>
      <c r="AG302" s="16" t="inlineStr">
        <is>
          <t>warn</t>
        </is>
      </c>
      <c r="AH302" s="16" t="inlineStr">
        <is>
          <t>warn</t>
        </is>
      </c>
      <c r="AI302" s="15" t="inlineStr">
        <is>
          <t>n.a.</t>
        </is>
      </c>
      <c r="AJ302" s="15" t="inlineStr">
        <is>
          <t>n.a.</t>
        </is>
      </c>
      <c r="AK302" s="4" t="inlineStr">
        <is>
          <t>access_url;machine_metadata;license;persistent_id(warn);cadence(warn);join_key(warn);format_gaia(warn)</t>
        </is>
      </c>
      <c r="AL302" s="17" t="inlineStr">
        <is>
          <t>https://www.fao.org/soils-portal/data-hub/soil-maps-and-databases/harmonized-world-soil-database-v20/en/</t>
        </is>
      </c>
      <c r="AM302" s="4" t="inlineStr">
        <is>
          <t>global_fao_hwsd_v2</t>
        </is>
      </c>
    </row>
    <row r="303">
      <c r="A303" s="4" t="inlineStr">
        <is>
          <t>MDC HowLoud SoundScore (Local)</t>
        </is>
      </c>
      <c r="B303" s="20" t="inlineStr">
        <is>
          <t>Bronze</t>
        </is>
      </c>
      <c r="C303" s="4" t="n">
        <v>66</v>
      </c>
      <c r="D303" s="4" t="inlineStr">
        <is>
          <t>environment</t>
        </is>
      </c>
      <c r="E303" s="4" t="inlineStr">
        <is>
          <t>degraded</t>
        </is>
      </c>
      <c r="F303" s="4" t="inlineStr">
        <is>
          <t>restricted</t>
        </is>
      </c>
      <c r="G303" s="4" t="inlineStr">
        <is>
          <t>point</t>
        </is>
      </c>
      <c r="H303" s="4" t="inlineStr">
        <is>
          <t>Unknown</t>
        </is>
      </c>
      <c r="I303" s="4" t="n">
        <v>3</v>
      </c>
      <c r="J303" s="4" t="inlineStr"/>
      <c r="K303" s="4" t="inlineStr">
        <is>
          <t>Curated</t>
        </is>
      </c>
      <c r="L303" s="4" t="inlineStr"/>
      <c r="M303" s="4" t="inlineStr">
        <is>
          <t>registration</t>
        </is>
      </c>
      <c r="N303" s="4" t="inlineStr">
        <is>
          <t>2026-10-28</t>
        </is>
      </c>
      <c r="O303" s="14" t="inlineStr">
        <is>
          <t>pass</t>
        </is>
      </c>
      <c r="P303" s="14" t="inlineStr">
        <is>
          <t>pass</t>
        </is>
      </c>
      <c r="Q303" s="14" t="inlineStr">
        <is>
          <t>pass</t>
        </is>
      </c>
      <c r="R303" s="14" t="inlineStr">
        <is>
          <t>pass</t>
        </is>
      </c>
      <c r="S303" s="14" t="inlineStr">
        <is>
          <t>pass</t>
        </is>
      </c>
      <c r="T303" s="15" t="inlineStr">
        <is>
          <t>n.a.</t>
        </is>
      </c>
      <c r="U303" s="15" t="inlineStr">
        <is>
          <t>n.a.</t>
        </is>
      </c>
      <c r="V303" s="18" t="inlineStr">
        <is>
          <t>fail</t>
        </is>
      </c>
      <c r="W303" s="16" t="inlineStr">
        <is>
          <t>warn</t>
        </is>
      </c>
      <c r="X303" s="14" t="inlineStr">
        <is>
          <t>pass</t>
        </is>
      </c>
      <c r="Y303" s="18" t="inlineStr">
        <is>
          <t>fail</t>
        </is>
      </c>
      <c r="Z303" s="15" t="inlineStr">
        <is>
          <t>not_checked</t>
        </is>
      </c>
      <c r="AA303" s="15" t="inlineStr">
        <is>
          <t>not_checked</t>
        </is>
      </c>
      <c r="AB303" s="15" t="inlineStr">
        <is>
          <t>not_checked</t>
        </is>
      </c>
      <c r="AC303" s="14" t="inlineStr">
        <is>
          <t>pass</t>
        </is>
      </c>
      <c r="AD303" s="16" t="inlineStr">
        <is>
          <t>warn</t>
        </is>
      </c>
      <c r="AE303" s="15" t="inlineStr">
        <is>
          <t>not_checked</t>
        </is>
      </c>
      <c r="AF303" s="16" t="inlineStr">
        <is>
          <t>warn</t>
        </is>
      </c>
      <c r="AG303" s="14" t="inlineStr">
        <is>
          <t>pass</t>
        </is>
      </c>
      <c r="AH303" s="16" t="inlineStr">
        <is>
          <t>warn</t>
        </is>
      </c>
      <c r="AI303" s="15" t="inlineStr">
        <is>
          <t>n.a.</t>
        </is>
      </c>
      <c r="AJ303" s="15" t="inlineStr">
        <is>
          <t>n.a.</t>
        </is>
      </c>
      <c r="AK303" s="4" t="inlineStr">
        <is>
          <t>machine_metadata;license;persistent_id(warn);unit(warn);access(warn);format_gaia(warn)</t>
        </is>
      </c>
      <c r="AL303" s="17" t="inlineStr">
        <is>
          <t>https://howloud.com/soundscore/</t>
        </is>
      </c>
      <c r="AM303" s="4" t="inlineStr">
        <is>
          <t>us_mdc_soundscore_howloud</t>
        </is>
      </c>
    </row>
    <row r="304">
      <c r="A304" s="4" t="inlineStr">
        <is>
          <t>National Environmental Public Health Tracking Network</t>
        </is>
      </c>
      <c r="B304" s="19" t="inlineStr">
        <is>
          <t>Silver</t>
        </is>
      </c>
      <c r="C304" s="4" t="n">
        <v>96</v>
      </c>
      <c r="D304" s="4" t="inlineStr">
        <is>
          <t>environment</t>
        </is>
      </c>
      <c r="E304" s="4" t="inlineStr">
        <is>
          <t>healthy</t>
        </is>
      </c>
      <c r="F304" s="4" t="inlineStr">
        <is>
          <t>public_domain_us_federal</t>
        </is>
      </c>
      <c r="G304" s="4" t="inlineStr">
        <is>
          <t>tract</t>
        </is>
      </c>
      <c r="H304" s="4" t="inlineStr">
        <is>
          <t>Joins today</t>
        </is>
      </c>
      <c r="I304" s="4" t="n">
        <v>3</v>
      </c>
      <c r="J304" s="4" t="inlineStr"/>
      <c r="K304" s="4" t="inlineStr">
        <is>
          <t>Curated</t>
        </is>
      </c>
      <c r="L304" s="4" t="inlineStr"/>
      <c r="M304" s="4" t="inlineStr">
        <is>
          <t>open</t>
        </is>
      </c>
      <c r="N304" s="4" t="inlineStr">
        <is>
          <t>2026-10-29</t>
        </is>
      </c>
      <c r="O304" s="14" t="inlineStr">
        <is>
          <t>pass</t>
        </is>
      </c>
      <c r="P304" s="14" t="inlineStr">
        <is>
          <t>pass</t>
        </is>
      </c>
      <c r="Q304" s="14" t="inlineStr">
        <is>
          <t>pass</t>
        </is>
      </c>
      <c r="R304" s="14" t="inlineStr">
        <is>
          <t>pass</t>
        </is>
      </c>
      <c r="S304" s="14" t="inlineStr">
        <is>
          <t>pass</t>
        </is>
      </c>
      <c r="T304" s="14" t="inlineStr">
        <is>
          <t>pass</t>
        </is>
      </c>
      <c r="U304" s="14" t="inlineStr">
        <is>
          <t>pass</t>
        </is>
      </c>
      <c r="V304" s="16" t="inlineStr">
        <is>
          <t>warn</t>
        </is>
      </c>
      <c r="W304" s="16" t="inlineStr">
        <is>
          <t>warn</t>
        </is>
      </c>
      <c r="X304" s="14" t="inlineStr">
        <is>
          <t>pass</t>
        </is>
      </c>
      <c r="Y304" s="14" t="inlineStr">
        <is>
          <t>pass</t>
        </is>
      </c>
      <c r="Z304" s="15" t="inlineStr">
        <is>
          <t>not_checked</t>
        </is>
      </c>
      <c r="AA304" s="15" t="inlineStr">
        <is>
          <t>not_checked</t>
        </is>
      </c>
      <c r="AB304" s="15" t="inlineStr">
        <is>
          <t>not_checked</t>
        </is>
      </c>
      <c r="AC304" s="15" t="inlineStr">
        <is>
          <t>not_checked</t>
        </is>
      </c>
      <c r="AD304" s="15" t="inlineStr">
        <is>
          <t>not_checked</t>
        </is>
      </c>
      <c r="AE304" s="16" t="inlineStr">
        <is>
          <t>warn</t>
        </is>
      </c>
      <c r="AF304" s="15" t="inlineStr">
        <is>
          <t>not_checked</t>
        </is>
      </c>
      <c r="AG304" s="15" t="inlineStr">
        <is>
          <t>not_checked</t>
        </is>
      </c>
      <c r="AH304" s="16" t="inlineStr">
        <is>
          <t>warn</t>
        </is>
      </c>
      <c r="AI304" s="15" t="inlineStr">
        <is>
          <t>n.a.</t>
        </is>
      </c>
      <c r="AJ304" s="15" t="inlineStr">
        <is>
          <t>n.a.</t>
        </is>
      </c>
      <c r="AK304" s="4" t="inlineStr">
        <is>
          <t>machine_metadata(warn);persistent_id(warn);coverage(warn);format_gaia(warn)</t>
        </is>
      </c>
      <c r="AL304" s="17" t="inlineStr">
        <is>
          <t>https://www.cdc.gov/nceh/tracking/</t>
        </is>
      </c>
      <c r="AM304" s="4" t="inlineStr">
        <is>
          <t>us_cdc_ephtn</t>
        </is>
      </c>
    </row>
    <row r="305">
      <c r="A305" s="4" t="inlineStr">
        <is>
          <t>National Transportation Noise Map</t>
        </is>
      </c>
      <c r="B305" s="19" t="inlineStr">
        <is>
          <t>Silver</t>
        </is>
      </c>
      <c r="C305" s="4" t="n">
        <v>90</v>
      </c>
      <c r="D305" s="4" t="inlineStr">
        <is>
          <t>environment</t>
        </is>
      </c>
      <c r="E305" s="4" t="inlineStr">
        <is>
          <t>healthy</t>
        </is>
      </c>
      <c r="F305" s="4" t="inlineStr">
        <is>
          <t>public_domain_us_federal</t>
        </is>
      </c>
      <c r="G305" s="4" t="inlineStr">
        <is>
          <t>grid_30m</t>
        </is>
      </c>
      <c r="H305" s="4" t="inlineStr">
        <is>
          <t>Needs raster support</t>
        </is>
      </c>
      <c r="I305" s="4" t="n">
        <v>3</v>
      </c>
      <c r="J305" s="4" t="inlineStr"/>
      <c r="K305" s="4" t="inlineStr">
        <is>
          <t>Curated</t>
        </is>
      </c>
      <c r="L305" s="4" t="n">
        <v>2018</v>
      </c>
      <c r="M305" s="4" t="inlineStr">
        <is>
          <t>open</t>
        </is>
      </c>
      <c r="N305" s="4" t="inlineStr">
        <is>
          <t>2026-10-29</t>
        </is>
      </c>
      <c r="O305" s="14" t="inlineStr">
        <is>
          <t>pass</t>
        </is>
      </c>
      <c r="P305" s="14" t="inlineStr">
        <is>
          <t>pass</t>
        </is>
      </c>
      <c r="Q305" s="14" t="inlineStr">
        <is>
          <t>pass</t>
        </is>
      </c>
      <c r="R305" s="14" t="inlineStr">
        <is>
          <t>pass</t>
        </is>
      </c>
      <c r="S305" s="14" t="inlineStr">
        <is>
          <t>pass</t>
        </is>
      </c>
      <c r="T305" s="14" t="inlineStr">
        <is>
          <t>pass</t>
        </is>
      </c>
      <c r="U305" s="14" t="inlineStr">
        <is>
          <t>pass</t>
        </is>
      </c>
      <c r="V305" s="14" t="inlineStr">
        <is>
          <t>pass</t>
        </is>
      </c>
      <c r="W305" s="16" t="inlineStr">
        <is>
          <t>warn</t>
        </is>
      </c>
      <c r="X305" s="18" t="inlineStr">
        <is>
          <t>fail</t>
        </is>
      </c>
      <c r="Y305" s="14" t="inlineStr">
        <is>
          <t>pass</t>
        </is>
      </c>
      <c r="Z305" s="16" t="inlineStr">
        <is>
          <t>warn</t>
        </is>
      </c>
      <c r="AA305" s="16" t="inlineStr">
        <is>
          <t>warn</t>
        </is>
      </c>
      <c r="AB305" s="15" t="inlineStr">
        <is>
          <t>not_checked</t>
        </is>
      </c>
      <c r="AC305" s="16" t="inlineStr">
        <is>
          <t>warn</t>
        </is>
      </c>
      <c r="AD305" s="15" t="inlineStr">
        <is>
          <t>not_checked</t>
        </is>
      </c>
      <c r="AE305" s="16" t="inlineStr">
        <is>
          <t>warn</t>
        </is>
      </c>
      <c r="AF305" s="15" t="inlineStr">
        <is>
          <t>not_checked</t>
        </is>
      </c>
      <c r="AG305" s="15" t="inlineStr">
        <is>
          <t>not_checked</t>
        </is>
      </c>
      <c r="AH305" s="15" t="inlineStr">
        <is>
          <t>not_checked</t>
        </is>
      </c>
      <c r="AI305" s="15" t="inlineStr">
        <is>
          <t>n.a.</t>
        </is>
      </c>
      <c r="AJ305" s="15" t="inlineStr">
        <is>
          <t>n.a.</t>
        </is>
      </c>
      <c r="AK305" s="4" t="inlineStr">
        <is>
          <t>archived;persistent_id(warn);temporal(warn);recency(warn);version(warn);coverage(warn)</t>
        </is>
      </c>
      <c r="AL305" s="17" t="inlineStr">
        <is>
          <t>https://catalog.data.gov/dataset/national-transportation-noise-map</t>
        </is>
      </c>
      <c r="AM305" s="4" t="inlineStr">
        <is>
          <t>us_bts_national_transportation_noise_map</t>
        </is>
      </c>
    </row>
    <row r="306">
      <c r="A306" s="4" t="inlineStr">
        <is>
          <t>NLCD Tree Canopy Cover (TCC)</t>
        </is>
      </c>
      <c r="B306" s="13" t="inlineStr">
        <is>
          <t>Gold</t>
        </is>
      </c>
      <c r="C306" s="4" t="n">
        <v>91</v>
      </c>
      <c r="D306" s="4" t="inlineStr">
        <is>
          <t>environment</t>
        </is>
      </c>
      <c r="E306" s="4" t="inlineStr">
        <is>
          <t>degraded</t>
        </is>
      </c>
      <c r="F306" s="4" t="inlineStr">
        <is>
          <t>public_domain_us_federal</t>
        </is>
      </c>
      <c r="G306" s="4" t="inlineStr">
        <is>
          <t>grid_30m</t>
        </is>
      </c>
      <c r="H306" s="4" t="inlineStr">
        <is>
          <t>Needs raster support</t>
        </is>
      </c>
      <c r="I306" s="4" t="n">
        <v>3</v>
      </c>
      <c r="J306" s="4" t="inlineStr">
        <is>
          <t>mdc_2021_nlcd_tcc_v2023_5;mdc_2021_nlcd_tcc_v4</t>
        </is>
      </c>
      <c r="K306" s="4" t="inlineStr">
        <is>
          <t>Curated</t>
        </is>
      </c>
      <c r="L306" s="4" t="n">
        <v>2025</v>
      </c>
      <c r="M306" s="4" t="inlineStr">
        <is>
          <t>open</t>
        </is>
      </c>
      <c r="N306" s="4" t="inlineStr">
        <is>
          <t>2026-10-29</t>
        </is>
      </c>
      <c r="O306" s="14" t="inlineStr">
        <is>
          <t>pass</t>
        </is>
      </c>
      <c r="P306" s="14" t="inlineStr">
        <is>
          <t>pass</t>
        </is>
      </c>
      <c r="Q306" s="14" t="inlineStr">
        <is>
          <t>pass</t>
        </is>
      </c>
      <c r="R306" s="14" t="inlineStr">
        <is>
          <t>pass</t>
        </is>
      </c>
      <c r="S306" s="14" t="inlineStr">
        <is>
          <t>pass</t>
        </is>
      </c>
      <c r="T306" s="14" t="inlineStr">
        <is>
          <t>pass</t>
        </is>
      </c>
      <c r="U306" s="16" t="inlineStr">
        <is>
          <t>warn</t>
        </is>
      </c>
      <c r="V306" s="18" t="inlineStr">
        <is>
          <t>fail</t>
        </is>
      </c>
      <c r="W306" s="16" t="inlineStr">
        <is>
          <t>warn</t>
        </is>
      </c>
      <c r="X306" s="14" t="inlineStr">
        <is>
          <t>pass</t>
        </is>
      </c>
      <c r="Y306" s="14" t="inlineStr">
        <is>
          <t>pass</t>
        </is>
      </c>
      <c r="Z306" s="14" t="inlineStr">
        <is>
          <t>pass</t>
        </is>
      </c>
      <c r="AA306" s="14" t="inlineStr">
        <is>
          <t>pass</t>
        </is>
      </c>
      <c r="AB306" s="16" t="inlineStr">
        <is>
          <t>warn</t>
        </is>
      </c>
      <c r="AC306" s="14" t="inlineStr">
        <is>
          <t>pass</t>
        </is>
      </c>
      <c r="AD306" s="14" t="inlineStr">
        <is>
          <t>pass</t>
        </is>
      </c>
      <c r="AE306" s="14" t="inlineStr">
        <is>
          <t>pass</t>
        </is>
      </c>
      <c r="AF306" s="14" t="inlineStr">
        <is>
          <t>pass</t>
        </is>
      </c>
      <c r="AG306" s="16" t="inlineStr">
        <is>
          <t>warn</t>
        </is>
      </c>
      <c r="AH306" s="15" t="inlineStr">
        <is>
          <t>not_checked</t>
        </is>
      </c>
      <c r="AI306" s="14" t="inlineStr">
        <is>
          <t>pass</t>
        </is>
      </c>
      <c r="AJ306" s="15" t="inlineStr">
        <is>
          <t>not_checked</t>
        </is>
      </c>
      <c r="AK306" s="4" t="inlineStr">
        <is>
          <t>machine_metadata;format_match(warn);persistent_id(warn);cadence(warn);join_key(warn)</t>
        </is>
      </c>
      <c r="AL306" s="17" t="inlineStr">
        <is>
          <t>https://data.fs.usda.gov/geodata/rastergateway/treecanopycover/</t>
        </is>
      </c>
      <c r="AM306" s="4" t="inlineStr">
        <is>
          <t>us_usfs_nlcd_tree_canopy_cover</t>
        </is>
      </c>
    </row>
    <row r="307">
      <c r="A307" s="4" t="inlineStr">
        <is>
          <t>OpenAQ open air quality data platform and API</t>
        </is>
      </c>
      <c r="B307" s="20" t="inlineStr">
        <is>
          <t>Bronze</t>
        </is>
      </c>
      <c r="C307" s="4" t="n">
        <v>71</v>
      </c>
      <c r="D307" s="4" t="inlineStr">
        <is>
          <t>environment</t>
        </is>
      </c>
      <c r="E307" s="4" t="inlineStr">
        <is>
          <t>degraded</t>
        </is>
      </c>
      <c r="F307" s="4" t="inlineStr">
        <is>
          <t>unknown</t>
        </is>
      </c>
      <c r="G307" s="4" t="inlineStr">
        <is>
          <t>point</t>
        </is>
      </c>
      <c r="H307" s="4" t="inlineStr">
        <is>
          <t>Needs a count/distance step</t>
        </is>
      </c>
      <c r="I307" s="4" t="n">
        <v>3</v>
      </c>
      <c r="J307" s="4" t="inlineStr"/>
      <c r="K307" s="4" t="inlineStr">
        <is>
          <t>Curated</t>
        </is>
      </c>
      <c r="L307" s="4" t="n">
        <v>2026</v>
      </c>
      <c r="M307" s="4" t="inlineStr">
        <is>
          <t>open</t>
        </is>
      </c>
      <c r="N307" s="4" t="inlineStr">
        <is>
          <t>2026-10-22</t>
        </is>
      </c>
      <c r="O307" s="14" t="inlineStr">
        <is>
          <t>pass</t>
        </is>
      </c>
      <c r="P307" s="14" t="inlineStr">
        <is>
          <t>pass</t>
        </is>
      </c>
      <c r="Q307" s="14" t="inlineStr">
        <is>
          <t>pass</t>
        </is>
      </c>
      <c r="R307" s="14" t="inlineStr">
        <is>
          <t>pass</t>
        </is>
      </c>
      <c r="S307" s="14" t="inlineStr">
        <is>
          <t>pass</t>
        </is>
      </c>
      <c r="T307" s="14" t="inlineStr">
        <is>
          <t>pass</t>
        </is>
      </c>
      <c r="U307" s="14" t="inlineStr">
        <is>
          <t>pass</t>
        </is>
      </c>
      <c r="V307" s="18" t="inlineStr">
        <is>
          <t>fail</t>
        </is>
      </c>
      <c r="W307" s="16" t="inlineStr">
        <is>
          <t>warn</t>
        </is>
      </c>
      <c r="X307" s="14" t="inlineStr">
        <is>
          <t>pass</t>
        </is>
      </c>
      <c r="Y307" s="18" t="inlineStr">
        <is>
          <t>fail</t>
        </is>
      </c>
      <c r="Z307" s="15" t="inlineStr">
        <is>
          <t>not_checked</t>
        </is>
      </c>
      <c r="AA307" s="14" t="inlineStr">
        <is>
          <t>pass</t>
        </is>
      </c>
      <c r="AB307" s="16" t="inlineStr">
        <is>
          <t>warn</t>
        </is>
      </c>
      <c r="AC307" s="15" t="inlineStr">
        <is>
          <t>not_checked</t>
        </is>
      </c>
      <c r="AD307" s="14" t="inlineStr">
        <is>
          <t>pass</t>
        </is>
      </c>
      <c r="AE307" s="14" t="inlineStr">
        <is>
          <t>pass</t>
        </is>
      </c>
      <c r="AF307" s="16" t="inlineStr">
        <is>
          <t>warn</t>
        </is>
      </c>
      <c r="AG307" s="16" t="inlineStr">
        <is>
          <t>warn</t>
        </is>
      </c>
      <c r="AH307" s="16" t="inlineStr">
        <is>
          <t>warn</t>
        </is>
      </c>
      <c r="AI307" s="15" t="inlineStr">
        <is>
          <t>n.a.</t>
        </is>
      </c>
      <c r="AJ307" s="15" t="inlineStr">
        <is>
          <t>n.a.</t>
        </is>
      </c>
      <c r="AK307" s="4" t="inlineStr">
        <is>
          <t>machine_metadata;license;persistent_id(warn);cadence(warn);access(warn);join_key(warn);format_gaia(warn)</t>
        </is>
      </c>
      <c r="AL307" s="17" t="inlineStr">
        <is>
          <t>https://openaq.org/</t>
        </is>
      </c>
      <c r="AM307" s="4" t="inlineStr">
        <is>
          <t>global_openaq</t>
        </is>
      </c>
    </row>
    <row r="308">
      <c r="A308" s="4" t="inlineStr">
        <is>
          <t>SatPM2.5 North America V5.NA.05 / V5.NA.05.02 (total and compositional PM2.5)</t>
        </is>
      </c>
      <c r="B308" s="20" t="inlineStr">
        <is>
          <t>Bronze</t>
        </is>
      </c>
      <c r="C308" s="4" t="n">
        <v>75</v>
      </c>
      <c r="D308" s="4" t="inlineStr">
        <is>
          <t>environment</t>
        </is>
      </c>
      <c r="E308" s="4" t="inlineStr">
        <is>
          <t>degraded</t>
        </is>
      </c>
      <c r="F308" s="4" t="inlineStr">
        <is>
          <t>unknown</t>
        </is>
      </c>
      <c r="G308" s="4" t="inlineStr">
        <is>
          <t>grid_0.01deg</t>
        </is>
      </c>
      <c r="H308" s="4" t="inlineStr">
        <is>
          <t>Needs raster support</t>
        </is>
      </c>
      <c r="I308" s="4" t="n">
        <v>3</v>
      </c>
      <c r="J308" s="4" t="inlineStr"/>
      <c r="K308" s="4" t="inlineStr">
        <is>
          <t>Curated</t>
        </is>
      </c>
      <c r="L308" s="4" t="n">
        <v>2023</v>
      </c>
      <c r="M308" s="4" t="inlineStr">
        <is>
          <t>open</t>
        </is>
      </c>
      <c r="N308" s="4" t="inlineStr">
        <is>
          <t>2026-10-22</t>
        </is>
      </c>
      <c r="O308" s="14" t="inlineStr">
        <is>
          <t>pass</t>
        </is>
      </c>
      <c r="P308" s="14" t="inlineStr">
        <is>
          <t>pass</t>
        </is>
      </c>
      <c r="Q308" s="14" t="inlineStr">
        <is>
          <t>pass</t>
        </is>
      </c>
      <c r="R308" s="14" t="inlineStr">
        <is>
          <t>pass</t>
        </is>
      </c>
      <c r="S308" s="14" t="inlineStr">
        <is>
          <t>pass</t>
        </is>
      </c>
      <c r="T308" s="14" t="inlineStr">
        <is>
          <t>pass</t>
        </is>
      </c>
      <c r="U308" s="15" t="inlineStr">
        <is>
          <t>n.a.</t>
        </is>
      </c>
      <c r="V308" s="18" t="inlineStr">
        <is>
          <t>fail</t>
        </is>
      </c>
      <c r="W308" s="14" t="inlineStr">
        <is>
          <t>pass</t>
        </is>
      </c>
      <c r="X308" s="14" t="inlineStr">
        <is>
          <t>pass</t>
        </is>
      </c>
      <c r="Y308" s="18" t="inlineStr">
        <is>
          <t>fail</t>
        </is>
      </c>
      <c r="Z308" s="14" t="inlineStr">
        <is>
          <t>pass</t>
        </is>
      </c>
      <c r="AA308" s="14" t="inlineStr">
        <is>
          <t>pass</t>
        </is>
      </c>
      <c r="AB308" s="15" t="inlineStr">
        <is>
          <t>not_checked</t>
        </is>
      </c>
      <c r="AC308" s="14" t="inlineStr">
        <is>
          <t>pass</t>
        </is>
      </c>
      <c r="AD308" s="16" t="inlineStr">
        <is>
          <t>warn</t>
        </is>
      </c>
      <c r="AE308" s="14" t="inlineStr">
        <is>
          <t>pass</t>
        </is>
      </c>
      <c r="AF308" s="14" t="inlineStr">
        <is>
          <t>pass</t>
        </is>
      </c>
      <c r="AG308" s="14" t="inlineStr">
        <is>
          <t>pass</t>
        </is>
      </c>
      <c r="AH308" s="14" t="inlineStr">
        <is>
          <t>pass</t>
        </is>
      </c>
      <c r="AI308" s="15" t="inlineStr">
        <is>
          <t>n.a.</t>
        </is>
      </c>
      <c r="AJ308" s="15" t="inlineStr">
        <is>
          <t>n.a.</t>
        </is>
      </c>
      <c r="AK308" s="4" t="inlineStr">
        <is>
          <t>machine_metadata;license;unit(warn)</t>
        </is>
      </c>
      <c r="AL308" s="17" t="inlineStr">
        <is>
          <t>https://sites.wustl.edu/acag/datasets/surface-pm2-5/</t>
        </is>
      </c>
      <c r="AM308" s="4" t="inlineStr">
        <is>
          <t>us_wustl_acag_satpm25_north_america</t>
        </is>
      </c>
    </row>
    <row r="309">
      <c r="A309" s="4" t="inlineStr">
        <is>
          <t>UK Biobank Local environment: residential air pollution (Category 114)</t>
        </is>
      </c>
      <c r="B309" s="20" t="inlineStr">
        <is>
          <t>Bronze</t>
        </is>
      </c>
      <c r="C309" s="4" t="n">
        <v>65</v>
      </c>
      <c r="D309" s="4" t="inlineStr">
        <is>
          <t>environment</t>
        </is>
      </c>
      <c r="E309" s="4" t="inlineStr">
        <is>
          <t>degraded</t>
        </is>
      </c>
      <c r="F309" s="4" t="inlineStr">
        <is>
          <t>restricted</t>
        </is>
      </c>
      <c r="G309" s="4" t="inlineStr">
        <is>
          <t>point</t>
        </is>
      </c>
      <c r="H309" s="4" t="inlineStr">
        <is>
          <t>Not linkable as listed</t>
        </is>
      </c>
      <c r="I309" s="4" t="n">
        <v>3</v>
      </c>
      <c r="J309" s="4" t="inlineStr"/>
      <c r="K309" s="4" t="inlineStr">
        <is>
          <t>Curated</t>
        </is>
      </c>
      <c r="L309" s="4" t="n">
        <v>2010</v>
      </c>
      <c r="M309" s="4" t="inlineStr">
        <is>
          <t>restricted</t>
        </is>
      </c>
      <c r="N309" s="4" t="inlineStr">
        <is>
          <t>2026-10-28</t>
        </is>
      </c>
      <c r="O309" s="14" t="inlineStr">
        <is>
          <t>pass</t>
        </is>
      </c>
      <c r="P309" s="14" t="inlineStr">
        <is>
          <t>pass</t>
        </is>
      </c>
      <c r="Q309" s="14" t="inlineStr">
        <is>
          <t>pass</t>
        </is>
      </c>
      <c r="R309" s="14" t="inlineStr">
        <is>
          <t>pass</t>
        </is>
      </c>
      <c r="S309" s="14" t="inlineStr">
        <is>
          <t>pass</t>
        </is>
      </c>
      <c r="T309" s="15" t="inlineStr">
        <is>
          <t>n.a.</t>
        </is>
      </c>
      <c r="U309" s="15" t="inlineStr">
        <is>
          <t>n.a.</t>
        </is>
      </c>
      <c r="V309" s="18" t="inlineStr">
        <is>
          <t>fail</t>
        </is>
      </c>
      <c r="W309" s="16" t="inlineStr">
        <is>
          <t>warn</t>
        </is>
      </c>
      <c r="X309" s="14" t="inlineStr">
        <is>
          <t>pass</t>
        </is>
      </c>
      <c r="Y309" s="18" t="inlineStr">
        <is>
          <t>fail</t>
        </is>
      </c>
      <c r="Z309" s="14" t="inlineStr">
        <is>
          <t>pass</t>
        </is>
      </c>
      <c r="AA309" s="16" t="inlineStr">
        <is>
          <t>warn</t>
        </is>
      </c>
      <c r="AB309" s="16" t="inlineStr">
        <is>
          <t>warn</t>
        </is>
      </c>
      <c r="AC309" s="15" t="inlineStr">
        <is>
          <t>not_checked</t>
        </is>
      </c>
      <c r="AD309" s="14" t="inlineStr">
        <is>
          <t>pass</t>
        </is>
      </c>
      <c r="AE309" s="14" t="inlineStr">
        <is>
          <t>pass</t>
        </is>
      </c>
      <c r="AF309" s="18" t="inlineStr">
        <is>
          <t>fail</t>
        </is>
      </c>
      <c r="AG309" s="16" t="inlineStr">
        <is>
          <t>warn</t>
        </is>
      </c>
      <c r="AH309" s="15" t="inlineStr">
        <is>
          <t>not_checked</t>
        </is>
      </c>
      <c r="AI309" s="15" t="inlineStr">
        <is>
          <t>n.a.</t>
        </is>
      </c>
      <c r="AJ309" s="15" t="inlineStr">
        <is>
          <t>n.a.</t>
        </is>
      </c>
      <c r="AK309" s="4" t="inlineStr">
        <is>
          <t>machine_metadata;license;access;persistent_id(warn);recency(warn);cadence(warn);join_key(warn)</t>
        </is>
      </c>
      <c r="AL309" s="17" t="inlineStr">
        <is>
          <t>https://biobank.ndph.ox.ac.uk/showcase/label.cgi?id=114</t>
        </is>
      </c>
      <c r="AM309" s="4" t="inlineStr">
        <is>
          <t>gb_ukbiobank_local_environment</t>
        </is>
      </c>
    </row>
    <row r="310">
      <c r="A310" s="4" t="inlineStr">
        <is>
          <t>WHO Ambient Air Quality Database</t>
        </is>
      </c>
      <c r="B310" s="20" t="inlineStr">
        <is>
          <t>Bronze</t>
        </is>
      </c>
      <c r="C310" s="4" t="n">
        <v>73</v>
      </c>
      <c r="D310" s="4" t="inlineStr">
        <is>
          <t>environment</t>
        </is>
      </c>
      <c r="E310" s="4" t="inlineStr">
        <is>
          <t>healthy</t>
        </is>
      </c>
      <c r="F310" s="4" t="inlineStr">
        <is>
          <t>unknown</t>
        </is>
      </c>
      <c r="G310" s="4" t="inlineStr">
        <is>
          <t>city/town (human settlement) average</t>
        </is>
      </c>
      <c r="H310" s="4" t="inlineStr">
        <is>
          <t>Joins today</t>
        </is>
      </c>
      <c r="I310" s="4" t="n">
        <v>3</v>
      </c>
      <c r="J310" s="4" t="inlineStr"/>
      <c r="K310" s="4" t="inlineStr">
        <is>
          <t>Curated</t>
        </is>
      </c>
      <c r="L310" s="4" t="n">
        <v>2024</v>
      </c>
      <c r="M310" s="4" t="inlineStr">
        <is>
          <t>open</t>
        </is>
      </c>
      <c r="N310" s="4" t="inlineStr">
        <is>
          <t>2026-10-22</t>
        </is>
      </c>
      <c r="O310" s="14" t="inlineStr">
        <is>
          <t>pass</t>
        </is>
      </c>
      <c r="P310" s="14" t="inlineStr">
        <is>
          <t>pass</t>
        </is>
      </c>
      <c r="Q310" s="14" t="inlineStr">
        <is>
          <t>pass</t>
        </is>
      </c>
      <c r="R310" s="14" t="inlineStr">
        <is>
          <t>pass</t>
        </is>
      </c>
      <c r="S310" s="14" t="inlineStr">
        <is>
          <t>pass</t>
        </is>
      </c>
      <c r="T310" s="15" t="inlineStr">
        <is>
          <t>n.a.</t>
        </is>
      </c>
      <c r="U310" s="15" t="inlineStr">
        <is>
          <t>n.a.</t>
        </is>
      </c>
      <c r="V310" s="16" t="inlineStr">
        <is>
          <t>warn</t>
        </is>
      </c>
      <c r="W310" s="16" t="inlineStr">
        <is>
          <t>warn</t>
        </is>
      </c>
      <c r="X310" s="14" t="inlineStr">
        <is>
          <t>pass</t>
        </is>
      </c>
      <c r="Y310" s="18" t="inlineStr">
        <is>
          <t>fail</t>
        </is>
      </c>
      <c r="Z310" s="14" t="inlineStr">
        <is>
          <t>pass</t>
        </is>
      </c>
      <c r="AA310" s="14" t="inlineStr">
        <is>
          <t>pass</t>
        </is>
      </c>
      <c r="AB310" s="14" t="inlineStr">
        <is>
          <t>pass</t>
        </is>
      </c>
      <c r="AC310" s="14" t="inlineStr">
        <is>
          <t>pass</t>
        </is>
      </c>
      <c r="AD310" s="16" t="inlineStr">
        <is>
          <t>warn</t>
        </is>
      </c>
      <c r="AE310" s="14" t="inlineStr">
        <is>
          <t>pass</t>
        </is>
      </c>
      <c r="AF310" s="14" t="inlineStr">
        <is>
          <t>pass</t>
        </is>
      </c>
      <c r="AG310" s="16" t="inlineStr">
        <is>
          <t>warn</t>
        </is>
      </c>
      <c r="AH310" s="16" t="inlineStr">
        <is>
          <t>warn</t>
        </is>
      </c>
      <c r="AI310" s="15" t="inlineStr">
        <is>
          <t>n.a.</t>
        </is>
      </c>
      <c r="AJ310" s="15" t="inlineStr">
        <is>
          <t>n.a.</t>
        </is>
      </c>
      <c r="AK310" s="4" t="inlineStr">
        <is>
          <t>license;machine_metadata(warn);persistent_id(warn);unit(warn);join_key(warn);format_gaia(warn)</t>
        </is>
      </c>
      <c r="AL310" s="17" t="inlineStr">
        <is>
          <t>https://www.who.int/data/gho/data/themes/air-pollution/who-air-quality-database</t>
        </is>
      </c>
      <c r="AM310" s="4" t="inlineStr">
        <is>
          <t>global_who_ambient_air_quality_db</t>
        </is>
      </c>
    </row>
    <row r="311">
      <c r="A311" s="4" t="inlineStr">
        <is>
          <t>Food Access Research Atlas</t>
        </is>
      </c>
      <c r="B311" s="13" t="inlineStr">
        <is>
          <t>Gold</t>
        </is>
      </c>
      <c r="C311" s="4" t="n">
        <v>91</v>
      </c>
      <c r="D311" s="4" t="inlineStr">
        <is>
          <t>food_access</t>
        </is>
      </c>
      <c r="E311" s="4" t="inlineStr">
        <is>
          <t>degraded</t>
        </is>
      </c>
      <c r="F311" s="4" t="inlineStr">
        <is>
          <t>public_domain_us_federal</t>
        </is>
      </c>
      <c r="G311" s="4" t="inlineStr">
        <is>
          <t>tract</t>
        </is>
      </c>
      <c r="H311" s="4" t="inlineStr">
        <is>
          <t>Joins today</t>
        </is>
      </c>
      <c r="I311" s="4" t="n">
        <v>3</v>
      </c>
      <c r="J311" s="4" t="inlineStr"/>
      <c r="K311" s="4" t="inlineStr">
        <is>
          <t>Curated</t>
        </is>
      </c>
      <c r="L311" s="4" t="n">
        <v>2025</v>
      </c>
      <c r="M311" s="4" t="inlineStr">
        <is>
          <t>open</t>
        </is>
      </c>
      <c r="N311" s="4" t="inlineStr">
        <is>
          <t>2026-10-29</t>
        </is>
      </c>
      <c r="O311" s="14" t="inlineStr">
        <is>
          <t>pass</t>
        </is>
      </c>
      <c r="P311" s="14" t="inlineStr">
        <is>
          <t>pass</t>
        </is>
      </c>
      <c r="Q311" s="14" t="inlineStr">
        <is>
          <t>pass</t>
        </is>
      </c>
      <c r="R311" s="14" t="inlineStr">
        <is>
          <t>pass</t>
        </is>
      </c>
      <c r="S311" s="14" t="inlineStr">
        <is>
          <t>pass</t>
        </is>
      </c>
      <c r="T311" s="14" t="inlineStr">
        <is>
          <t>pass</t>
        </is>
      </c>
      <c r="U311" s="14" t="inlineStr">
        <is>
          <t>pass</t>
        </is>
      </c>
      <c r="V311" s="18" t="inlineStr">
        <is>
          <t>fail</t>
        </is>
      </c>
      <c r="W311" s="16" t="inlineStr">
        <is>
          <t>warn</t>
        </is>
      </c>
      <c r="X311" s="14" t="inlineStr">
        <is>
          <t>pass</t>
        </is>
      </c>
      <c r="Y311" s="14" t="inlineStr">
        <is>
          <t>pass</t>
        </is>
      </c>
      <c r="Z311" s="14" t="inlineStr">
        <is>
          <t>pass</t>
        </is>
      </c>
      <c r="AA311" s="14" t="inlineStr">
        <is>
          <t>pass</t>
        </is>
      </c>
      <c r="AB311" s="14" t="inlineStr">
        <is>
          <t>pass</t>
        </is>
      </c>
      <c r="AC311" s="14" t="inlineStr">
        <is>
          <t>pass</t>
        </is>
      </c>
      <c r="AD311" s="14" t="inlineStr">
        <is>
          <t>pass</t>
        </is>
      </c>
      <c r="AE311" s="15" t="inlineStr">
        <is>
          <t>not_checked</t>
        </is>
      </c>
      <c r="AF311" s="14" t="inlineStr">
        <is>
          <t>pass</t>
        </is>
      </c>
      <c r="AG311" s="16" t="inlineStr">
        <is>
          <t>warn</t>
        </is>
      </c>
      <c r="AH311" s="16" t="inlineStr">
        <is>
          <t>warn</t>
        </is>
      </c>
      <c r="AI311" s="15" t="inlineStr">
        <is>
          <t>n.a.</t>
        </is>
      </c>
      <c r="AJ311" s="15" t="inlineStr">
        <is>
          <t>n.a.</t>
        </is>
      </c>
      <c r="AK311" s="4" t="inlineStr">
        <is>
          <t>machine_metadata;persistent_id(warn);join_key(warn);format_gaia(warn)</t>
        </is>
      </c>
      <c r="AL311" s="17" t="inlineStr">
        <is>
          <t>http://www.ers.usda.gov/data-products/food-access-research-atlas</t>
        </is>
      </c>
      <c r="AM311" s="4" t="inlineStr">
        <is>
          <t>us_usda_ers_food_access_research_atlas</t>
        </is>
      </c>
    </row>
    <row r="312">
      <c r="A312" s="4" t="inlineStr">
        <is>
          <t>Food Environment Atlas</t>
        </is>
      </c>
      <c r="B312" s="19" t="inlineStr">
        <is>
          <t>Silver</t>
        </is>
      </c>
      <c r="C312" s="4" t="n">
        <v>92</v>
      </c>
      <c r="D312" s="4" t="inlineStr">
        <is>
          <t>food_access</t>
        </is>
      </c>
      <c r="E312" s="4" t="inlineStr">
        <is>
          <t>degraded</t>
        </is>
      </c>
      <c r="F312" s="4" t="inlineStr">
        <is>
          <t>public_domain_us_federal</t>
        </is>
      </c>
      <c r="G312" s="4" t="inlineStr">
        <is>
          <t>county</t>
        </is>
      </c>
      <c r="H312" s="4" t="inlineStr">
        <is>
          <t>Joins today</t>
        </is>
      </c>
      <c r="I312" s="4" t="n">
        <v>3</v>
      </c>
      <c r="J312" s="4" t="inlineStr"/>
      <c r="K312" s="4" t="inlineStr">
        <is>
          <t>Curated</t>
        </is>
      </c>
      <c r="L312" s="4" t="n">
        <v>2025</v>
      </c>
      <c r="M312" s="4" t="inlineStr">
        <is>
          <t>open</t>
        </is>
      </c>
      <c r="N312" s="4" t="inlineStr">
        <is>
          <t>2026-10-29</t>
        </is>
      </c>
      <c r="O312" s="14" t="inlineStr">
        <is>
          <t>pass</t>
        </is>
      </c>
      <c r="P312" s="14" t="inlineStr">
        <is>
          <t>pass</t>
        </is>
      </c>
      <c r="Q312" s="14" t="inlineStr">
        <is>
          <t>pass</t>
        </is>
      </c>
      <c r="R312" s="14" t="inlineStr">
        <is>
          <t>pass</t>
        </is>
      </c>
      <c r="S312" s="14" t="inlineStr">
        <is>
          <t>pass</t>
        </is>
      </c>
      <c r="T312" s="14" t="inlineStr">
        <is>
          <t>pass</t>
        </is>
      </c>
      <c r="U312" s="14" t="inlineStr">
        <is>
          <t>pass</t>
        </is>
      </c>
      <c r="V312" s="18" t="inlineStr">
        <is>
          <t>fail</t>
        </is>
      </c>
      <c r="W312" s="16" t="inlineStr">
        <is>
          <t>warn</t>
        </is>
      </c>
      <c r="X312" s="14" t="inlineStr">
        <is>
          <t>pass</t>
        </is>
      </c>
      <c r="Y312" s="14" t="inlineStr">
        <is>
          <t>pass</t>
        </is>
      </c>
      <c r="Z312" s="16" t="inlineStr">
        <is>
          <t>warn</t>
        </is>
      </c>
      <c r="AA312" s="14" t="inlineStr">
        <is>
          <t>pass</t>
        </is>
      </c>
      <c r="AB312" s="16" t="inlineStr">
        <is>
          <t>warn</t>
        </is>
      </c>
      <c r="AC312" s="14" t="inlineStr">
        <is>
          <t>pass</t>
        </is>
      </c>
      <c r="AD312" s="14" t="inlineStr">
        <is>
          <t>pass</t>
        </is>
      </c>
      <c r="AE312" s="14" t="inlineStr">
        <is>
          <t>pass</t>
        </is>
      </c>
      <c r="AF312" s="14" t="inlineStr">
        <is>
          <t>pass</t>
        </is>
      </c>
      <c r="AG312" s="14" t="inlineStr">
        <is>
          <t>pass</t>
        </is>
      </c>
      <c r="AH312" s="14" t="inlineStr">
        <is>
          <t>pass</t>
        </is>
      </c>
      <c r="AI312" s="15" t="inlineStr">
        <is>
          <t>n.a.</t>
        </is>
      </c>
      <c r="AJ312" s="15" t="inlineStr">
        <is>
          <t>n.a.</t>
        </is>
      </c>
      <c r="AK312" s="4" t="inlineStr">
        <is>
          <t>machine_metadata;persistent_id(warn);temporal(warn);cadence(warn)</t>
        </is>
      </c>
      <c r="AL312" s="17" t="inlineStr">
        <is>
          <t>http://www.ers.usda.gov/data-products/food-environment-atlas</t>
        </is>
      </c>
      <c r="AM312" s="4" t="inlineStr">
        <is>
          <t>us_usda_ers_food_environment_atlas</t>
        </is>
      </c>
    </row>
    <row r="313">
      <c r="A313" s="4" t="inlineStr">
        <is>
          <t>Grocery Stores - 2013</t>
        </is>
      </c>
      <c r="B313" s="20" t="inlineStr">
        <is>
          <t>Bronze</t>
        </is>
      </c>
      <c r="C313" s="4" t="n">
        <v>83</v>
      </c>
      <c r="D313" s="4" t="inlineStr">
        <is>
          <t>food_access</t>
        </is>
      </c>
      <c r="E313" s="4" t="inlineStr">
        <is>
          <t>healthy</t>
        </is>
      </c>
      <c r="F313" s="4" t="inlineStr">
        <is>
          <t>unknown</t>
        </is>
      </c>
      <c r="G313" s="4" t="inlineStr">
        <is>
          <t>point</t>
        </is>
      </c>
      <c r="H313" s="4" t="inlineStr">
        <is>
          <t>Needs a count/distance step</t>
        </is>
      </c>
      <c r="I313" s="4" t="n">
        <v>3</v>
      </c>
      <c r="J313" s="4" t="inlineStr"/>
      <c r="K313" s="4" t="inlineStr">
        <is>
          <t>Curated</t>
        </is>
      </c>
      <c r="L313" s="4" t="n">
        <v>2013</v>
      </c>
      <c r="M313" s="4" t="inlineStr">
        <is>
          <t>open</t>
        </is>
      </c>
      <c r="N313" s="4" t="inlineStr">
        <is>
          <t>2026-10-22</t>
        </is>
      </c>
      <c r="O313" s="14" t="inlineStr">
        <is>
          <t>pass</t>
        </is>
      </c>
      <c r="P313" s="14" t="inlineStr">
        <is>
          <t>pass</t>
        </is>
      </c>
      <c r="Q313" s="14" t="inlineStr">
        <is>
          <t>pass</t>
        </is>
      </c>
      <c r="R313" s="14" t="inlineStr">
        <is>
          <t>pass</t>
        </is>
      </c>
      <c r="S313" s="14" t="inlineStr">
        <is>
          <t>pass</t>
        </is>
      </c>
      <c r="T313" s="14" t="inlineStr">
        <is>
          <t>pass</t>
        </is>
      </c>
      <c r="U313" s="16" t="inlineStr">
        <is>
          <t>warn</t>
        </is>
      </c>
      <c r="V313" s="14" t="inlineStr">
        <is>
          <t>pass</t>
        </is>
      </c>
      <c r="W313" s="16" t="inlineStr">
        <is>
          <t>warn</t>
        </is>
      </c>
      <c r="X313" s="14" t="inlineStr">
        <is>
          <t>pass</t>
        </is>
      </c>
      <c r="Y313" s="18" t="inlineStr">
        <is>
          <t>fail</t>
        </is>
      </c>
      <c r="Z313" s="14" t="inlineStr">
        <is>
          <t>pass</t>
        </is>
      </c>
      <c r="AA313" s="16" t="inlineStr">
        <is>
          <t>warn</t>
        </is>
      </c>
      <c r="AB313" s="16" t="inlineStr">
        <is>
          <t>warn</t>
        </is>
      </c>
      <c r="AC313" s="14" t="inlineStr">
        <is>
          <t>pass</t>
        </is>
      </c>
      <c r="AD313" s="14" t="inlineStr">
        <is>
          <t>pass</t>
        </is>
      </c>
      <c r="AE313" s="14" t="inlineStr">
        <is>
          <t>pass</t>
        </is>
      </c>
      <c r="AF313" s="14" t="inlineStr">
        <is>
          <t>pass</t>
        </is>
      </c>
      <c r="AG313" s="14" t="inlineStr">
        <is>
          <t>pass</t>
        </is>
      </c>
      <c r="AH313" s="14" t="inlineStr">
        <is>
          <t>pass</t>
        </is>
      </c>
      <c r="AI313" s="15" t="inlineStr">
        <is>
          <t>n.a.</t>
        </is>
      </c>
      <c r="AJ313" s="15" t="inlineStr">
        <is>
          <t>n.a.</t>
        </is>
      </c>
      <c r="AK313" s="4" t="inlineStr">
        <is>
          <t>license;format_match(warn);persistent_id(warn);recency(warn);cadence(warn)</t>
        </is>
      </c>
      <c r="AL313" s="17" t="inlineStr">
        <is>
          <t>https://catalog.data.gov/dataset/grocery-stores-2013</t>
        </is>
      </c>
      <c r="AM313" s="4" t="inlineStr">
        <is>
          <t>us_chicago_grocery_stores_2013</t>
        </is>
      </c>
    </row>
    <row r="314">
      <c r="A314" s="4" t="inlineStr">
        <is>
          <t>500 Cities Project</t>
        </is>
      </c>
      <c r="B314" s="13" t="inlineStr">
        <is>
          <t>Gold</t>
        </is>
      </c>
      <c r="C314" s="4" t="n">
        <v>90</v>
      </c>
      <c r="D314" s="4" t="inlineStr">
        <is>
          <t>health_outcome</t>
        </is>
      </c>
      <c r="E314" s="4" t="inlineStr">
        <is>
          <t>healthy</t>
        </is>
      </c>
      <c r="F314" s="4" t="inlineStr">
        <is>
          <t>public_domain_us_federal</t>
        </is>
      </c>
      <c r="G314" s="4" t="inlineStr">
        <is>
          <t>tract</t>
        </is>
      </c>
      <c r="H314" s="4" t="inlineStr">
        <is>
          <t>Joins today</t>
        </is>
      </c>
      <c r="I314" s="4" t="n">
        <v>3</v>
      </c>
      <c r="J314" s="4" t="inlineStr"/>
      <c r="K314" s="4" t="inlineStr">
        <is>
          <t>Curated</t>
        </is>
      </c>
      <c r="L314" s="4" t="n">
        <v>2019</v>
      </c>
      <c r="M314" s="4" t="inlineStr">
        <is>
          <t>open</t>
        </is>
      </c>
      <c r="N314" s="4" t="inlineStr">
        <is>
          <t>2026-10-29</t>
        </is>
      </c>
      <c r="O314" s="14" t="inlineStr">
        <is>
          <t>pass</t>
        </is>
      </c>
      <c r="P314" s="14" t="inlineStr">
        <is>
          <t>pass</t>
        </is>
      </c>
      <c r="Q314" s="14" t="inlineStr">
        <is>
          <t>pass</t>
        </is>
      </c>
      <c r="R314" s="14" t="inlineStr">
        <is>
          <t>pass</t>
        </is>
      </c>
      <c r="S314" s="14" t="inlineStr">
        <is>
          <t>pass</t>
        </is>
      </c>
      <c r="T314" s="14" t="inlineStr">
        <is>
          <t>pass</t>
        </is>
      </c>
      <c r="U314" s="14" t="inlineStr">
        <is>
          <t>pass</t>
        </is>
      </c>
      <c r="V314" s="16" t="inlineStr">
        <is>
          <t>warn</t>
        </is>
      </c>
      <c r="W314" s="16" t="inlineStr">
        <is>
          <t>warn</t>
        </is>
      </c>
      <c r="X314" s="14" t="inlineStr">
        <is>
          <t>pass</t>
        </is>
      </c>
      <c r="Y314" s="14" t="inlineStr">
        <is>
          <t>pass</t>
        </is>
      </c>
      <c r="Z314" s="14" t="inlineStr">
        <is>
          <t>pass</t>
        </is>
      </c>
      <c r="AA314" s="16" t="inlineStr">
        <is>
          <t>warn</t>
        </is>
      </c>
      <c r="AB314" s="16" t="inlineStr">
        <is>
          <t>warn</t>
        </is>
      </c>
      <c r="AC314" s="15" t="inlineStr">
        <is>
          <t>not_checked</t>
        </is>
      </c>
      <c r="AD314" s="14" t="inlineStr">
        <is>
          <t>pass</t>
        </is>
      </c>
      <c r="AE314" s="14" t="inlineStr">
        <is>
          <t>pass</t>
        </is>
      </c>
      <c r="AF314" s="14" t="inlineStr">
        <is>
          <t>pass</t>
        </is>
      </c>
      <c r="AG314" s="16" t="inlineStr">
        <is>
          <t>warn</t>
        </is>
      </c>
      <c r="AH314" s="15" t="inlineStr">
        <is>
          <t>not_checked</t>
        </is>
      </c>
      <c r="AI314" s="15" t="inlineStr">
        <is>
          <t>n.a.</t>
        </is>
      </c>
      <c r="AJ314" s="15" t="inlineStr">
        <is>
          <t>n.a.</t>
        </is>
      </c>
      <c r="AK314" s="4" t="inlineStr">
        <is>
          <t>machine_metadata(warn);persistent_id(warn);recency(warn);cadence(warn);join_key(warn)</t>
        </is>
      </c>
      <c r="AL314" s="17" t="inlineStr">
        <is>
          <t>https://www.cdc.gov/places/about/index.html</t>
        </is>
      </c>
      <c r="AM314" s="4" t="inlineStr">
        <is>
          <t>us_cdc_500_cities</t>
        </is>
      </c>
    </row>
    <row r="315">
      <c r="A315" s="4" t="inlineStr">
        <is>
          <t>Age-Adjusted Incidence Rates for All Cancer Sites by Jurisdiction, Gender, and Race, Maryland 2009</t>
        </is>
      </c>
      <c r="B315" s="20" t="inlineStr">
        <is>
          <t>Bronze</t>
        </is>
      </c>
      <c r="C315" s="4" t="n">
        <v>78</v>
      </c>
      <c r="D315" s="4" t="inlineStr">
        <is>
          <t>health_outcome</t>
        </is>
      </c>
      <c r="E315" s="4" t="inlineStr">
        <is>
          <t>healthy</t>
        </is>
      </c>
      <c r="F315" s="4" t="inlineStr">
        <is>
          <t>unknown</t>
        </is>
      </c>
      <c r="G315" s="4" t="inlineStr">
        <is>
          <t>county</t>
        </is>
      </c>
      <c r="H315" s="4" t="inlineStr">
        <is>
          <t>Joins today</t>
        </is>
      </c>
      <c r="I315" s="4" t="n">
        <v>3</v>
      </c>
      <c r="J315" s="4" t="inlineStr"/>
      <c r="K315" s="4" t="inlineStr">
        <is>
          <t>Curated</t>
        </is>
      </c>
      <c r="L315" s="4" t="n">
        <v>2009</v>
      </c>
      <c r="M315" s="4" t="inlineStr">
        <is>
          <t>open</t>
        </is>
      </c>
      <c r="N315" s="4" t="inlineStr">
        <is>
          <t>2026-10-22</t>
        </is>
      </c>
      <c r="O315" s="14" t="inlineStr">
        <is>
          <t>pass</t>
        </is>
      </c>
      <c r="P315" s="14" t="inlineStr">
        <is>
          <t>pass</t>
        </is>
      </c>
      <c r="Q315" s="14" t="inlineStr">
        <is>
          <t>pass</t>
        </is>
      </c>
      <c r="R315" s="14" t="inlineStr">
        <is>
          <t>pass</t>
        </is>
      </c>
      <c r="S315" s="14" t="inlineStr">
        <is>
          <t>pass</t>
        </is>
      </c>
      <c r="T315" s="14" t="inlineStr">
        <is>
          <t>pass</t>
        </is>
      </c>
      <c r="U315" s="16" t="inlineStr">
        <is>
          <t>warn</t>
        </is>
      </c>
      <c r="V315" s="14" t="inlineStr">
        <is>
          <t>pass</t>
        </is>
      </c>
      <c r="W315" s="16" t="inlineStr">
        <is>
          <t>warn</t>
        </is>
      </c>
      <c r="X315" s="14" t="inlineStr">
        <is>
          <t>pass</t>
        </is>
      </c>
      <c r="Y315" s="18" t="inlineStr">
        <is>
          <t>fail</t>
        </is>
      </c>
      <c r="Z315" s="14" t="inlineStr">
        <is>
          <t>pass</t>
        </is>
      </c>
      <c r="AA315" s="16" t="inlineStr">
        <is>
          <t>warn</t>
        </is>
      </c>
      <c r="AB315" s="14" t="inlineStr">
        <is>
          <t>pass</t>
        </is>
      </c>
      <c r="AC315" s="16" t="inlineStr">
        <is>
          <t>warn</t>
        </is>
      </c>
      <c r="AD315" s="14" t="inlineStr">
        <is>
          <t>pass</t>
        </is>
      </c>
      <c r="AE315" s="14" t="inlineStr">
        <is>
          <t>pass</t>
        </is>
      </c>
      <c r="AF315" s="14" t="inlineStr">
        <is>
          <t>pass</t>
        </is>
      </c>
      <c r="AG315" s="16" t="inlineStr">
        <is>
          <t>warn</t>
        </is>
      </c>
      <c r="AH315" s="14" t="inlineStr">
        <is>
          <t>pass</t>
        </is>
      </c>
      <c r="AI315" s="15" t="inlineStr">
        <is>
          <t>n.a.</t>
        </is>
      </c>
      <c r="AJ315" s="15" t="inlineStr">
        <is>
          <t>n.a.</t>
        </is>
      </c>
      <c r="AK315" s="4" t="inlineStr">
        <is>
          <t>license;format_match(warn);persistent_id(warn);recency(warn);version(warn);join_key(warn)</t>
        </is>
      </c>
      <c r="AL315" s="17" t="inlineStr">
        <is>
          <t>https://catalog.data.gov/dataset/age-adjusted-incidence-rates-for-all-cancer-sites-by-jurisdiction-gender-and-race-mar-2009</t>
        </is>
      </c>
      <c r="AM315" s="4" t="inlineStr">
        <is>
          <t>us_md_cancer_incidence_by_jurisdiction_2009</t>
        </is>
      </c>
    </row>
    <row r="316">
      <c r="A316" s="4" t="inlineStr">
        <is>
          <t>BRFSS SMART: Selected Metropolitan/Micropolitan Area Risk Trends</t>
        </is>
      </c>
      <c r="B316" s="19" t="inlineStr">
        <is>
          <t>Silver</t>
        </is>
      </c>
      <c r="C316" s="4" t="n">
        <v>86</v>
      </c>
      <c r="D316" s="4" t="inlineStr">
        <is>
          <t>health_outcome</t>
        </is>
      </c>
      <c r="E316" s="4" t="inlineStr">
        <is>
          <t>healthy</t>
        </is>
      </c>
      <c r="F316" s="4" t="inlineStr">
        <is>
          <t>public_domain_us_federal</t>
        </is>
      </c>
      <c r="G316" s="4" t="inlineStr">
        <is>
          <t>cbsa (MMSA: metropolitan/micropolitan statistical area)</t>
        </is>
      </c>
      <c r="H316" s="4" t="inlineStr">
        <is>
          <t>Joins today</t>
        </is>
      </c>
      <c r="I316" s="4" t="n">
        <v>3</v>
      </c>
      <c r="J316" s="4" t="inlineStr"/>
      <c r="K316" s="4" t="inlineStr">
        <is>
          <t>Curated</t>
        </is>
      </c>
      <c r="L316" s="4" t="n">
        <v>2024</v>
      </c>
      <c r="M316" s="4" t="inlineStr">
        <is>
          <t>open</t>
        </is>
      </c>
      <c r="N316" s="4" t="inlineStr">
        <is>
          <t>2026-10-29</t>
        </is>
      </c>
      <c r="O316" s="14" t="inlineStr">
        <is>
          <t>pass</t>
        </is>
      </c>
      <c r="P316" s="14" t="inlineStr">
        <is>
          <t>pass</t>
        </is>
      </c>
      <c r="Q316" s="14" t="inlineStr">
        <is>
          <t>pass</t>
        </is>
      </c>
      <c r="R316" s="14" t="inlineStr">
        <is>
          <t>pass</t>
        </is>
      </c>
      <c r="S316" s="14" t="inlineStr">
        <is>
          <t>pass</t>
        </is>
      </c>
      <c r="T316" s="14" t="inlineStr">
        <is>
          <t>pass</t>
        </is>
      </c>
      <c r="U316" s="14" t="inlineStr">
        <is>
          <t>pass</t>
        </is>
      </c>
      <c r="V316" s="16" t="inlineStr">
        <is>
          <t>warn</t>
        </is>
      </c>
      <c r="W316" s="16" t="inlineStr">
        <is>
          <t>warn</t>
        </is>
      </c>
      <c r="X316" s="14" t="inlineStr">
        <is>
          <t>pass</t>
        </is>
      </c>
      <c r="Y316" s="14" t="inlineStr">
        <is>
          <t>pass</t>
        </is>
      </c>
      <c r="Z316" s="14" t="inlineStr">
        <is>
          <t>pass</t>
        </is>
      </c>
      <c r="AA316" s="14" t="inlineStr">
        <is>
          <t>pass</t>
        </is>
      </c>
      <c r="AB316" s="16" t="inlineStr">
        <is>
          <t>warn</t>
        </is>
      </c>
      <c r="AC316" s="14" t="inlineStr">
        <is>
          <t>pass</t>
        </is>
      </c>
      <c r="AD316" s="16" t="inlineStr">
        <is>
          <t>warn</t>
        </is>
      </c>
      <c r="AE316" s="16" t="inlineStr">
        <is>
          <t>warn</t>
        </is>
      </c>
      <c r="AF316" s="14" t="inlineStr">
        <is>
          <t>pass</t>
        </is>
      </c>
      <c r="AG316" s="16" t="inlineStr">
        <is>
          <t>warn</t>
        </is>
      </c>
      <c r="AH316" s="18" t="inlineStr">
        <is>
          <t>fail</t>
        </is>
      </c>
      <c r="AI316" s="15" t="inlineStr">
        <is>
          <t>n.a.</t>
        </is>
      </c>
      <c r="AJ316" s="15" t="inlineStr">
        <is>
          <t>n.a.</t>
        </is>
      </c>
      <c r="AK316" s="4" t="inlineStr">
        <is>
          <t>format_gaia;machine_metadata(warn);persistent_id(warn);cadence(warn);unit(warn);coverage(warn);join_key(warn)</t>
        </is>
      </c>
      <c r="AL316" s="17" t="inlineStr">
        <is>
          <t>https://www.cdc.gov/brfss/smart/smart_data.htm</t>
        </is>
      </c>
      <c r="AM316" s="4" t="inlineStr">
        <is>
          <t>us_cdc_brfss_smart</t>
        </is>
      </c>
    </row>
    <row r="317">
      <c r="A317" s="4" t="inlineStr">
        <is>
          <t>CDC Heat &amp; Health Tracker</t>
        </is>
      </c>
      <c r="B317" s="20" t="inlineStr">
        <is>
          <t>Bronze</t>
        </is>
      </c>
      <c r="C317" s="4" t="n">
        <v>97</v>
      </c>
      <c r="D317" s="4" t="inlineStr">
        <is>
          <t>health_outcome</t>
        </is>
      </c>
      <c r="E317" s="4" t="inlineStr">
        <is>
          <t>healthy</t>
        </is>
      </c>
      <c r="F317" s="4" t="inlineStr">
        <is>
          <t>public_domain_us_federal</t>
        </is>
      </c>
      <c r="G317" s="4" t="inlineStr">
        <is>
          <t>county (HeatRisk); HHS region (ED rates)</t>
        </is>
      </c>
      <c r="H317" s="4" t="inlineStr">
        <is>
          <t>Joins today</t>
        </is>
      </c>
      <c r="I317" s="4" t="n">
        <v>3</v>
      </c>
      <c r="J317" s="4" t="inlineStr"/>
      <c r="K317" s="4" t="inlineStr">
        <is>
          <t>Curated</t>
        </is>
      </c>
      <c r="L317" s="4" t="n">
        <v>2026</v>
      </c>
      <c r="M317" s="4" t="inlineStr">
        <is>
          <t>open</t>
        </is>
      </c>
      <c r="N317" s="4" t="inlineStr">
        <is>
          <t>2026-10-29</t>
        </is>
      </c>
      <c r="O317" s="14" t="inlineStr">
        <is>
          <t>pass</t>
        </is>
      </c>
      <c r="P317" s="14" t="inlineStr">
        <is>
          <t>pass</t>
        </is>
      </c>
      <c r="Q317" s="14" t="inlineStr">
        <is>
          <t>pass</t>
        </is>
      </c>
      <c r="R317" s="14" t="inlineStr">
        <is>
          <t>pass</t>
        </is>
      </c>
      <c r="S317" s="14" t="inlineStr">
        <is>
          <t>pass</t>
        </is>
      </c>
      <c r="T317" s="14" t="inlineStr">
        <is>
          <t>pass</t>
        </is>
      </c>
      <c r="U317" s="14" t="inlineStr">
        <is>
          <t>pass</t>
        </is>
      </c>
      <c r="V317" s="16" t="inlineStr">
        <is>
          <t>warn</t>
        </is>
      </c>
      <c r="W317" s="16" t="inlineStr">
        <is>
          <t>warn</t>
        </is>
      </c>
      <c r="X317" s="14" t="inlineStr">
        <is>
          <t>pass</t>
        </is>
      </c>
      <c r="Y317" s="14" t="inlineStr">
        <is>
          <t>pass</t>
        </is>
      </c>
      <c r="Z317" s="14" t="inlineStr">
        <is>
          <t>pass</t>
        </is>
      </c>
      <c r="AA317" s="14" t="inlineStr">
        <is>
          <t>pass</t>
        </is>
      </c>
      <c r="AB317" s="15" t="inlineStr">
        <is>
          <t>not_checked</t>
        </is>
      </c>
      <c r="AC317" s="15" t="inlineStr">
        <is>
          <t>not_checked</t>
        </is>
      </c>
      <c r="AD317" s="14" t="inlineStr">
        <is>
          <t>pass</t>
        </is>
      </c>
      <c r="AE317" s="15" t="inlineStr">
        <is>
          <t>not_checked</t>
        </is>
      </c>
      <c r="AF317" s="15" t="inlineStr">
        <is>
          <t>not_checked</t>
        </is>
      </c>
      <c r="AG317" s="15" t="inlineStr">
        <is>
          <t>not_checked</t>
        </is>
      </c>
      <c r="AH317" s="15" t="inlineStr">
        <is>
          <t>not_checked</t>
        </is>
      </c>
      <c r="AI317" s="15" t="inlineStr">
        <is>
          <t>n.a.</t>
        </is>
      </c>
      <c r="AJ317" s="15" t="inlineStr">
        <is>
          <t>n.a.</t>
        </is>
      </c>
      <c r="AK317" s="4" t="inlineStr">
        <is>
          <t>machine_metadata(warn);persistent_id(warn)</t>
        </is>
      </c>
      <c r="AL317" s="17" t="inlineStr">
        <is>
          <t>https://ephtracking.cdc.gov/Applications/heatTracker/</t>
        </is>
      </c>
      <c r="AM317" s="4" t="inlineStr">
        <is>
          <t>us_cdc_heat_health_tracker</t>
        </is>
      </c>
    </row>
    <row r="318">
      <c r="A318" s="4" t="inlineStr">
        <is>
          <t>Combined Asthma Emergency Department and Hospitalizations by Census Tract, Town, Connecticut, 2010-2014</t>
        </is>
      </c>
      <c r="B318" s="20" t="inlineStr">
        <is>
          <t>Bronze</t>
        </is>
      </c>
      <c r="C318" s="4" t="n">
        <v>78</v>
      </c>
      <c r="D318" s="4" t="inlineStr">
        <is>
          <t>health_outcome</t>
        </is>
      </c>
      <c r="E318" s="4" t="inlineStr">
        <is>
          <t>healthy</t>
        </is>
      </c>
      <c r="F318" s="4" t="inlineStr">
        <is>
          <t>unknown</t>
        </is>
      </c>
      <c r="G318" s="4" t="inlineStr">
        <is>
          <t>tract</t>
        </is>
      </c>
      <c r="H318" s="4" t="inlineStr">
        <is>
          <t>Joins today</t>
        </is>
      </c>
      <c r="I318" s="4" t="n">
        <v>3</v>
      </c>
      <c r="J318" s="4" t="inlineStr"/>
      <c r="K318" s="4" t="inlineStr">
        <is>
          <t>Curated</t>
        </is>
      </c>
      <c r="L318" s="4" t="n">
        <v>2014</v>
      </c>
      <c r="M318" s="4" t="inlineStr">
        <is>
          <t>open</t>
        </is>
      </c>
      <c r="N318" s="4" t="inlineStr">
        <is>
          <t>2026-10-22</t>
        </is>
      </c>
      <c r="O318" s="14" t="inlineStr">
        <is>
          <t>pass</t>
        </is>
      </c>
      <c r="P318" s="14" t="inlineStr">
        <is>
          <t>pass</t>
        </is>
      </c>
      <c r="Q318" s="14" t="inlineStr">
        <is>
          <t>pass</t>
        </is>
      </c>
      <c r="R318" s="14" t="inlineStr">
        <is>
          <t>pass</t>
        </is>
      </c>
      <c r="S318" s="14" t="inlineStr">
        <is>
          <t>pass</t>
        </is>
      </c>
      <c r="T318" s="14" t="inlineStr">
        <is>
          <t>pass</t>
        </is>
      </c>
      <c r="U318" s="16" t="inlineStr">
        <is>
          <t>warn</t>
        </is>
      </c>
      <c r="V318" s="14" t="inlineStr">
        <is>
          <t>pass</t>
        </is>
      </c>
      <c r="W318" s="16" t="inlineStr">
        <is>
          <t>warn</t>
        </is>
      </c>
      <c r="X318" s="18" t="inlineStr">
        <is>
          <t>fail</t>
        </is>
      </c>
      <c r="Y318" s="18" t="inlineStr">
        <is>
          <t>fail</t>
        </is>
      </c>
      <c r="Z318" s="14" t="inlineStr">
        <is>
          <t>pass</t>
        </is>
      </c>
      <c r="AA318" s="16" t="inlineStr">
        <is>
          <t>warn</t>
        </is>
      </c>
      <c r="AB318" s="16" t="inlineStr">
        <is>
          <t>warn</t>
        </is>
      </c>
      <c r="AC318" s="16" t="inlineStr">
        <is>
          <t>warn</t>
        </is>
      </c>
      <c r="AD318" s="14" t="inlineStr">
        <is>
          <t>pass</t>
        </is>
      </c>
      <c r="AE318" s="14" t="inlineStr">
        <is>
          <t>pass</t>
        </is>
      </c>
      <c r="AF318" s="14" t="inlineStr">
        <is>
          <t>pass</t>
        </is>
      </c>
      <c r="AG318" s="16" t="inlineStr">
        <is>
          <t>warn</t>
        </is>
      </c>
      <c r="AH318" s="16" t="inlineStr">
        <is>
          <t>warn</t>
        </is>
      </c>
      <c r="AI318" s="15" t="inlineStr">
        <is>
          <t>n.a.</t>
        </is>
      </c>
      <c r="AJ318" s="15" t="inlineStr">
        <is>
          <t>n.a.</t>
        </is>
      </c>
      <c r="AK318" s="4" t="inlineStr">
        <is>
          <t>archived;license;format_match(warn);persistent_id(warn);recency(warn);cadence(warn);version(warn);join_key(warn);format_gaia(warn)</t>
        </is>
      </c>
      <c r="AL318" s="17" t="inlineStr">
        <is>
          <t>https://catalog.data.gov/dataset/combined-asthma-emergency-department-and-hospitalizations-by-census-tract-town-c-2010-2014</t>
        </is>
      </c>
      <c r="AM318" s="4" t="inlineStr">
        <is>
          <t>us_ct_asthma_ed_hospitalizations_by_tract_2010_2014</t>
        </is>
      </c>
    </row>
    <row r="319">
      <c r="A319" s="4" t="inlineStr">
        <is>
          <t>Gavi open data</t>
        </is>
      </c>
      <c r="B319" s="20" t="inlineStr">
        <is>
          <t>Bronze</t>
        </is>
      </c>
      <c r="C319" s="4" t="n">
        <v>75</v>
      </c>
      <c r="D319" s="4" t="inlineStr">
        <is>
          <t>health_outcome</t>
        </is>
      </c>
      <c r="E319" s="4" t="inlineStr">
        <is>
          <t>healthy</t>
        </is>
      </c>
      <c r="F319" s="4" t="inlineStr">
        <is>
          <t>unknown</t>
        </is>
      </c>
      <c r="G319" s="4" t="inlineStr">
        <is>
          <t>country</t>
        </is>
      </c>
      <c r="H319" s="4" t="inlineStr">
        <is>
          <t>Not linkable as listed</t>
        </is>
      </c>
      <c r="I319" s="4" t="n">
        <v>3</v>
      </c>
      <c r="J319" s="4" t="inlineStr"/>
      <c r="K319" s="4" t="inlineStr">
        <is>
          <t>Curated</t>
        </is>
      </c>
      <c r="L319" s="4" t="n">
        <v>2025</v>
      </c>
      <c r="M319" s="4" t="inlineStr">
        <is>
          <t>open</t>
        </is>
      </c>
      <c r="N319" s="4" t="inlineStr">
        <is>
          <t>2026-10-28</t>
        </is>
      </c>
      <c r="O319" s="14" t="inlineStr">
        <is>
          <t>pass</t>
        </is>
      </c>
      <c r="P319" s="14" t="inlineStr">
        <is>
          <t>pass</t>
        </is>
      </c>
      <c r="Q319" s="14" t="inlineStr">
        <is>
          <t>pass</t>
        </is>
      </c>
      <c r="R319" s="14" t="inlineStr">
        <is>
          <t>pass</t>
        </is>
      </c>
      <c r="S319" s="14" t="inlineStr">
        <is>
          <t>pass</t>
        </is>
      </c>
      <c r="T319" s="15" t="inlineStr">
        <is>
          <t>n.a.</t>
        </is>
      </c>
      <c r="U319" s="15" t="inlineStr">
        <is>
          <t>n.a.</t>
        </is>
      </c>
      <c r="V319" s="16" t="inlineStr">
        <is>
          <t>warn</t>
        </is>
      </c>
      <c r="W319" s="16" t="inlineStr">
        <is>
          <t>warn</t>
        </is>
      </c>
      <c r="X319" s="14" t="inlineStr">
        <is>
          <t>pass</t>
        </is>
      </c>
      <c r="Y319" s="18" t="inlineStr">
        <is>
          <t>fail</t>
        </is>
      </c>
      <c r="Z319" s="16" t="inlineStr">
        <is>
          <t>warn</t>
        </is>
      </c>
      <c r="AA319" s="14" t="inlineStr">
        <is>
          <t>pass</t>
        </is>
      </c>
      <c r="AB319" s="16" t="inlineStr">
        <is>
          <t>warn</t>
        </is>
      </c>
      <c r="AC319" s="16" t="inlineStr">
        <is>
          <t>warn</t>
        </is>
      </c>
      <c r="AD319" s="15" t="inlineStr">
        <is>
          <t>not_checked</t>
        </is>
      </c>
      <c r="AE319" s="14" t="inlineStr">
        <is>
          <t>pass</t>
        </is>
      </c>
      <c r="AF319" s="14" t="inlineStr">
        <is>
          <t>pass</t>
        </is>
      </c>
      <c r="AG319" s="15" t="inlineStr">
        <is>
          <t>not_checked</t>
        </is>
      </c>
      <c r="AH319" s="16" t="inlineStr">
        <is>
          <t>warn</t>
        </is>
      </c>
      <c r="AI319" s="15" t="inlineStr">
        <is>
          <t>n.a.</t>
        </is>
      </c>
      <c r="AJ319" s="15" t="inlineStr">
        <is>
          <t>n.a.</t>
        </is>
      </c>
      <c r="AK319" s="4" t="inlineStr">
        <is>
          <t>license;machine_metadata(warn);persistent_id(warn);temporal(warn);cadence(warn);version(warn);format_gaia(warn)</t>
        </is>
      </c>
      <c r="AL319" s="17" t="inlineStr">
        <is>
          <t>https://www.gavi.org/programmes-impact/our-impact/measuring-our-performance</t>
        </is>
      </c>
      <c r="AM319" s="4" t="inlineStr">
        <is>
          <t>global_gavi_open_data</t>
        </is>
      </c>
    </row>
    <row r="320">
      <c r="A320" s="4" t="inlineStr">
        <is>
          <t>GHO Malaria theme data (World Malaria Report)</t>
        </is>
      </c>
      <c r="B320" s="20" t="inlineStr">
        <is>
          <t>Bronze</t>
        </is>
      </c>
      <c r="C320" s="4" t="n">
        <v>76</v>
      </c>
      <c r="D320" s="4" t="inlineStr">
        <is>
          <t>health_outcome</t>
        </is>
      </c>
      <c r="E320" s="4" t="inlineStr">
        <is>
          <t>healthy</t>
        </is>
      </c>
      <c r="F320" s="4" t="inlineStr">
        <is>
          <t>unknown</t>
        </is>
      </c>
      <c r="G320" s="4" t="inlineStr">
        <is>
          <t>country</t>
        </is>
      </c>
      <c r="H320" s="4" t="inlineStr">
        <is>
          <t>Not linkable as listed</t>
        </is>
      </c>
      <c r="I320" s="4" t="n">
        <v>3</v>
      </c>
      <c r="J320" s="4" t="inlineStr"/>
      <c r="K320" s="4" t="inlineStr">
        <is>
          <t>Curated</t>
        </is>
      </c>
      <c r="L320" s="4" t="n">
        <v>2024</v>
      </c>
      <c r="M320" s="4" t="inlineStr">
        <is>
          <t>open</t>
        </is>
      </c>
      <c r="N320" s="4" t="inlineStr">
        <is>
          <t>2026-10-28</t>
        </is>
      </c>
      <c r="O320" s="14" t="inlineStr">
        <is>
          <t>pass</t>
        </is>
      </c>
      <c r="P320" s="14" t="inlineStr">
        <is>
          <t>pass</t>
        </is>
      </c>
      <c r="Q320" s="14" t="inlineStr">
        <is>
          <t>pass</t>
        </is>
      </c>
      <c r="R320" s="14" t="inlineStr">
        <is>
          <t>pass</t>
        </is>
      </c>
      <c r="S320" s="14" t="inlineStr">
        <is>
          <t>pass</t>
        </is>
      </c>
      <c r="T320" s="14" t="inlineStr">
        <is>
          <t>pass</t>
        </is>
      </c>
      <c r="U320" s="14" t="inlineStr">
        <is>
          <t>pass</t>
        </is>
      </c>
      <c r="V320" s="16" t="inlineStr">
        <is>
          <t>warn</t>
        </is>
      </c>
      <c r="W320" s="16" t="inlineStr">
        <is>
          <t>warn</t>
        </is>
      </c>
      <c r="X320" s="14" t="inlineStr">
        <is>
          <t>pass</t>
        </is>
      </c>
      <c r="Y320" s="18" t="inlineStr">
        <is>
          <t>fail</t>
        </is>
      </c>
      <c r="Z320" s="16" t="inlineStr">
        <is>
          <t>warn</t>
        </is>
      </c>
      <c r="AA320" s="14" t="inlineStr">
        <is>
          <t>pass</t>
        </is>
      </c>
      <c r="AB320" s="16" t="inlineStr">
        <is>
          <t>warn</t>
        </is>
      </c>
      <c r="AC320" s="14" t="inlineStr">
        <is>
          <t>pass</t>
        </is>
      </c>
      <c r="AD320" s="14" t="inlineStr">
        <is>
          <t>pass</t>
        </is>
      </c>
      <c r="AE320" s="14" t="inlineStr">
        <is>
          <t>pass</t>
        </is>
      </c>
      <c r="AF320" s="14" t="inlineStr">
        <is>
          <t>pass</t>
        </is>
      </c>
      <c r="AG320" s="16" t="inlineStr">
        <is>
          <t>warn</t>
        </is>
      </c>
      <c r="AH320" s="16" t="inlineStr">
        <is>
          <t>warn</t>
        </is>
      </c>
      <c r="AI320" s="15" t="inlineStr">
        <is>
          <t>n.a.</t>
        </is>
      </c>
      <c r="AJ320" s="15" t="inlineStr">
        <is>
          <t>n.a.</t>
        </is>
      </c>
      <c r="AK320" s="4" t="inlineStr">
        <is>
          <t>license;machine_metadata(warn);persistent_id(warn);temporal(warn);cadence(warn);join_key(warn);format_gaia(warn)</t>
        </is>
      </c>
      <c r="AL320" s="17" t="inlineStr">
        <is>
          <t>https://www.who.int/data/gho/data/themes/malaria</t>
        </is>
      </c>
      <c r="AM320" s="4" t="inlineStr">
        <is>
          <t>global_who_gho_malaria</t>
        </is>
      </c>
    </row>
    <row r="321">
      <c r="A321" s="4" t="inlineStr">
        <is>
          <t>Global Health Estimates (GHE)</t>
        </is>
      </c>
      <c r="B321" s="20" t="inlineStr">
        <is>
          <t>Bronze</t>
        </is>
      </c>
      <c r="C321" s="4" t="n">
        <v>82</v>
      </c>
      <c r="D321" s="4" t="inlineStr">
        <is>
          <t>health_outcome</t>
        </is>
      </c>
      <c r="E321" s="4" t="inlineStr">
        <is>
          <t>healthy</t>
        </is>
      </c>
      <c r="F321" s="4" t="inlineStr">
        <is>
          <t>unknown</t>
        </is>
      </c>
      <c r="G321" s="4" t="inlineStr">
        <is>
          <t>country</t>
        </is>
      </c>
      <c r="H321" s="4" t="inlineStr">
        <is>
          <t>Not linkable as listed</t>
        </is>
      </c>
      <c r="I321" s="4" t="n">
        <v>3</v>
      </c>
      <c r="J321" s="4" t="inlineStr"/>
      <c r="K321" s="4" t="inlineStr">
        <is>
          <t>Curated</t>
        </is>
      </c>
      <c r="L321" s="4" t="n">
        <v>2023</v>
      </c>
      <c r="M321" s="4" t="inlineStr">
        <is>
          <t>open</t>
        </is>
      </c>
      <c r="N321" s="4" t="inlineStr">
        <is>
          <t>2026-10-28</t>
        </is>
      </c>
      <c r="O321" s="14" t="inlineStr">
        <is>
          <t>pass</t>
        </is>
      </c>
      <c r="P321" s="14" t="inlineStr">
        <is>
          <t>pass</t>
        </is>
      </c>
      <c r="Q321" s="14" t="inlineStr">
        <is>
          <t>pass</t>
        </is>
      </c>
      <c r="R321" s="14" t="inlineStr">
        <is>
          <t>pass</t>
        </is>
      </c>
      <c r="S321" s="14" t="inlineStr">
        <is>
          <t>pass</t>
        </is>
      </c>
      <c r="T321" s="15" t="inlineStr">
        <is>
          <t>n.a.</t>
        </is>
      </c>
      <c r="U321" s="15" t="inlineStr">
        <is>
          <t>n.a.</t>
        </is>
      </c>
      <c r="V321" s="16" t="inlineStr">
        <is>
          <t>warn</t>
        </is>
      </c>
      <c r="W321" s="16" t="inlineStr">
        <is>
          <t>warn</t>
        </is>
      </c>
      <c r="X321" s="14" t="inlineStr">
        <is>
          <t>pass</t>
        </is>
      </c>
      <c r="Y321" s="18" t="inlineStr">
        <is>
          <t>fail</t>
        </is>
      </c>
      <c r="Z321" s="14" t="inlineStr">
        <is>
          <t>pass</t>
        </is>
      </c>
      <c r="AA321" s="14" t="inlineStr">
        <is>
          <t>pass</t>
        </is>
      </c>
      <c r="AB321" s="15" t="inlineStr">
        <is>
          <t>not_checked</t>
        </is>
      </c>
      <c r="AC321" s="16" t="inlineStr">
        <is>
          <t>warn</t>
        </is>
      </c>
      <c r="AD321" s="14" t="inlineStr">
        <is>
          <t>pass</t>
        </is>
      </c>
      <c r="AE321" s="14" t="inlineStr">
        <is>
          <t>pass</t>
        </is>
      </c>
      <c r="AF321" s="14" t="inlineStr">
        <is>
          <t>pass</t>
        </is>
      </c>
      <c r="AG321" s="15" t="inlineStr">
        <is>
          <t>not_checked</t>
        </is>
      </c>
      <c r="AH321" s="16" t="inlineStr">
        <is>
          <t>warn</t>
        </is>
      </c>
      <c r="AI321" s="15" t="inlineStr">
        <is>
          <t>n.a.</t>
        </is>
      </c>
      <c r="AJ321" s="15" t="inlineStr">
        <is>
          <t>n.a.</t>
        </is>
      </c>
      <c r="AK321" s="4" t="inlineStr">
        <is>
          <t>license;machine_metadata(warn);persistent_id(warn);version(warn);format_gaia(warn)</t>
        </is>
      </c>
      <c r="AL321" s="17" t="inlineStr">
        <is>
          <t>https://www.who.int/data/global-health-estimates</t>
        </is>
      </c>
      <c r="AM321" s="4" t="inlineStr">
        <is>
          <t>global_who_global_health_estimates</t>
        </is>
      </c>
    </row>
    <row r="322">
      <c r="A322" s="4" t="inlineStr">
        <is>
          <t>Global Health Observatory (GHO)</t>
        </is>
      </c>
      <c r="B322" s="20" t="inlineStr">
        <is>
          <t>Bronze</t>
        </is>
      </c>
      <c r="C322" s="4" t="n">
        <v>76</v>
      </c>
      <c r="D322" s="4" t="inlineStr">
        <is>
          <t>health_outcome</t>
        </is>
      </c>
      <c r="E322" s="4" t="inlineStr">
        <is>
          <t>healthy</t>
        </is>
      </c>
      <c r="F322" s="4" t="inlineStr">
        <is>
          <t>unknown</t>
        </is>
      </c>
      <c r="G322" s="4" t="inlineStr">
        <is>
          <t>country</t>
        </is>
      </c>
      <c r="H322" s="4" t="inlineStr">
        <is>
          <t>Not linkable as listed</t>
        </is>
      </c>
      <c r="I322" s="4" t="n">
        <v>3</v>
      </c>
      <c r="J322" s="4" t="inlineStr"/>
      <c r="K322" s="4" t="inlineStr">
        <is>
          <t>Curated</t>
        </is>
      </c>
      <c r="L322" s="4" t="inlineStr"/>
      <c r="M322" s="4" t="inlineStr">
        <is>
          <t>open</t>
        </is>
      </c>
      <c r="N322" s="4" t="inlineStr">
        <is>
          <t>2026-10-28</t>
        </is>
      </c>
      <c r="O322" s="14" t="inlineStr">
        <is>
          <t>pass</t>
        </is>
      </c>
      <c r="P322" s="14" t="inlineStr">
        <is>
          <t>pass</t>
        </is>
      </c>
      <c r="Q322" s="14" t="inlineStr">
        <is>
          <t>pass</t>
        </is>
      </c>
      <c r="R322" s="14" t="inlineStr">
        <is>
          <t>pass</t>
        </is>
      </c>
      <c r="S322" s="14" t="inlineStr">
        <is>
          <t>pass</t>
        </is>
      </c>
      <c r="T322" s="14" t="inlineStr">
        <is>
          <t>pass</t>
        </is>
      </c>
      <c r="U322" s="14" t="inlineStr">
        <is>
          <t>pass</t>
        </is>
      </c>
      <c r="V322" s="16" t="inlineStr">
        <is>
          <t>warn</t>
        </is>
      </c>
      <c r="W322" s="16" t="inlineStr">
        <is>
          <t>warn</t>
        </is>
      </c>
      <c r="X322" s="14" t="inlineStr">
        <is>
          <t>pass</t>
        </is>
      </c>
      <c r="Y322" s="18" t="inlineStr">
        <is>
          <t>fail</t>
        </is>
      </c>
      <c r="Z322" s="15" t="inlineStr">
        <is>
          <t>not_checked</t>
        </is>
      </c>
      <c r="AA322" s="15" t="inlineStr">
        <is>
          <t>not_checked</t>
        </is>
      </c>
      <c r="AB322" s="16" t="inlineStr">
        <is>
          <t>warn</t>
        </is>
      </c>
      <c r="AC322" s="15" t="inlineStr">
        <is>
          <t>not_checked</t>
        </is>
      </c>
      <c r="AD322" s="14" t="inlineStr">
        <is>
          <t>pass</t>
        </is>
      </c>
      <c r="AE322" s="16" t="inlineStr">
        <is>
          <t>warn</t>
        </is>
      </c>
      <c r="AF322" s="14" t="inlineStr">
        <is>
          <t>pass</t>
        </is>
      </c>
      <c r="AG322" s="16" t="inlineStr">
        <is>
          <t>warn</t>
        </is>
      </c>
      <c r="AH322" s="16" t="inlineStr">
        <is>
          <t>warn</t>
        </is>
      </c>
      <c r="AI322" s="15" t="inlineStr">
        <is>
          <t>n.a.</t>
        </is>
      </c>
      <c r="AJ322" s="15" t="inlineStr">
        <is>
          <t>n.a.</t>
        </is>
      </c>
      <c r="AK322" s="4" t="inlineStr">
        <is>
          <t>license;machine_metadata(warn);persistent_id(warn);cadence(warn);coverage(warn);join_key(warn);format_gaia(warn)</t>
        </is>
      </c>
      <c r="AL322" s="17" t="inlineStr">
        <is>
          <t>https://www.who.int/data/gho</t>
        </is>
      </c>
      <c r="AM322" s="4" t="inlineStr">
        <is>
          <t>global_who_gho</t>
        </is>
      </c>
    </row>
    <row r="323">
      <c r="A323" s="4" t="inlineStr">
        <is>
          <t>Miami-Dade 2025 DORMIR Study</t>
        </is>
      </c>
      <c r="B323" s="20" t="inlineStr">
        <is>
          <t>Bronze</t>
        </is>
      </c>
      <c r="C323" s="4" t="inlineStr"/>
      <c r="D323" s="4" t="inlineStr">
        <is>
          <t>health_outcome</t>
        </is>
      </c>
      <c r="E323" s="4" t="inlineStr">
        <is>
          <t>n.a.</t>
        </is>
      </c>
      <c r="F323" s="4" t="inlineStr">
        <is>
          <t>not checked</t>
        </is>
      </c>
      <c r="G323" s="4" t="inlineStr">
        <is>
          <t>unknown</t>
        </is>
      </c>
      <c r="H323" s="4" t="inlineStr">
        <is>
          <t>Unknown</t>
        </is>
      </c>
      <c r="I323" s="4" t="n">
        <v>3</v>
      </c>
      <c r="J323" s="4" t="inlineStr"/>
      <c r="K323" s="4" t="inlineStr">
        <is>
          <t>Curated</t>
        </is>
      </c>
      <c r="L323" s="4" t="n">
        <v>2025</v>
      </c>
      <c r="M323" s="4" t="inlineStr">
        <is>
          <t>unknown</t>
        </is>
      </c>
      <c r="N323" s="4" t="inlineStr">
        <is>
          <t>2026-10-22</t>
        </is>
      </c>
      <c r="O323" s="15" t="inlineStr">
        <is>
          <t>n.a.</t>
        </is>
      </c>
      <c r="P323" s="15" t="inlineStr">
        <is>
          <t>n.a.</t>
        </is>
      </c>
      <c r="Q323" s="15" t="inlineStr">
        <is>
          <t>n.a.</t>
        </is>
      </c>
      <c r="R323" s="15" t="inlineStr">
        <is>
          <t>n.a.</t>
        </is>
      </c>
      <c r="S323" s="15" t="inlineStr">
        <is>
          <t>n.a.</t>
        </is>
      </c>
      <c r="T323" s="15" t="inlineStr">
        <is>
          <t>n.a.</t>
        </is>
      </c>
      <c r="U323" s="15" t="inlineStr">
        <is>
          <t>n.a.</t>
        </is>
      </c>
      <c r="V323" s="15" t="inlineStr">
        <is>
          <t>n.a.</t>
        </is>
      </c>
      <c r="W323" s="16" t="inlineStr">
        <is>
          <t>warn</t>
        </is>
      </c>
      <c r="X323" s="15" t="inlineStr">
        <is>
          <t>n.a.</t>
        </is>
      </c>
      <c r="Y323" s="15" t="inlineStr">
        <is>
          <t>not_checked</t>
        </is>
      </c>
      <c r="Z323" s="15" t="inlineStr">
        <is>
          <t>not_checked</t>
        </is>
      </c>
      <c r="AA323" s="15" t="inlineStr">
        <is>
          <t>not_checked</t>
        </is>
      </c>
      <c r="AB323" s="15" t="inlineStr">
        <is>
          <t>not_checked</t>
        </is>
      </c>
      <c r="AC323" s="15" t="inlineStr">
        <is>
          <t>not_checked</t>
        </is>
      </c>
      <c r="AD323" s="15" t="inlineStr">
        <is>
          <t>not_checked</t>
        </is>
      </c>
      <c r="AE323" s="15" t="inlineStr">
        <is>
          <t>not_checked</t>
        </is>
      </c>
      <c r="AF323" s="15" t="inlineStr">
        <is>
          <t>not_checked</t>
        </is>
      </c>
      <c r="AG323" s="15" t="inlineStr">
        <is>
          <t>not_checked</t>
        </is>
      </c>
      <c r="AH323" s="15" t="inlineStr">
        <is>
          <t>not_checked</t>
        </is>
      </c>
      <c r="AI323" s="15" t="inlineStr">
        <is>
          <t>n.a.</t>
        </is>
      </c>
      <c r="AJ323" s="15" t="inlineStr">
        <is>
          <t>n.a.</t>
        </is>
      </c>
      <c r="AK323" s="4" t="inlineStr">
        <is>
          <t>persistent_id(warn)</t>
        </is>
      </c>
      <c r="AL323" s="4" t="inlineStr"/>
      <c r="AM323" s="4" t="inlineStr">
        <is>
          <t>us_mdc_2024_dormir_study</t>
        </is>
      </c>
    </row>
    <row r="324">
      <c r="A324" s="4" t="inlineStr">
        <is>
          <t>SEER Research Data (incidence) with county and census tract attributes</t>
        </is>
      </c>
      <c r="B324" s="20" t="inlineStr">
        <is>
          <t>Bronze</t>
        </is>
      </c>
      <c r="C324" s="4" t="n">
        <v>58</v>
      </c>
      <c r="D324" s="4" t="inlineStr">
        <is>
          <t>health_outcome</t>
        </is>
      </c>
      <c r="E324" s="4" t="inlineStr">
        <is>
          <t>healthy</t>
        </is>
      </c>
      <c r="F324" s="4" t="inlineStr">
        <is>
          <t>restricted</t>
        </is>
      </c>
      <c r="G324" s="4" t="inlineStr">
        <is>
          <t>county</t>
        </is>
      </c>
      <c r="H324" s="4" t="inlineStr">
        <is>
          <t>Joins today</t>
        </is>
      </c>
      <c r="I324" s="4" t="n">
        <v>3</v>
      </c>
      <c r="J324" s="4" t="inlineStr"/>
      <c r="K324" s="4" t="inlineStr">
        <is>
          <t>Curated</t>
        </is>
      </c>
      <c r="L324" s="4" t="n">
        <v>2023</v>
      </c>
      <c r="M324" s="4" t="inlineStr">
        <is>
          <t>restricted</t>
        </is>
      </c>
      <c r="N324" s="4" t="inlineStr">
        <is>
          <t>2026-10-22</t>
        </is>
      </c>
      <c r="O324" s="14" t="inlineStr">
        <is>
          <t>pass</t>
        </is>
      </c>
      <c r="P324" s="14" t="inlineStr">
        <is>
          <t>pass</t>
        </is>
      </c>
      <c r="Q324" s="14" t="inlineStr">
        <is>
          <t>pass</t>
        </is>
      </c>
      <c r="R324" s="14" t="inlineStr">
        <is>
          <t>pass</t>
        </is>
      </c>
      <c r="S324" s="14" t="inlineStr">
        <is>
          <t>pass</t>
        </is>
      </c>
      <c r="T324" s="14" t="inlineStr">
        <is>
          <t>pass</t>
        </is>
      </c>
      <c r="U324" s="16" t="inlineStr">
        <is>
          <t>warn</t>
        </is>
      </c>
      <c r="V324" s="16" t="inlineStr">
        <is>
          <t>warn</t>
        </is>
      </c>
      <c r="W324" s="16" t="inlineStr">
        <is>
          <t>warn</t>
        </is>
      </c>
      <c r="X324" s="14" t="inlineStr">
        <is>
          <t>pass</t>
        </is>
      </c>
      <c r="Y324" s="18" t="inlineStr">
        <is>
          <t>fail</t>
        </is>
      </c>
      <c r="Z324" s="15" t="inlineStr">
        <is>
          <t>not_checked</t>
        </is>
      </c>
      <c r="AA324" s="15" t="inlineStr">
        <is>
          <t>not_checked</t>
        </is>
      </c>
      <c r="AB324" s="15" t="inlineStr">
        <is>
          <t>not_checked</t>
        </is>
      </c>
      <c r="AC324" s="16" t="inlineStr">
        <is>
          <t>warn</t>
        </is>
      </c>
      <c r="AD324" s="16" t="inlineStr">
        <is>
          <t>warn</t>
        </is>
      </c>
      <c r="AE324" s="16" t="inlineStr">
        <is>
          <t>warn</t>
        </is>
      </c>
      <c r="AF324" s="18" t="inlineStr">
        <is>
          <t>fail</t>
        </is>
      </c>
      <c r="AG324" s="16" t="inlineStr">
        <is>
          <t>warn</t>
        </is>
      </c>
      <c r="AH324" s="16" t="inlineStr">
        <is>
          <t>warn</t>
        </is>
      </c>
      <c r="AI324" s="15" t="inlineStr">
        <is>
          <t>n.a.</t>
        </is>
      </c>
      <c r="AJ324" s="15" t="inlineStr">
        <is>
          <t>n.a.</t>
        </is>
      </c>
      <c r="AK324" s="4" t="inlineStr">
        <is>
          <t>license;access;format_match(warn);machine_metadata(warn);persistent_id(warn);version(warn);unit(warn);coverage(warn);join_key(warn);format_gaia(warn)</t>
        </is>
      </c>
      <c r="AL324" s="17" t="inlineStr">
        <is>
          <t>https://seer.cancer.gov/data/access.html</t>
        </is>
      </c>
      <c r="AM324" s="4" t="inlineStr">
        <is>
          <t>us_nci_seer_research_data</t>
        </is>
      </c>
    </row>
    <row r="325">
      <c r="A325" s="4" t="inlineStr">
        <is>
          <t>State Cancer Profiles</t>
        </is>
      </c>
      <c r="B325" s="13" t="inlineStr">
        <is>
          <t>Gold</t>
        </is>
      </c>
      <c r="C325" s="4" t="n">
        <v>91</v>
      </c>
      <c r="D325" s="4" t="inlineStr">
        <is>
          <t>health_outcome</t>
        </is>
      </c>
      <c r="E325" s="4" t="inlineStr">
        <is>
          <t>degraded</t>
        </is>
      </c>
      <c r="F325" s="4" t="inlineStr">
        <is>
          <t>public_domain_us_federal</t>
        </is>
      </c>
      <c r="G325" s="4" t="inlineStr">
        <is>
          <t>county</t>
        </is>
      </c>
      <c r="H325" s="4" t="inlineStr">
        <is>
          <t>Joins today</t>
        </is>
      </c>
      <c r="I325" s="4" t="n">
        <v>3</v>
      </c>
      <c r="J325" s="4" t="inlineStr"/>
      <c r="K325" s="4" t="inlineStr">
        <is>
          <t>Curated</t>
        </is>
      </c>
      <c r="L325" s="4" t="n">
        <v>2024</v>
      </c>
      <c r="M325" s="4" t="inlineStr">
        <is>
          <t>open</t>
        </is>
      </c>
      <c r="N325" s="4" t="inlineStr">
        <is>
          <t>2026-10-29</t>
        </is>
      </c>
      <c r="O325" s="14" t="inlineStr">
        <is>
          <t>pass</t>
        </is>
      </c>
      <c r="P325" s="14" t="inlineStr">
        <is>
          <t>pass</t>
        </is>
      </c>
      <c r="Q325" s="14" t="inlineStr">
        <is>
          <t>pass</t>
        </is>
      </c>
      <c r="R325" s="14" t="inlineStr">
        <is>
          <t>pass</t>
        </is>
      </c>
      <c r="S325" s="14" t="inlineStr">
        <is>
          <t>pass</t>
        </is>
      </c>
      <c r="T325" s="14" t="inlineStr">
        <is>
          <t>pass</t>
        </is>
      </c>
      <c r="U325" s="14" t="inlineStr">
        <is>
          <t>pass</t>
        </is>
      </c>
      <c r="V325" s="18" t="inlineStr">
        <is>
          <t>fail</t>
        </is>
      </c>
      <c r="W325" s="16" t="inlineStr">
        <is>
          <t>warn</t>
        </is>
      </c>
      <c r="X325" s="14" t="inlineStr">
        <is>
          <t>pass</t>
        </is>
      </c>
      <c r="Y325" s="14" t="inlineStr">
        <is>
          <t>pass</t>
        </is>
      </c>
      <c r="Z325" s="14" t="inlineStr">
        <is>
          <t>pass</t>
        </is>
      </c>
      <c r="AA325" s="14" t="inlineStr">
        <is>
          <t>pass</t>
        </is>
      </c>
      <c r="AB325" s="16" t="inlineStr">
        <is>
          <t>warn</t>
        </is>
      </c>
      <c r="AC325" s="14" t="inlineStr">
        <is>
          <t>pass</t>
        </is>
      </c>
      <c r="AD325" s="14" t="inlineStr">
        <is>
          <t>pass</t>
        </is>
      </c>
      <c r="AE325" s="14" t="inlineStr">
        <is>
          <t>pass</t>
        </is>
      </c>
      <c r="AF325" s="14" t="inlineStr">
        <is>
          <t>pass</t>
        </is>
      </c>
      <c r="AG325" s="16" t="inlineStr">
        <is>
          <t>warn</t>
        </is>
      </c>
      <c r="AH325" s="16" t="inlineStr">
        <is>
          <t>warn</t>
        </is>
      </c>
      <c r="AI325" s="15" t="inlineStr">
        <is>
          <t>n.a.</t>
        </is>
      </c>
      <c r="AJ325" s="15" t="inlineStr">
        <is>
          <t>n.a.</t>
        </is>
      </c>
      <c r="AK325" s="4" t="inlineStr">
        <is>
          <t>machine_metadata;persistent_id(warn);cadence(warn);join_key(warn);format_gaia(warn)</t>
        </is>
      </c>
      <c r="AL325" s="17" t="inlineStr">
        <is>
          <t>https://statecancerprofiles.cancer.gov/</t>
        </is>
      </c>
      <c r="AM325" s="4" t="inlineStr">
        <is>
          <t>us_nci_state_cancer_profiles</t>
        </is>
      </c>
    </row>
    <row r="326">
      <c r="A326" s="4" t="inlineStr">
        <is>
          <t>U.S. Chronic Disease Indicators (CDI)</t>
        </is>
      </c>
      <c r="B326" s="19" t="inlineStr">
        <is>
          <t>Silver</t>
        </is>
      </c>
      <c r="C326" s="4" t="n">
        <v>92</v>
      </c>
      <c r="D326" s="4" t="inlineStr">
        <is>
          <t>health_outcome</t>
        </is>
      </c>
      <c r="E326" s="4" t="inlineStr">
        <is>
          <t>healthy</t>
        </is>
      </c>
      <c r="F326" s="4" t="inlineStr">
        <is>
          <t>public_domain_us_federal</t>
        </is>
      </c>
      <c r="G326" s="4" t="inlineStr">
        <is>
          <t>admin1</t>
        </is>
      </c>
      <c r="H326" s="4" t="inlineStr">
        <is>
          <t>Joins today</t>
        </is>
      </c>
      <c r="I326" s="4" t="n">
        <v>3</v>
      </c>
      <c r="J326" s="4" t="inlineStr"/>
      <c r="K326" s="4" t="inlineStr">
        <is>
          <t>Curated</t>
        </is>
      </c>
      <c r="L326" s="4" t="n">
        <v>2026</v>
      </c>
      <c r="M326" s="4" t="inlineStr">
        <is>
          <t>open</t>
        </is>
      </c>
      <c r="N326" s="4" t="inlineStr">
        <is>
          <t>2026-10-29</t>
        </is>
      </c>
      <c r="O326" s="14" t="inlineStr">
        <is>
          <t>pass</t>
        </is>
      </c>
      <c r="P326" s="14" t="inlineStr">
        <is>
          <t>pass</t>
        </is>
      </c>
      <c r="Q326" s="14" t="inlineStr">
        <is>
          <t>pass</t>
        </is>
      </c>
      <c r="R326" s="14" t="inlineStr">
        <is>
          <t>pass</t>
        </is>
      </c>
      <c r="S326" s="14" t="inlineStr">
        <is>
          <t>pass</t>
        </is>
      </c>
      <c r="T326" s="14" t="inlineStr">
        <is>
          <t>pass</t>
        </is>
      </c>
      <c r="U326" s="14" t="inlineStr">
        <is>
          <t>pass</t>
        </is>
      </c>
      <c r="V326" s="16" t="inlineStr">
        <is>
          <t>warn</t>
        </is>
      </c>
      <c r="W326" s="16" t="inlineStr">
        <is>
          <t>warn</t>
        </is>
      </c>
      <c r="X326" s="14" t="inlineStr">
        <is>
          <t>pass</t>
        </is>
      </c>
      <c r="Y326" s="14" t="inlineStr">
        <is>
          <t>pass</t>
        </is>
      </c>
      <c r="Z326" s="15" t="inlineStr">
        <is>
          <t>not_checked</t>
        </is>
      </c>
      <c r="AA326" s="15" t="inlineStr">
        <is>
          <t>not_checked</t>
        </is>
      </c>
      <c r="AB326" s="15" t="inlineStr">
        <is>
          <t>not_checked</t>
        </is>
      </c>
      <c r="AC326" s="15" t="inlineStr">
        <is>
          <t>not_checked</t>
        </is>
      </c>
      <c r="AD326" s="14" t="inlineStr">
        <is>
          <t>pass</t>
        </is>
      </c>
      <c r="AE326" s="14" t="inlineStr">
        <is>
          <t>pass</t>
        </is>
      </c>
      <c r="AF326" s="14" t="inlineStr">
        <is>
          <t>pass</t>
        </is>
      </c>
      <c r="AG326" s="16" t="inlineStr">
        <is>
          <t>warn</t>
        </is>
      </c>
      <c r="AH326" s="15" t="inlineStr">
        <is>
          <t>not_checked</t>
        </is>
      </c>
      <c r="AI326" s="15" t="inlineStr">
        <is>
          <t>n.a.</t>
        </is>
      </c>
      <c r="AJ326" s="15" t="inlineStr">
        <is>
          <t>n.a.</t>
        </is>
      </c>
      <c r="AK326" s="4" t="inlineStr">
        <is>
          <t>machine_metadata(warn);persistent_id(warn);join_key(warn)</t>
        </is>
      </c>
      <c r="AL326" s="17" t="inlineStr">
        <is>
          <t>https://www.cdc.gov/cdi/index.html</t>
        </is>
      </c>
      <c r="AM326" s="4" t="inlineStr">
        <is>
          <t>us_cdc_chronic_disease_indicators</t>
        </is>
      </c>
    </row>
    <row r="327">
      <c r="A327" s="4" t="inlineStr">
        <is>
          <t>Centralized Health and Exposomic Resource (C-HER)</t>
        </is>
      </c>
      <c r="B327" s="20" t="inlineStr">
        <is>
          <t>Bronze</t>
        </is>
      </c>
      <c r="C327" s="4" t="n">
        <v>58</v>
      </c>
      <c r="D327" s="4" t="inlineStr">
        <is>
          <t>other</t>
        </is>
      </c>
      <c r="E327" s="4" t="inlineStr">
        <is>
          <t>degraded</t>
        </is>
      </c>
      <c r="F327" s="4" t="inlineStr">
        <is>
          <t>unknown</t>
        </is>
      </c>
      <c r="G327" s="4" t="inlineStr">
        <is>
          <t>grid_h3_level8 (H3 'hex8' hexagons, mean area 0.737 km2, mean edge 0.53 km)</t>
        </is>
      </c>
      <c r="H327" s="4" t="inlineStr">
        <is>
          <t>Needs raster support</t>
        </is>
      </c>
      <c r="I327" s="4" t="n">
        <v>3</v>
      </c>
      <c r="J327" s="4" t="inlineStr"/>
      <c r="K327" s="4" t="inlineStr">
        <is>
          <t>Curated</t>
        </is>
      </c>
      <c r="L327" s="4" t="n">
        <v>2020</v>
      </c>
      <c r="M327" s="4" t="inlineStr">
        <is>
          <t>restricted</t>
        </is>
      </c>
      <c r="N327" s="4" t="inlineStr">
        <is>
          <t>2026-10-22</t>
        </is>
      </c>
      <c r="O327" s="14" t="inlineStr">
        <is>
          <t>pass</t>
        </is>
      </c>
      <c r="P327" s="14" t="inlineStr">
        <is>
          <t>pass</t>
        </is>
      </c>
      <c r="Q327" s="14" t="inlineStr">
        <is>
          <t>pass</t>
        </is>
      </c>
      <c r="R327" s="14" t="inlineStr">
        <is>
          <t>pass</t>
        </is>
      </c>
      <c r="S327" s="14" t="inlineStr">
        <is>
          <t>pass</t>
        </is>
      </c>
      <c r="T327" s="15" t="inlineStr">
        <is>
          <t>n.a.</t>
        </is>
      </c>
      <c r="U327" s="15" t="inlineStr">
        <is>
          <t>n.a.</t>
        </is>
      </c>
      <c r="V327" s="18" t="inlineStr">
        <is>
          <t>fail</t>
        </is>
      </c>
      <c r="W327" s="14" t="inlineStr">
        <is>
          <t>pass</t>
        </is>
      </c>
      <c r="X327" s="14" t="inlineStr">
        <is>
          <t>pass</t>
        </is>
      </c>
      <c r="Y327" s="18" t="inlineStr">
        <is>
          <t>fail</t>
        </is>
      </c>
      <c r="Z327" s="16" t="inlineStr">
        <is>
          <t>warn</t>
        </is>
      </c>
      <c r="AA327" s="14" t="inlineStr">
        <is>
          <t>pass</t>
        </is>
      </c>
      <c r="AB327" s="15" t="inlineStr">
        <is>
          <t>not_checked</t>
        </is>
      </c>
      <c r="AC327" s="15" t="inlineStr">
        <is>
          <t>not_checked</t>
        </is>
      </c>
      <c r="AD327" s="16" t="inlineStr">
        <is>
          <t>warn</t>
        </is>
      </c>
      <c r="AE327" s="16" t="inlineStr">
        <is>
          <t>warn</t>
        </is>
      </c>
      <c r="AF327" s="18" t="inlineStr">
        <is>
          <t>fail</t>
        </is>
      </c>
      <c r="AG327" s="16" t="inlineStr">
        <is>
          <t>warn</t>
        </is>
      </c>
      <c r="AH327" s="18" t="inlineStr">
        <is>
          <t>fail</t>
        </is>
      </c>
      <c r="AI327" s="15" t="inlineStr">
        <is>
          <t>n.a.</t>
        </is>
      </c>
      <c r="AJ327" s="15" t="inlineStr">
        <is>
          <t>n.a.</t>
        </is>
      </c>
      <c r="AK327" s="4" t="inlineStr">
        <is>
          <t>machine_metadata;license;access;format_gaia;temporal(warn);unit(warn);coverage(warn);join_key(warn)</t>
        </is>
      </c>
      <c r="AL327" s="17" t="inlineStr">
        <is>
          <t>https://arxiv.org/html/2511.03750v1</t>
        </is>
      </c>
      <c r="AM327" s="4" t="inlineStr">
        <is>
          <t>us_c_her_exposomic_resource</t>
        </is>
      </c>
    </row>
    <row r="328">
      <c r="A328" s="4" t="inlineStr">
        <is>
          <t>Connecting Health Outcomes Research and Data Systems (CHORDS)</t>
        </is>
      </c>
      <c r="B328" s="20" t="inlineStr">
        <is>
          <t>Bronze</t>
        </is>
      </c>
      <c r="C328" s="4" t="n">
        <v>96</v>
      </c>
      <c r="D328" s="4" t="inlineStr">
        <is>
          <t>other</t>
        </is>
      </c>
      <c r="E328" s="4" t="inlineStr">
        <is>
          <t>healthy</t>
        </is>
      </c>
      <c r="F328" s="4" t="inlineStr">
        <is>
          <t>public_domain_us_federal</t>
        </is>
      </c>
      <c r="G328" s="4" t="inlineStr">
        <is>
          <t>unknown</t>
        </is>
      </c>
      <c r="H328" s="4" t="inlineStr">
        <is>
          <t>Unknown</t>
        </is>
      </c>
      <c r="I328" s="4" t="n">
        <v>3</v>
      </c>
      <c r="J328" s="4" t="inlineStr"/>
      <c r="K328" s="4" t="inlineStr">
        <is>
          <t>Curated</t>
        </is>
      </c>
      <c r="L328" s="4" t="n">
        <v>2023</v>
      </c>
      <c r="M328" s="4" t="inlineStr">
        <is>
          <t>open</t>
        </is>
      </c>
      <c r="N328" s="4" t="inlineStr">
        <is>
          <t>2026-10-29</t>
        </is>
      </c>
      <c r="O328" s="14" t="inlineStr">
        <is>
          <t>pass</t>
        </is>
      </c>
      <c r="P328" s="14" t="inlineStr">
        <is>
          <t>pass</t>
        </is>
      </c>
      <c r="Q328" s="14" t="inlineStr">
        <is>
          <t>pass</t>
        </is>
      </c>
      <c r="R328" s="14" t="inlineStr">
        <is>
          <t>pass</t>
        </is>
      </c>
      <c r="S328" s="14" t="inlineStr">
        <is>
          <t>pass</t>
        </is>
      </c>
      <c r="T328" s="15" t="inlineStr">
        <is>
          <t>n.a.</t>
        </is>
      </c>
      <c r="U328" s="15" t="inlineStr">
        <is>
          <t>n.a.</t>
        </is>
      </c>
      <c r="V328" s="16" t="inlineStr">
        <is>
          <t>warn</t>
        </is>
      </c>
      <c r="W328" s="16" t="inlineStr">
        <is>
          <t>warn</t>
        </is>
      </c>
      <c r="X328" s="14" t="inlineStr">
        <is>
          <t>pass</t>
        </is>
      </c>
      <c r="Y328" s="14" t="inlineStr">
        <is>
          <t>pass</t>
        </is>
      </c>
      <c r="Z328" s="15" t="inlineStr">
        <is>
          <t>not_checked</t>
        </is>
      </c>
      <c r="AA328" s="15" t="inlineStr">
        <is>
          <t>not_checked</t>
        </is>
      </c>
      <c r="AB328" s="15" t="inlineStr">
        <is>
          <t>not_checked</t>
        </is>
      </c>
      <c r="AC328" s="15" t="inlineStr">
        <is>
          <t>not_checked</t>
        </is>
      </c>
      <c r="AD328" s="15" t="inlineStr">
        <is>
          <t>not_checked</t>
        </is>
      </c>
      <c r="AE328" s="15" t="inlineStr">
        <is>
          <t>not_checked</t>
        </is>
      </c>
      <c r="AF328" s="15" t="inlineStr">
        <is>
          <t>not_checked</t>
        </is>
      </c>
      <c r="AG328" s="15" t="inlineStr">
        <is>
          <t>not_checked</t>
        </is>
      </c>
      <c r="AH328" s="15" t="inlineStr">
        <is>
          <t>not_checked</t>
        </is>
      </c>
      <c r="AI328" s="15" t="inlineStr">
        <is>
          <t>n.a.</t>
        </is>
      </c>
      <c r="AJ328" s="15" t="inlineStr">
        <is>
          <t>n.a.</t>
        </is>
      </c>
      <c r="AK328" s="4" t="inlineStr">
        <is>
          <t>machine_metadata(warn);persistent_id(warn)</t>
        </is>
      </c>
      <c r="AL328" s="17" t="inlineStr">
        <is>
          <t>https://www.niehs.nih.gov/research/programs/chords</t>
        </is>
      </c>
      <c r="AM328" s="4" t="inlineStr">
        <is>
          <t>us_niehs_chords</t>
        </is>
      </c>
    </row>
    <row r="329">
      <c r="A329" s="4" t="inlineStr">
        <is>
          <t>Environmental influences on Child Health Outcomes (ECHO) Cohort data</t>
        </is>
      </c>
      <c r="B329" s="20" t="inlineStr">
        <is>
          <t>Bronze</t>
        </is>
      </c>
      <c r="C329" s="4" t="n">
        <v>61</v>
      </c>
      <c r="D329" s="4" t="inlineStr">
        <is>
          <t>other</t>
        </is>
      </c>
      <c r="E329" s="4" t="inlineStr">
        <is>
          <t>healthy</t>
        </is>
      </c>
      <c r="F329" s="4" t="inlineStr">
        <is>
          <t>restricted</t>
        </is>
      </c>
      <c r="G329" s="4" t="inlineStr">
        <is>
          <t>unknown</t>
        </is>
      </c>
      <c r="H329" s="4" t="inlineStr">
        <is>
          <t>Unknown</t>
        </is>
      </c>
      <c r="I329" s="4" t="n">
        <v>3</v>
      </c>
      <c r="J329" s="4" t="inlineStr"/>
      <c r="K329" s="4" t="inlineStr">
        <is>
          <t>Curated</t>
        </is>
      </c>
      <c r="L329" s="4" t="inlineStr"/>
      <c r="M329" s="4" t="inlineStr">
        <is>
          <t>restricted</t>
        </is>
      </c>
      <c r="N329" s="4" t="inlineStr">
        <is>
          <t>2026-10-28</t>
        </is>
      </c>
      <c r="O329" s="14" t="inlineStr">
        <is>
          <t>pass</t>
        </is>
      </c>
      <c r="P329" s="14" t="inlineStr">
        <is>
          <t>pass</t>
        </is>
      </c>
      <c r="Q329" s="14" t="inlineStr">
        <is>
          <t>pass</t>
        </is>
      </c>
      <c r="R329" s="14" t="inlineStr">
        <is>
          <t>pass</t>
        </is>
      </c>
      <c r="S329" s="14" t="inlineStr">
        <is>
          <t>pass</t>
        </is>
      </c>
      <c r="T329" s="14" t="inlineStr">
        <is>
          <t>pass</t>
        </is>
      </c>
      <c r="U329" s="16" t="inlineStr">
        <is>
          <t>warn</t>
        </is>
      </c>
      <c r="V329" s="16" t="inlineStr">
        <is>
          <t>warn</t>
        </is>
      </c>
      <c r="W329" s="16" t="inlineStr">
        <is>
          <t>warn</t>
        </is>
      </c>
      <c r="X329" s="14" t="inlineStr">
        <is>
          <t>pass</t>
        </is>
      </c>
      <c r="Y329" s="18" t="inlineStr">
        <is>
          <t>fail</t>
        </is>
      </c>
      <c r="Z329" s="15" t="inlineStr">
        <is>
          <t>not_checked</t>
        </is>
      </c>
      <c r="AA329" s="15" t="inlineStr">
        <is>
          <t>not_checked</t>
        </is>
      </c>
      <c r="AB329" s="15" t="inlineStr">
        <is>
          <t>not_checked</t>
        </is>
      </c>
      <c r="AC329" s="15" t="inlineStr">
        <is>
          <t>not_checked</t>
        </is>
      </c>
      <c r="AD329" s="15" t="inlineStr">
        <is>
          <t>not_checked</t>
        </is>
      </c>
      <c r="AE329" s="14" t="inlineStr">
        <is>
          <t>pass</t>
        </is>
      </c>
      <c r="AF329" s="18" t="inlineStr">
        <is>
          <t>fail</t>
        </is>
      </c>
      <c r="AG329" s="15" t="inlineStr">
        <is>
          <t>not_checked</t>
        </is>
      </c>
      <c r="AH329" s="16" t="inlineStr">
        <is>
          <t>warn</t>
        </is>
      </c>
      <c r="AI329" s="15" t="inlineStr">
        <is>
          <t>n.a.</t>
        </is>
      </c>
      <c r="AJ329" s="15" t="inlineStr">
        <is>
          <t>n.a.</t>
        </is>
      </c>
      <c r="AK329" s="4" t="inlineStr">
        <is>
          <t>license;access;format_match(warn);machine_metadata(warn);persistent_id(warn);format_gaia(warn)</t>
        </is>
      </c>
      <c r="AL329" s="17" t="inlineStr">
        <is>
          <t>https://echochildren.org/</t>
        </is>
      </c>
      <c r="AM329" s="4" t="inlineStr">
        <is>
          <t>us_nih_echo_cohort</t>
        </is>
      </c>
    </row>
    <row r="330">
      <c r="A330" s="4" t="inlineStr">
        <is>
          <t>HELIX (Human Early-Life Exposome) cohort data</t>
        </is>
      </c>
      <c r="B330" s="20" t="inlineStr">
        <is>
          <t>Bronze</t>
        </is>
      </c>
      <c r="C330" s="4" t="n">
        <v>61</v>
      </c>
      <c r="D330" s="4" t="inlineStr">
        <is>
          <t>other</t>
        </is>
      </c>
      <c r="E330" s="4" t="inlineStr">
        <is>
          <t>healthy</t>
        </is>
      </c>
      <c r="F330" s="4" t="inlineStr">
        <is>
          <t>restricted</t>
        </is>
      </c>
      <c r="G330" s="4" t="inlineStr">
        <is>
          <t>unknown</t>
        </is>
      </c>
      <c r="H330" s="4" t="inlineStr">
        <is>
          <t>Not linkable as listed</t>
        </is>
      </c>
      <c r="I330" s="4" t="n">
        <v>3</v>
      </c>
      <c r="J330" s="4" t="inlineStr"/>
      <c r="K330" s="4" t="inlineStr">
        <is>
          <t>Curated</t>
        </is>
      </c>
      <c r="L330" s="4" t="inlineStr"/>
      <c r="M330" s="4" t="inlineStr">
        <is>
          <t>restricted</t>
        </is>
      </c>
      <c r="N330" s="4" t="inlineStr">
        <is>
          <t>2026-10-28</t>
        </is>
      </c>
      <c r="O330" s="14" t="inlineStr">
        <is>
          <t>pass</t>
        </is>
      </c>
      <c r="P330" s="14" t="inlineStr">
        <is>
          <t>pass</t>
        </is>
      </c>
      <c r="Q330" s="14" t="inlineStr">
        <is>
          <t>pass</t>
        </is>
      </c>
      <c r="R330" s="14" t="inlineStr">
        <is>
          <t>pass</t>
        </is>
      </c>
      <c r="S330" s="14" t="inlineStr">
        <is>
          <t>pass</t>
        </is>
      </c>
      <c r="T330" s="14" t="inlineStr">
        <is>
          <t>pass</t>
        </is>
      </c>
      <c r="U330" s="15" t="inlineStr">
        <is>
          <t>n.a.</t>
        </is>
      </c>
      <c r="V330" s="16" t="inlineStr">
        <is>
          <t>warn</t>
        </is>
      </c>
      <c r="W330" s="16" t="inlineStr">
        <is>
          <t>warn</t>
        </is>
      </c>
      <c r="X330" s="18" t="inlineStr">
        <is>
          <t>fail</t>
        </is>
      </c>
      <c r="Y330" s="18" t="inlineStr">
        <is>
          <t>fail</t>
        </is>
      </c>
      <c r="Z330" s="15" t="inlineStr">
        <is>
          <t>not_checked</t>
        </is>
      </c>
      <c r="AA330" s="15" t="inlineStr">
        <is>
          <t>not_checked</t>
        </is>
      </c>
      <c r="AB330" s="15" t="inlineStr">
        <is>
          <t>not_checked</t>
        </is>
      </c>
      <c r="AC330" s="15" t="inlineStr">
        <is>
          <t>not_checked</t>
        </is>
      </c>
      <c r="AD330" s="15" t="inlineStr">
        <is>
          <t>not_checked</t>
        </is>
      </c>
      <c r="AE330" s="14" t="inlineStr">
        <is>
          <t>pass</t>
        </is>
      </c>
      <c r="AF330" s="18" t="inlineStr">
        <is>
          <t>fail</t>
        </is>
      </c>
      <c r="AG330" s="15" t="inlineStr">
        <is>
          <t>not_checked</t>
        </is>
      </c>
      <c r="AH330" s="15" t="inlineStr">
        <is>
          <t>not_checked</t>
        </is>
      </c>
      <c r="AI330" s="15" t="inlineStr">
        <is>
          <t>n.a.</t>
        </is>
      </c>
      <c r="AJ330" s="15" t="inlineStr">
        <is>
          <t>n.a.</t>
        </is>
      </c>
      <c r="AK330" s="4" t="inlineStr">
        <is>
          <t>archived;license;access;machine_metadata(warn);persistent_id(warn)</t>
        </is>
      </c>
      <c r="AL330" s="17" t="inlineStr">
        <is>
          <t>https://www.humanexposome.eu/2024/02/22/helix-cohort-overview-and-access/</t>
        </is>
      </c>
      <c r="AM330" s="4" t="inlineStr">
        <is>
          <t>eu_helix_cohort</t>
        </is>
      </c>
    </row>
    <row r="331">
      <c r="A331" s="4" t="inlineStr">
        <is>
          <t>Public Environmental Data Partners screening-tools.com (reconstructed federal EJ tools: EJScreen, CEJST and others)</t>
        </is>
      </c>
      <c r="B331" s="20" t="inlineStr">
        <is>
          <t>Bronze</t>
        </is>
      </c>
      <c r="C331" s="4" t="n">
        <v>76</v>
      </c>
      <c r="D331" s="4" t="inlineStr">
        <is>
          <t>other</t>
        </is>
      </c>
      <c r="E331" s="4" t="inlineStr">
        <is>
          <t>healthy</t>
        </is>
      </c>
      <c r="F331" s="4" t="inlineStr">
        <is>
          <t>unknown</t>
        </is>
      </c>
      <c r="G331" s="4" t="inlineStr">
        <is>
          <t>block_group</t>
        </is>
      </c>
      <c r="H331" s="4" t="inlineStr">
        <is>
          <t>Joins today</t>
        </is>
      </c>
      <c r="I331" s="4" t="n">
        <v>3</v>
      </c>
      <c r="J331" s="4" t="inlineStr"/>
      <c r="K331" s="4" t="inlineStr">
        <is>
          <t>Curated</t>
        </is>
      </c>
      <c r="L331" s="4" t="n">
        <v>2026</v>
      </c>
      <c r="M331" s="4" t="inlineStr">
        <is>
          <t>open</t>
        </is>
      </c>
      <c r="N331" s="4" t="inlineStr">
        <is>
          <t>2026-10-22</t>
        </is>
      </c>
      <c r="O331" s="14" t="inlineStr">
        <is>
          <t>pass</t>
        </is>
      </c>
      <c r="P331" s="14" t="inlineStr">
        <is>
          <t>pass</t>
        </is>
      </c>
      <c r="Q331" s="14" t="inlineStr">
        <is>
          <t>pass</t>
        </is>
      </c>
      <c r="R331" s="14" t="inlineStr">
        <is>
          <t>pass</t>
        </is>
      </c>
      <c r="S331" s="14" t="inlineStr">
        <is>
          <t>pass</t>
        </is>
      </c>
      <c r="T331" s="14" t="inlineStr">
        <is>
          <t>pass</t>
        </is>
      </c>
      <c r="U331" s="14" t="inlineStr">
        <is>
          <t>pass</t>
        </is>
      </c>
      <c r="V331" s="16" t="inlineStr">
        <is>
          <t>warn</t>
        </is>
      </c>
      <c r="W331" s="16" t="inlineStr">
        <is>
          <t>warn</t>
        </is>
      </c>
      <c r="X331" s="14" t="inlineStr">
        <is>
          <t>pass</t>
        </is>
      </c>
      <c r="Y331" s="18" t="inlineStr">
        <is>
          <t>fail</t>
        </is>
      </c>
      <c r="Z331" s="16" t="inlineStr">
        <is>
          <t>warn</t>
        </is>
      </c>
      <c r="AA331" s="14" t="inlineStr">
        <is>
          <t>pass</t>
        </is>
      </c>
      <c r="AB331" s="16" t="inlineStr">
        <is>
          <t>warn</t>
        </is>
      </c>
      <c r="AC331" s="14" t="inlineStr">
        <is>
          <t>pass</t>
        </is>
      </c>
      <c r="AD331" s="14" t="inlineStr">
        <is>
          <t>pass</t>
        </is>
      </c>
      <c r="AE331" s="16" t="inlineStr">
        <is>
          <t>warn</t>
        </is>
      </c>
      <c r="AF331" s="15" t="inlineStr">
        <is>
          <t>not_checked</t>
        </is>
      </c>
      <c r="AG331" s="15" t="inlineStr">
        <is>
          <t>not_checked</t>
        </is>
      </c>
      <c r="AH331" s="16" t="inlineStr">
        <is>
          <t>warn</t>
        </is>
      </c>
      <c r="AI331" s="15" t="inlineStr">
        <is>
          <t>n.a.</t>
        </is>
      </c>
      <c r="AJ331" s="15" t="inlineStr">
        <is>
          <t>n.a.</t>
        </is>
      </c>
      <c r="AK331" s="4" t="inlineStr">
        <is>
          <t>license;machine_metadata(warn);persistent_id(warn);temporal(warn);cadence(warn);coverage(warn);format_gaia(warn)</t>
        </is>
      </c>
      <c r="AL331" s="17" t="inlineStr">
        <is>
          <t>https://www.screening-tools.com</t>
        </is>
      </c>
      <c r="AM331" s="4" t="inlineStr">
        <is>
          <t>us_pedp_screening_tools_hub</t>
        </is>
      </c>
    </row>
    <row r="332">
      <c r="A332" s="4" t="inlineStr">
        <is>
          <t>Armed Conflict Location &amp; Event Data (ACLED)</t>
        </is>
      </c>
      <c r="B332" s="20" t="inlineStr">
        <is>
          <t>Bronze</t>
        </is>
      </c>
      <c r="C332" s="4" t="n">
        <v>71</v>
      </c>
      <c r="D332" s="4" t="inlineStr">
        <is>
          <t>other</t>
        </is>
      </c>
      <c r="E332" s="4" t="inlineStr">
        <is>
          <t>degraded</t>
        </is>
      </c>
      <c r="F332" s="4" t="inlineStr">
        <is>
          <t>unknown</t>
        </is>
      </c>
      <c r="G332" s="4" t="inlineStr">
        <is>
          <t>point</t>
        </is>
      </c>
      <c r="H332" s="4" t="inlineStr">
        <is>
          <t>Needs a count/distance step</t>
        </is>
      </c>
      <c r="I332" s="4" t="n">
        <v>2</v>
      </c>
      <c r="J332" s="4" t="inlineStr"/>
      <c r="K332" s="4" t="inlineStr">
        <is>
          <t>Curated</t>
        </is>
      </c>
      <c r="L332" s="4" t="inlineStr">
        <is>
          <t>current</t>
        </is>
      </c>
      <c r="M332" s="4" t="inlineStr">
        <is>
          <t>registration</t>
        </is>
      </c>
      <c r="N332" s="4" t="inlineStr">
        <is>
          <t>2026-10-28</t>
        </is>
      </c>
      <c r="O332" s="14" t="inlineStr">
        <is>
          <t>pass</t>
        </is>
      </c>
      <c r="P332" s="14" t="inlineStr">
        <is>
          <t>pass</t>
        </is>
      </c>
      <c r="Q332" s="14" t="inlineStr">
        <is>
          <t>pass</t>
        </is>
      </c>
      <c r="R332" s="14" t="inlineStr">
        <is>
          <t>pass</t>
        </is>
      </c>
      <c r="S332" s="14" t="inlineStr">
        <is>
          <t>pass</t>
        </is>
      </c>
      <c r="T332" s="18" t="inlineStr">
        <is>
          <t>fail</t>
        </is>
      </c>
      <c r="U332" s="15" t="inlineStr">
        <is>
          <t>n.a.</t>
        </is>
      </c>
      <c r="V332" s="16" t="inlineStr">
        <is>
          <t>warn</t>
        </is>
      </c>
      <c r="W332" s="16" t="inlineStr">
        <is>
          <t>warn</t>
        </is>
      </c>
      <c r="X332" s="14" t="inlineStr">
        <is>
          <t>pass</t>
        </is>
      </c>
      <c r="Y332" s="18" t="inlineStr">
        <is>
          <t>fail</t>
        </is>
      </c>
      <c r="Z332" s="15" t="inlineStr">
        <is>
          <t>not_checked</t>
        </is>
      </c>
      <c r="AA332" s="15" t="inlineStr">
        <is>
          <t>not_checked</t>
        </is>
      </c>
      <c r="AB332" s="15" t="inlineStr">
        <is>
          <t>not_checked</t>
        </is>
      </c>
      <c r="AC332" s="15" t="inlineStr">
        <is>
          <t>not_checked</t>
        </is>
      </c>
      <c r="AD332" s="15" t="inlineStr">
        <is>
          <t>not_checked</t>
        </is>
      </c>
      <c r="AE332" s="14" t="inlineStr">
        <is>
          <t>pass</t>
        </is>
      </c>
      <c r="AF332" s="15" t="inlineStr">
        <is>
          <t>not_checked</t>
        </is>
      </c>
      <c r="AG332" s="15" t="inlineStr">
        <is>
          <t>not_checked</t>
        </is>
      </c>
      <c r="AH332" s="15" t="inlineStr">
        <is>
          <t>not_checked</t>
        </is>
      </c>
      <c r="AI332" s="15" t="inlineStr">
        <is>
          <t>n.a.</t>
        </is>
      </c>
      <c r="AJ332" s="15" t="inlineStr">
        <is>
          <t>n.a.</t>
        </is>
      </c>
      <c r="AK332" s="4" t="inlineStr">
        <is>
          <t>access_url;license;machine_metadata(warn);persistent_id(warn)</t>
        </is>
      </c>
      <c r="AL332" s="17" t="inlineStr">
        <is>
          <t>https://acleddata.com/</t>
        </is>
      </c>
      <c r="AM332" s="4" t="inlineStr">
        <is>
          <t>global_acled</t>
        </is>
      </c>
    </row>
    <row r="333">
      <c r="A333" s="4" t="inlineStr">
        <is>
          <t>AidData World Bank IBRD/IDA Geocoded Research Release</t>
        </is>
      </c>
      <c r="B333" s="20" t="inlineStr">
        <is>
          <t>Bronze</t>
        </is>
      </c>
      <c r="C333" s="4" t="n">
        <v>72</v>
      </c>
      <c r="D333" s="4" t="inlineStr">
        <is>
          <t>other</t>
        </is>
      </c>
      <c r="E333" s="4" t="inlineStr">
        <is>
          <t>healthy</t>
        </is>
      </c>
      <c r="F333" s="4" t="inlineStr">
        <is>
          <t>unknown</t>
        </is>
      </c>
      <c r="G333" s="4" t="inlineStr">
        <is>
          <t>point</t>
        </is>
      </c>
      <c r="H333" s="4" t="inlineStr">
        <is>
          <t>Needs a count/distance step</t>
        </is>
      </c>
      <c r="I333" s="4" t="n">
        <v>1</v>
      </c>
      <c r="J333" s="4" t="inlineStr"/>
      <c r="K333" s="4" t="inlineStr">
        <is>
          <t>Curated</t>
        </is>
      </c>
      <c r="L333" s="4" t="n">
        <v>2014</v>
      </c>
      <c r="M333" s="4" t="inlineStr">
        <is>
          <t>open</t>
        </is>
      </c>
      <c r="N333" s="4" t="inlineStr">
        <is>
          <t>2026-10-28</t>
        </is>
      </c>
      <c r="O333" s="14" t="inlineStr">
        <is>
          <t>pass</t>
        </is>
      </c>
      <c r="P333" s="14" t="inlineStr">
        <is>
          <t>pass</t>
        </is>
      </c>
      <c r="Q333" s="14" t="inlineStr">
        <is>
          <t>pass</t>
        </is>
      </c>
      <c r="R333" s="14" t="inlineStr">
        <is>
          <t>pass</t>
        </is>
      </c>
      <c r="S333" s="14" t="inlineStr">
        <is>
          <t>pass</t>
        </is>
      </c>
      <c r="T333" s="15" t="inlineStr">
        <is>
          <t>n.a.</t>
        </is>
      </c>
      <c r="U333" s="15" t="inlineStr">
        <is>
          <t>n.a.</t>
        </is>
      </c>
      <c r="V333" s="16" t="inlineStr">
        <is>
          <t>warn</t>
        </is>
      </c>
      <c r="W333" s="16" t="inlineStr">
        <is>
          <t>warn</t>
        </is>
      </c>
      <c r="X333" s="14" t="inlineStr">
        <is>
          <t>pass</t>
        </is>
      </c>
      <c r="Y333" s="18" t="inlineStr">
        <is>
          <t>fail</t>
        </is>
      </c>
      <c r="Z333" s="14" t="inlineStr">
        <is>
          <t>pass</t>
        </is>
      </c>
      <c r="AA333" s="16" t="inlineStr">
        <is>
          <t>warn</t>
        </is>
      </c>
      <c r="AB333" s="15" t="inlineStr">
        <is>
          <t>not_checked</t>
        </is>
      </c>
      <c r="AC333" s="14" t="inlineStr">
        <is>
          <t>pass</t>
        </is>
      </c>
      <c r="AD333" s="15" t="inlineStr">
        <is>
          <t>not_checked</t>
        </is>
      </c>
      <c r="AE333" s="16" t="inlineStr">
        <is>
          <t>warn</t>
        </is>
      </c>
      <c r="AF333" s="14" t="inlineStr">
        <is>
          <t>pass</t>
        </is>
      </c>
      <c r="AG333" s="16" t="inlineStr">
        <is>
          <t>warn</t>
        </is>
      </c>
      <c r="AH333" s="16" t="inlineStr">
        <is>
          <t>warn</t>
        </is>
      </c>
      <c r="AI333" s="15" t="inlineStr">
        <is>
          <t>n.a.</t>
        </is>
      </c>
      <c r="AJ333" s="15" t="inlineStr">
        <is>
          <t>n.a.</t>
        </is>
      </c>
      <c r="AK333" s="4" t="inlineStr">
        <is>
          <t>license;machine_metadata(warn);persistent_id(warn);recency(warn);coverage(warn);join_key(warn);format_gaia(warn)</t>
        </is>
      </c>
      <c r="AL333" s="17" t="inlineStr">
        <is>
          <t>https://www.aiddata.org/datasets</t>
        </is>
      </c>
      <c r="AM333" s="4" t="inlineStr">
        <is>
          <t>global_aiddata_wb_geocoded</t>
        </is>
      </c>
    </row>
    <row r="334">
      <c r="A334" s="4" t="inlineStr">
        <is>
          <t>Areas Naturales Protegidas (nacional definitiva, transitoria, regional, privada) (SERNANP)</t>
        </is>
      </c>
      <c r="B334" s="20" t="inlineStr">
        <is>
          <t>Bronze</t>
        </is>
      </c>
      <c r="C334" s="4" t="n">
        <v>71</v>
      </c>
      <c r="D334" s="4" t="inlineStr">
        <is>
          <t>other</t>
        </is>
      </c>
      <c r="E334" s="4" t="inlineStr">
        <is>
          <t>degraded</t>
        </is>
      </c>
      <c r="F334" s="4" t="inlineStr">
        <is>
          <t>unknown</t>
        </is>
      </c>
      <c r="G334" s="4" t="inlineStr">
        <is>
          <t>polygon</t>
        </is>
      </c>
      <c r="H334" s="4" t="inlineStr">
        <is>
          <t>Unknown</t>
        </is>
      </c>
      <c r="I334" s="4" t="n">
        <v>1</v>
      </c>
      <c r="J334" s="4" t="inlineStr"/>
      <c r="K334" s="4" t="inlineStr">
        <is>
          <t>Curated</t>
        </is>
      </c>
      <c r="L334" s="4" t="inlineStr"/>
      <c r="M334" s="4" t="inlineStr">
        <is>
          <t>open</t>
        </is>
      </c>
      <c r="N334" s="4" t="inlineStr">
        <is>
          <t>2026-10-28</t>
        </is>
      </c>
      <c r="O334" s="14" t="inlineStr">
        <is>
          <t>pass</t>
        </is>
      </c>
      <c r="P334" s="14" t="inlineStr">
        <is>
          <t>pass</t>
        </is>
      </c>
      <c r="Q334" s="14" t="inlineStr">
        <is>
          <t>pass</t>
        </is>
      </c>
      <c r="R334" s="14" t="inlineStr">
        <is>
          <t>pass</t>
        </is>
      </c>
      <c r="S334" s="14" t="inlineStr">
        <is>
          <t>pass</t>
        </is>
      </c>
      <c r="T334" s="15" t="inlineStr">
        <is>
          <t>n.a.</t>
        </is>
      </c>
      <c r="U334" s="15" t="inlineStr">
        <is>
          <t>n.a.</t>
        </is>
      </c>
      <c r="V334" s="18" t="inlineStr">
        <is>
          <t>fail</t>
        </is>
      </c>
      <c r="W334" s="16" t="inlineStr">
        <is>
          <t>warn</t>
        </is>
      </c>
      <c r="X334" s="14" t="inlineStr">
        <is>
          <t>pass</t>
        </is>
      </c>
      <c r="Y334" s="18" t="inlineStr">
        <is>
          <t>fail</t>
        </is>
      </c>
      <c r="Z334" s="15" t="inlineStr">
        <is>
          <t>not_checked</t>
        </is>
      </c>
      <c r="AA334" s="15" t="inlineStr">
        <is>
          <t>not_checked</t>
        </is>
      </c>
      <c r="AB334" s="15" t="inlineStr">
        <is>
          <t>not_checked</t>
        </is>
      </c>
      <c r="AC334" s="15" t="inlineStr">
        <is>
          <t>not_checked</t>
        </is>
      </c>
      <c r="AD334" s="16" t="inlineStr">
        <is>
          <t>warn</t>
        </is>
      </c>
      <c r="AE334" s="16" t="inlineStr">
        <is>
          <t>warn</t>
        </is>
      </c>
      <c r="AF334" s="14" t="inlineStr">
        <is>
          <t>pass</t>
        </is>
      </c>
      <c r="AG334" s="14" t="inlineStr">
        <is>
          <t>pass</t>
        </is>
      </c>
      <c r="AH334" s="16" t="inlineStr">
        <is>
          <t>warn</t>
        </is>
      </c>
      <c r="AI334" s="15" t="inlineStr">
        <is>
          <t>n.a.</t>
        </is>
      </c>
      <c r="AJ334" s="15" t="inlineStr">
        <is>
          <t>n.a.</t>
        </is>
      </c>
      <c r="AK334" s="4" t="inlineStr">
        <is>
          <t>machine_metadata;license;persistent_id(warn);unit(warn);coverage(warn);format_gaia(warn)</t>
        </is>
      </c>
      <c r="AL334" s="17" t="inlineStr">
        <is>
          <t>https://geoservicios.sernanp.gob.pe/arcgis/rest/services/base_fisica/peru_sernanp_0102/MapServer/0</t>
        </is>
      </c>
      <c r="AM334" s="4" t="inlineStr">
        <is>
          <t>pe_sernanp_areas_naturales_protegidas</t>
        </is>
      </c>
    </row>
    <row r="335">
      <c r="A335" s="4" t="inlineStr">
        <is>
          <t>CCE Miami-Dade LAND parcel filters (DOR codes, exclude water)</t>
        </is>
      </c>
      <c r="B335" s="20" t="inlineStr">
        <is>
          <t>Bronze</t>
        </is>
      </c>
      <c r="C335" s="4" t="n">
        <v>71</v>
      </c>
      <c r="D335" s="4" t="inlineStr">
        <is>
          <t>other</t>
        </is>
      </c>
      <c r="E335" s="4" t="inlineStr">
        <is>
          <t>healthy</t>
        </is>
      </c>
      <c r="F335" s="4" t="inlineStr">
        <is>
          <t>unknown</t>
        </is>
      </c>
      <c r="G335" s="4" t="inlineStr">
        <is>
          <t>unknown</t>
        </is>
      </c>
      <c r="H335" s="4" t="inlineStr">
        <is>
          <t>Unknown</t>
        </is>
      </c>
      <c r="I335" s="4" t="n">
        <v>1</v>
      </c>
      <c r="J335" s="4" t="inlineStr"/>
      <c r="K335" s="4" t="inlineStr">
        <is>
          <t>Curated</t>
        </is>
      </c>
      <c r="L335" s="4" t="inlineStr"/>
      <c r="M335" s="4" t="inlineStr">
        <is>
          <t>unknown</t>
        </is>
      </c>
      <c r="N335" s="4" t="inlineStr">
        <is>
          <t>2026-10-28</t>
        </is>
      </c>
      <c r="O335" s="14" t="inlineStr">
        <is>
          <t>pass</t>
        </is>
      </c>
      <c r="P335" s="14" t="inlineStr">
        <is>
          <t>pass</t>
        </is>
      </c>
      <c r="Q335" s="14" t="inlineStr">
        <is>
          <t>pass</t>
        </is>
      </c>
      <c r="R335" s="14" t="inlineStr">
        <is>
          <t>pass</t>
        </is>
      </c>
      <c r="S335" s="14" t="inlineStr">
        <is>
          <t>pass</t>
        </is>
      </c>
      <c r="T335" s="15" t="inlineStr">
        <is>
          <t>n.a.</t>
        </is>
      </c>
      <c r="U335" s="15" t="inlineStr">
        <is>
          <t>n.a.</t>
        </is>
      </c>
      <c r="V335" s="16" t="inlineStr">
        <is>
          <t>warn</t>
        </is>
      </c>
      <c r="W335" s="16" t="inlineStr">
        <is>
          <t>warn</t>
        </is>
      </c>
      <c r="X335" s="14" t="inlineStr">
        <is>
          <t>pass</t>
        </is>
      </c>
      <c r="Y335" s="18" t="inlineStr">
        <is>
          <t>fail</t>
        </is>
      </c>
      <c r="Z335" s="15" t="inlineStr">
        <is>
          <t>not_checked</t>
        </is>
      </c>
      <c r="AA335" s="15" t="inlineStr">
        <is>
          <t>not_checked</t>
        </is>
      </c>
      <c r="AB335" s="15" t="inlineStr">
        <is>
          <t>not_checked</t>
        </is>
      </c>
      <c r="AC335" s="15" t="inlineStr">
        <is>
          <t>not_checked</t>
        </is>
      </c>
      <c r="AD335" s="15" t="inlineStr">
        <is>
          <t>not_checked</t>
        </is>
      </c>
      <c r="AE335" s="15" t="inlineStr">
        <is>
          <t>not_checked</t>
        </is>
      </c>
      <c r="AF335" s="15" t="inlineStr">
        <is>
          <t>not_checked</t>
        </is>
      </c>
      <c r="AG335" s="15" t="inlineStr">
        <is>
          <t>not_checked</t>
        </is>
      </c>
      <c r="AH335" s="15" t="inlineStr">
        <is>
          <t>not_checked</t>
        </is>
      </c>
      <c r="AI335" s="15" t="inlineStr">
        <is>
          <t>n.a.</t>
        </is>
      </c>
      <c r="AJ335" s="15" t="inlineStr">
        <is>
          <t>n.a.</t>
        </is>
      </c>
      <c r="AK335" s="4" t="inlineStr">
        <is>
          <t>license;machine_metadata(warn);persistent_id(warn)</t>
        </is>
      </c>
      <c r="AL335" s="17" t="inlineStr">
        <is>
          <t>https://civic.miami.edu/</t>
        </is>
      </c>
      <c r="AM335" s="4" t="inlineStr">
        <is>
          <t>us_um_cce_land_filters</t>
        </is>
      </c>
    </row>
    <row r="336">
      <c r="A336" s="4" t="inlineStr">
        <is>
          <t>Red Hídrica Huayhuash (IDEP 100000)</t>
        </is>
      </c>
      <c r="B336" s="20" t="inlineStr">
        <is>
          <t>Bronze</t>
        </is>
      </c>
      <c r="C336" s="4" t="n">
        <v>66</v>
      </c>
      <c r="D336" s="4" t="inlineStr">
        <is>
          <t>other</t>
        </is>
      </c>
      <c r="E336" s="4" t="inlineStr">
        <is>
          <t>degraded</t>
        </is>
      </c>
      <c r="F336" s="4" t="inlineStr">
        <is>
          <t>unknown</t>
        </is>
      </c>
      <c r="G336" s="4" t="inlineStr">
        <is>
          <t>line</t>
        </is>
      </c>
      <c r="H336" s="4" t="inlineStr">
        <is>
          <t>Unknown</t>
        </is>
      </c>
      <c r="I336" s="4" t="n">
        <v>1</v>
      </c>
      <c r="J336" s="4" t="inlineStr"/>
      <c r="K336" s="4" t="inlineStr">
        <is>
          <t>Curated</t>
        </is>
      </c>
      <c r="L336" s="4" t="inlineStr"/>
      <c r="M336" s="4" t="inlineStr">
        <is>
          <t>open</t>
        </is>
      </c>
      <c r="N336" s="4" t="inlineStr">
        <is>
          <t>2026-10-28</t>
        </is>
      </c>
      <c r="O336" s="14" t="inlineStr">
        <is>
          <t>pass</t>
        </is>
      </c>
      <c r="P336" s="14" t="inlineStr">
        <is>
          <t>pass</t>
        </is>
      </c>
      <c r="Q336" s="14" t="inlineStr">
        <is>
          <t>pass</t>
        </is>
      </c>
      <c r="R336" s="16" t="inlineStr">
        <is>
          <t>warn</t>
        </is>
      </c>
      <c r="S336" s="14" t="inlineStr">
        <is>
          <t>pass</t>
        </is>
      </c>
      <c r="T336" s="15" t="inlineStr">
        <is>
          <t>n.a.</t>
        </is>
      </c>
      <c r="U336" s="15" t="inlineStr">
        <is>
          <t>n.a.</t>
        </is>
      </c>
      <c r="V336" s="18" t="inlineStr">
        <is>
          <t>fail</t>
        </is>
      </c>
      <c r="W336" s="16" t="inlineStr">
        <is>
          <t>warn</t>
        </is>
      </c>
      <c r="X336" s="18" t="inlineStr">
        <is>
          <t>fail</t>
        </is>
      </c>
      <c r="Y336" s="18" t="inlineStr">
        <is>
          <t>fail</t>
        </is>
      </c>
      <c r="Z336" s="15" t="inlineStr">
        <is>
          <t>not_checked</t>
        </is>
      </c>
      <c r="AA336" s="15" t="inlineStr">
        <is>
          <t>not_checked</t>
        </is>
      </c>
      <c r="AB336" s="15" t="inlineStr">
        <is>
          <t>not_checked</t>
        </is>
      </c>
      <c r="AC336" s="15" t="inlineStr">
        <is>
          <t>not_checked</t>
        </is>
      </c>
      <c r="AD336" s="16" t="inlineStr">
        <is>
          <t>warn</t>
        </is>
      </c>
      <c r="AE336" s="14" t="inlineStr">
        <is>
          <t>pass</t>
        </is>
      </c>
      <c r="AF336" s="14" t="inlineStr">
        <is>
          <t>pass</t>
        </is>
      </c>
      <c r="AG336" s="14" t="inlineStr">
        <is>
          <t>pass</t>
        </is>
      </c>
      <c r="AH336" s="16" t="inlineStr">
        <is>
          <t>warn</t>
        </is>
      </c>
      <c r="AI336" s="15" t="inlineStr">
        <is>
          <t>n.a.</t>
        </is>
      </c>
      <c r="AJ336" s="15" t="inlineStr">
        <is>
          <t>n.a.</t>
        </is>
      </c>
      <c r="AK336" s="4" t="inlineStr">
        <is>
          <t>machine_metadata;archived;license;soft404(warn);persistent_id(warn);unit(warn);format_gaia(warn)</t>
        </is>
      </c>
      <c r="AL336" s="17" t="inlineStr">
        <is>
          <t>https://www.idep.gob.pe/geoportal/rest/services/SERVICIOS_IGN/HIDROGRAFIA_100K/MapServer/0</t>
        </is>
      </c>
      <c r="AM336" s="4" t="inlineStr">
        <is>
          <t>pe_redhidrica_idep</t>
        </is>
      </c>
    </row>
    <row r="337">
      <c r="A337" s="4" t="inlineStr">
        <is>
          <t>Remoteness Structure (Remoteness Areas), ASGS Edition 3</t>
        </is>
      </c>
      <c r="B337" s="20" t="inlineStr">
        <is>
          <t>Bronze</t>
        </is>
      </c>
      <c r="C337" s="4" t="n">
        <v>75</v>
      </c>
      <c r="D337" s="4" t="inlineStr">
        <is>
          <t>other</t>
        </is>
      </c>
      <c r="E337" s="4" t="inlineStr">
        <is>
          <t>healthy</t>
        </is>
      </c>
      <c r="F337" s="4" t="inlineStr">
        <is>
          <t>unknown</t>
        </is>
      </c>
      <c r="G337" s="4" t="inlineStr">
        <is>
          <t>polygon</t>
        </is>
      </c>
      <c r="H337" s="4" t="inlineStr">
        <is>
          <t>Joins today</t>
        </is>
      </c>
      <c r="I337" s="4" t="n">
        <v>1</v>
      </c>
      <c r="J337" s="4" t="inlineStr"/>
      <c r="K337" s="4" t="inlineStr">
        <is>
          <t>Curated</t>
        </is>
      </c>
      <c r="L337" s="4" t="n">
        <v>2021</v>
      </c>
      <c r="M337" s="4" t="inlineStr">
        <is>
          <t>open</t>
        </is>
      </c>
      <c r="N337" s="4" t="inlineStr">
        <is>
          <t>2026-10-28</t>
        </is>
      </c>
      <c r="O337" s="14" t="inlineStr">
        <is>
          <t>pass</t>
        </is>
      </c>
      <c r="P337" s="14" t="inlineStr">
        <is>
          <t>pass</t>
        </is>
      </c>
      <c r="Q337" s="14" t="inlineStr">
        <is>
          <t>pass</t>
        </is>
      </c>
      <c r="R337" s="14" t="inlineStr">
        <is>
          <t>pass</t>
        </is>
      </c>
      <c r="S337" s="14" t="inlineStr">
        <is>
          <t>pass</t>
        </is>
      </c>
      <c r="T337" s="15" t="inlineStr">
        <is>
          <t>n.a.</t>
        </is>
      </c>
      <c r="U337" s="15" t="inlineStr">
        <is>
          <t>n.a.</t>
        </is>
      </c>
      <c r="V337" s="16" t="inlineStr">
        <is>
          <t>warn</t>
        </is>
      </c>
      <c r="W337" s="16" t="inlineStr">
        <is>
          <t>warn</t>
        </is>
      </c>
      <c r="X337" s="14" t="inlineStr">
        <is>
          <t>pass</t>
        </is>
      </c>
      <c r="Y337" s="18" t="inlineStr">
        <is>
          <t>fail</t>
        </is>
      </c>
      <c r="Z337" s="14" t="inlineStr">
        <is>
          <t>pass</t>
        </is>
      </c>
      <c r="AA337" s="14" t="inlineStr">
        <is>
          <t>pass</t>
        </is>
      </c>
      <c r="AB337" s="16" t="inlineStr">
        <is>
          <t>warn</t>
        </is>
      </c>
      <c r="AC337" s="14" t="inlineStr">
        <is>
          <t>pass</t>
        </is>
      </c>
      <c r="AD337" s="16" t="inlineStr">
        <is>
          <t>warn</t>
        </is>
      </c>
      <c r="AE337" s="14" t="inlineStr">
        <is>
          <t>pass</t>
        </is>
      </c>
      <c r="AF337" s="14" t="inlineStr">
        <is>
          <t>pass</t>
        </is>
      </c>
      <c r="AG337" s="15" t="inlineStr">
        <is>
          <t>not_checked</t>
        </is>
      </c>
      <c r="AH337" s="15" t="inlineStr">
        <is>
          <t>not_checked</t>
        </is>
      </c>
      <c r="AI337" s="15" t="inlineStr">
        <is>
          <t>n.a.</t>
        </is>
      </c>
      <c r="AJ337" s="15" t="inlineStr">
        <is>
          <t>n.a.</t>
        </is>
      </c>
      <c r="AK337" s="4" t="inlineStr">
        <is>
          <t>license;machine_metadata(warn);persistent_id(warn);cadence(warn);unit(warn)</t>
        </is>
      </c>
      <c r="AL337" s="17" t="inlineStr">
        <is>
          <t>https://www.abs.gov.au/statistics/standards/australian-statistical-geography-standard-asgs-edition-3/jul2021-jun2026/remoteness-structure</t>
        </is>
      </c>
      <c r="AM337" s="4" t="inlineStr">
        <is>
          <t>au_abs_remoteness_areas</t>
        </is>
      </c>
    </row>
    <row r="338">
      <c r="A338" s="4" t="inlineStr">
        <is>
          <t>ATHLETE (Advancing Tools for Human Early Lifecourse Exposome Research and Translation)</t>
        </is>
      </c>
      <c r="B338" s="20" t="inlineStr">
        <is>
          <t>Bronze</t>
        </is>
      </c>
      <c r="C338" s="4" t="n">
        <v>94</v>
      </c>
      <c r="D338" s="4" t="inlineStr">
        <is>
          <t>other</t>
        </is>
      </c>
      <c r="E338" s="4" t="inlineStr">
        <is>
          <t>healthy</t>
        </is>
      </c>
      <c r="F338" s="4" t="inlineStr">
        <is>
          <t>not checked</t>
        </is>
      </c>
      <c r="G338" s="4" t="inlineStr">
        <is>
          <t>unknown</t>
        </is>
      </c>
      <c r="H338" s="4" t="inlineStr">
        <is>
          <t>Unknown</t>
        </is>
      </c>
      <c r="I338" s="4" t="inlineStr">
        <is>
          <t>unknown</t>
        </is>
      </c>
      <c r="J338" s="4" t="inlineStr"/>
      <c r="K338" s="4" t="inlineStr">
        <is>
          <t>Curated</t>
        </is>
      </c>
      <c r="L338" s="4" t="n">
        <v>2025</v>
      </c>
      <c r="M338" s="4" t="inlineStr">
        <is>
          <t>restricted</t>
        </is>
      </c>
      <c r="N338" s="4" t="inlineStr">
        <is>
          <t>2026-10-22</t>
        </is>
      </c>
      <c r="O338" s="14" t="inlineStr">
        <is>
          <t>pass</t>
        </is>
      </c>
      <c r="P338" s="14" t="inlineStr">
        <is>
          <t>pass</t>
        </is>
      </c>
      <c r="Q338" s="14" t="inlineStr">
        <is>
          <t>pass</t>
        </is>
      </c>
      <c r="R338" s="14" t="inlineStr">
        <is>
          <t>pass</t>
        </is>
      </c>
      <c r="S338" s="14" t="inlineStr">
        <is>
          <t>pass</t>
        </is>
      </c>
      <c r="T338" s="15" t="inlineStr">
        <is>
          <t>n.a.</t>
        </is>
      </c>
      <c r="U338" s="15" t="inlineStr">
        <is>
          <t>n.a.</t>
        </is>
      </c>
      <c r="V338" s="16" t="inlineStr">
        <is>
          <t>warn</t>
        </is>
      </c>
      <c r="W338" s="16" t="inlineStr">
        <is>
          <t>warn</t>
        </is>
      </c>
      <c r="X338" s="14" t="inlineStr">
        <is>
          <t>pass</t>
        </is>
      </c>
      <c r="Y338" s="15" t="inlineStr">
        <is>
          <t>not_checked</t>
        </is>
      </c>
      <c r="Z338" s="15" t="inlineStr">
        <is>
          <t>not_checked</t>
        </is>
      </c>
      <c r="AA338" s="15" t="inlineStr">
        <is>
          <t>not_checked</t>
        </is>
      </c>
      <c r="AB338" s="15" t="inlineStr">
        <is>
          <t>not_checked</t>
        </is>
      </c>
      <c r="AC338" s="15" t="inlineStr">
        <is>
          <t>not_checked</t>
        </is>
      </c>
      <c r="AD338" s="15" t="inlineStr">
        <is>
          <t>not_checked</t>
        </is>
      </c>
      <c r="AE338" s="15" t="inlineStr">
        <is>
          <t>not_checked</t>
        </is>
      </c>
      <c r="AF338" s="15" t="inlineStr">
        <is>
          <t>not_checked</t>
        </is>
      </c>
      <c r="AG338" s="15" t="inlineStr">
        <is>
          <t>not_checked</t>
        </is>
      </c>
      <c r="AH338" s="15" t="inlineStr">
        <is>
          <t>not_checked</t>
        </is>
      </c>
      <c r="AI338" s="15" t="inlineStr">
        <is>
          <t>n.a.</t>
        </is>
      </c>
      <c r="AJ338" s="15" t="inlineStr">
        <is>
          <t>n.a.</t>
        </is>
      </c>
      <c r="AK338" s="4" t="inlineStr">
        <is>
          <t>machine_metadata(warn);persistent_id(warn)</t>
        </is>
      </c>
      <c r="AL338" s="17" t="inlineStr">
        <is>
          <t>https://athleteproject.eu/</t>
        </is>
      </c>
      <c r="AM338" s="4" t="inlineStr">
        <is>
          <t>eu_athlete</t>
        </is>
      </c>
    </row>
    <row r="339">
      <c r="A339" s="4" t="inlineStr">
        <is>
          <t>European Human Exposome Network (EHEN) and EHEN Toolbox</t>
        </is>
      </c>
      <c r="B339" s="20" t="inlineStr">
        <is>
          <t>Bronze</t>
        </is>
      </c>
      <c r="C339" s="4" t="n">
        <v>94</v>
      </c>
      <c r="D339" s="4" t="inlineStr">
        <is>
          <t>other</t>
        </is>
      </c>
      <c r="E339" s="4" t="inlineStr">
        <is>
          <t>healthy</t>
        </is>
      </c>
      <c r="F339" s="4" t="inlineStr">
        <is>
          <t>not checked</t>
        </is>
      </c>
      <c r="G339" s="4" t="inlineStr">
        <is>
          <t>unknown</t>
        </is>
      </c>
      <c r="H339" s="4" t="inlineStr">
        <is>
          <t>Unknown</t>
        </is>
      </c>
      <c r="I339" s="4" t="inlineStr">
        <is>
          <t>unknown</t>
        </is>
      </c>
      <c r="J339" s="4" t="inlineStr"/>
      <c r="K339" s="4" t="inlineStr">
        <is>
          <t>Curated</t>
        </is>
      </c>
      <c r="L339" s="4" t="n">
        <v>2025</v>
      </c>
      <c r="M339" s="4" t="inlineStr">
        <is>
          <t>open</t>
        </is>
      </c>
      <c r="N339" s="4" t="inlineStr">
        <is>
          <t>2026-10-22</t>
        </is>
      </c>
      <c r="O339" s="14" t="inlineStr">
        <is>
          <t>pass</t>
        </is>
      </c>
      <c r="P339" s="14" t="inlineStr">
        <is>
          <t>pass</t>
        </is>
      </c>
      <c r="Q339" s="14" t="inlineStr">
        <is>
          <t>pass</t>
        </is>
      </c>
      <c r="R339" s="14" t="inlineStr">
        <is>
          <t>pass</t>
        </is>
      </c>
      <c r="S339" s="14" t="inlineStr">
        <is>
          <t>pass</t>
        </is>
      </c>
      <c r="T339" s="15" t="inlineStr">
        <is>
          <t>n.a.</t>
        </is>
      </c>
      <c r="U339" s="15" t="inlineStr">
        <is>
          <t>n.a.</t>
        </is>
      </c>
      <c r="V339" s="16" t="inlineStr">
        <is>
          <t>warn</t>
        </is>
      </c>
      <c r="W339" s="16" t="inlineStr">
        <is>
          <t>warn</t>
        </is>
      </c>
      <c r="X339" s="14" t="inlineStr">
        <is>
          <t>pass</t>
        </is>
      </c>
      <c r="Y339" s="15" t="inlineStr">
        <is>
          <t>not_checked</t>
        </is>
      </c>
      <c r="Z339" s="15" t="inlineStr">
        <is>
          <t>not_checked</t>
        </is>
      </c>
      <c r="AA339" s="15" t="inlineStr">
        <is>
          <t>not_checked</t>
        </is>
      </c>
      <c r="AB339" s="15" t="inlineStr">
        <is>
          <t>not_checked</t>
        </is>
      </c>
      <c r="AC339" s="15" t="inlineStr">
        <is>
          <t>not_checked</t>
        </is>
      </c>
      <c r="AD339" s="15" t="inlineStr">
        <is>
          <t>not_checked</t>
        </is>
      </c>
      <c r="AE339" s="15" t="inlineStr">
        <is>
          <t>not_checked</t>
        </is>
      </c>
      <c r="AF339" s="15" t="inlineStr">
        <is>
          <t>not_checked</t>
        </is>
      </c>
      <c r="AG339" s="15" t="inlineStr">
        <is>
          <t>not_checked</t>
        </is>
      </c>
      <c r="AH339" s="15" t="inlineStr">
        <is>
          <t>not_checked</t>
        </is>
      </c>
      <c r="AI339" s="15" t="inlineStr">
        <is>
          <t>n.a.</t>
        </is>
      </c>
      <c r="AJ339" s="15" t="inlineStr">
        <is>
          <t>n.a.</t>
        </is>
      </c>
      <c r="AK339" s="4" t="inlineStr">
        <is>
          <t>machine_metadata(warn);persistent_id(warn)</t>
        </is>
      </c>
      <c r="AL339" s="17" t="inlineStr">
        <is>
          <t>https://www.humanexposome.eu/</t>
        </is>
      </c>
      <c r="AM339" s="4" t="inlineStr">
        <is>
          <t>eu_ehen_human_exposome_network</t>
        </is>
      </c>
    </row>
    <row r="340">
      <c r="A340" s="4" t="inlineStr">
        <is>
          <t>EXPANSE (EXposome Powered tools for healthy living in urbAN SEttings)</t>
        </is>
      </c>
      <c r="B340" s="20" t="inlineStr">
        <is>
          <t>Bronze</t>
        </is>
      </c>
      <c r="C340" s="4" t="n">
        <v>89</v>
      </c>
      <c r="D340" s="4" t="inlineStr">
        <is>
          <t>other</t>
        </is>
      </c>
      <c r="E340" s="4" t="inlineStr">
        <is>
          <t>degraded</t>
        </is>
      </c>
      <c r="F340" s="4" t="inlineStr">
        <is>
          <t>not checked</t>
        </is>
      </c>
      <c r="G340" s="4" t="inlineStr">
        <is>
          <t>unknown</t>
        </is>
      </c>
      <c r="H340" s="4" t="inlineStr">
        <is>
          <t>Unknown</t>
        </is>
      </c>
      <c r="I340" s="4" t="inlineStr">
        <is>
          <t>unknown</t>
        </is>
      </c>
      <c r="J340" s="4" t="inlineStr"/>
      <c r="K340" s="4" t="inlineStr">
        <is>
          <t>Curated</t>
        </is>
      </c>
      <c r="L340" s="4" t="n">
        <v>2025</v>
      </c>
      <c r="M340" s="4" t="inlineStr">
        <is>
          <t>open</t>
        </is>
      </c>
      <c r="N340" s="4" t="inlineStr">
        <is>
          <t>2026-10-22</t>
        </is>
      </c>
      <c r="O340" s="14" t="inlineStr">
        <is>
          <t>pass</t>
        </is>
      </c>
      <c r="P340" s="14" t="inlineStr">
        <is>
          <t>pass</t>
        </is>
      </c>
      <c r="Q340" s="14" t="inlineStr">
        <is>
          <t>pass</t>
        </is>
      </c>
      <c r="R340" s="14" t="inlineStr">
        <is>
          <t>pass</t>
        </is>
      </c>
      <c r="S340" s="14" t="inlineStr">
        <is>
          <t>pass</t>
        </is>
      </c>
      <c r="T340" s="15" t="inlineStr">
        <is>
          <t>n.a.</t>
        </is>
      </c>
      <c r="U340" s="15" t="inlineStr">
        <is>
          <t>n.a.</t>
        </is>
      </c>
      <c r="V340" s="18" t="inlineStr">
        <is>
          <t>fail</t>
        </is>
      </c>
      <c r="W340" s="16" t="inlineStr">
        <is>
          <t>warn</t>
        </is>
      </c>
      <c r="X340" s="14" t="inlineStr">
        <is>
          <t>pass</t>
        </is>
      </c>
      <c r="Y340" s="15" t="inlineStr">
        <is>
          <t>not_checked</t>
        </is>
      </c>
      <c r="Z340" s="15" t="inlineStr">
        <is>
          <t>not_checked</t>
        </is>
      </c>
      <c r="AA340" s="15" t="inlineStr">
        <is>
          <t>not_checked</t>
        </is>
      </c>
      <c r="AB340" s="15" t="inlineStr">
        <is>
          <t>not_checked</t>
        </is>
      </c>
      <c r="AC340" s="15" t="inlineStr">
        <is>
          <t>not_checked</t>
        </is>
      </c>
      <c r="AD340" s="15" t="inlineStr">
        <is>
          <t>not_checked</t>
        </is>
      </c>
      <c r="AE340" s="15" t="inlineStr">
        <is>
          <t>not_checked</t>
        </is>
      </c>
      <c r="AF340" s="15" t="inlineStr">
        <is>
          <t>not_checked</t>
        </is>
      </c>
      <c r="AG340" s="15" t="inlineStr">
        <is>
          <t>not_checked</t>
        </is>
      </c>
      <c r="AH340" s="15" t="inlineStr">
        <is>
          <t>not_checked</t>
        </is>
      </c>
      <c r="AI340" s="15" t="inlineStr">
        <is>
          <t>n.a.</t>
        </is>
      </c>
      <c r="AJ340" s="15" t="inlineStr">
        <is>
          <t>n.a.</t>
        </is>
      </c>
      <c r="AK340" s="4" t="inlineStr">
        <is>
          <t>machine_metadata;persistent_id(warn)</t>
        </is>
      </c>
      <c r="AL340" s="17" t="inlineStr">
        <is>
          <t>https://expanseproject.eu/</t>
        </is>
      </c>
      <c r="AM340" s="4" t="inlineStr">
        <is>
          <t>eu_expanse_project</t>
        </is>
      </c>
    </row>
    <row r="341">
      <c r="A341" s="4" t="inlineStr">
        <is>
          <t>Exposome-NL</t>
        </is>
      </c>
      <c r="B341" s="20" t="inlineStr">
        <is>
          <t>Bronze</t>
        </is>
      </c>
      <c r="C341" s="4" t="n">
        <v>94</v>
      </c>
      <c r="D341" s="4" t="inlineStr">
        <is>
          <t>other</t>
        </is>
      </c>
      <c r="E341" s="4" t="inlineStr">
        <is>
          <t>healthy</t>
        </is>
      </c>
      <c r="F341" s="4" t="inlineStr">
        <is>
          <t>not checked</t>
        </is>
      </c>
      <c r="G341" s="4" t="inlineStr">
        <is>
          <t>unknown</t>
        </is>
      </c>
      <c r="H341" s="4" t="inlineStr">
        <is>
          <t>Unknown</t>
        </is>
      </c>
      <c r="I341" s="4" t="inlineStr">
        <is>
          <t>unknown</t>
        </is>
      </c>
      <c r="J341" s="4" t="inlineStr"/>
      <c r="K341" s="4" t="inlineStr">
        <is>
          <t>Curated</t>
        </is>
      </c>
      <c r="L341" s="4" t="n">
        <v>2030</v>
      </c>
      <c r="M341" s="4" t="inlineStr">
        <is>
          <t>unknown</t>
        </is>
      </c>
      <c r="N341" s="4" t="inlineStr">
        <is>
          <t>2026-10-22</t>
        </is>
      </c>
      <c r="O341" s="14" t="inlineStr">
        <is>
          <t>pass</t>
        </is>
      </c>
      <c r="P341" s="14" t="inlineStr">
        <is>
          <t>pass</t>
        </is>
      </c>
      <c r="Q341" s="14" t="inlineStr">
        <is>
          <t>pass</t>
        </is>
      </c>
      <c r="R341" s="14" t="inlineStr">
        <is>
          <t>pass</t>
        </is>
      </c>
      <c r="S341" s="14" t="inlineStr">
        <is>
          <t>pass</t>
        </is>
      </c>
      <c r="T341" s="15" t="inlineStr">
        <is>
          <t>n.a.</t>
        </is>
      </c>
      <c r="U341" s="15" t="inlineStr">
        <is>
          <t>n.a.</t>
        </is>
      </c>
      <c r="V341" s="16" t="inlineStr">
        <is>
          <t>warn</t>
        </is>
      </c>
      <c r="W341" s="16" t="inlineStr">
        <is>
          <t>warn</t>
        </is>
      </c>
      <c r="X341" s="14" t="inlineStr">
        <is>
          <t>pass</t>
        </is>
      </c>
      <c r="Y341" s="15" t="inlineStr">
        <is>
          <t>not_checked</t>
        </is>
      </c>
      <c r="Z341" s="15" t="inlineStr">
        <is>
          <t>not_checked</t>
        </is>
      </c>
      <c r="AA341" s="15" t="inlineStr">
        <is>
          <t>not_checked</t>
        </is>
      </c>
      <c r="AB341" s="15" t="inlineStr">
        <is>
          <t>not_checked</t>
        </is>
      </c>
      <c r="AC341" s="15" t="inlineStr">
        <is>
          <t>not_checked</t>
        </is>
      </c>
      <c r="AD341" s="15" t="inlineStr">
        <is>
          <t>not_checked</t>
        </is>
      </c>
      <c r="AE341" s="15" t="inlineStr">
        <is>
          <t>not_checked</t>
        </is>
      </c>
      <c r="AF341" s="15" t="inlineStr">
        <is>
          <t>not_checked</t>
        </is>
      </c>
      <c r="AG341" s="15" t="inlineStr">
        <is>
          <t>not_checked</t>
        </is>
      </c>
      <c r="AH341" s="15" t="inlineStr">
        <is>
          <t>not_checked</t>
        </is>
      </c>
      <c r="AI341" s="15" t="inlineStr">
        <is>
          <t>n.a.</t>
        </is>
      </c>
      <c r="AJ341" s="15" t="inlineStr">
        <is>
          <t>n.a.</t>
        </is>
      </c>
      <c r="AK341" s="4" t="inlineStr">
        <is>
          <t>machine_metadata(warn);persistent_id(warn)</t>
        </is>
      </c>
      <c r="AL341" s="17" t="inlineStr">
        <is>
          <t>https://exposome.nl/</t>
        </is>
      </c>
      <c r="AM341" s="4" t="inlineStr">
        <is>
          <t>nl_exposome_nl</t>
        </is>
      </c>
    </row>
    <row r="342">
      <c r="A342" s="4" t="inlineStr">
        <is>
          <t>Global Health Data Exchange (GHDx)</t>
        </is>
      </c>
      <c r="B342" s="20" t="inlineStr">
        <is>
          <t>Bronze</t>
        </is>
      </c>
      <c r="C342" s="4" t="n">
        <v>89</v>
      </c>
      <c r="D342" s="4" t="inlineStr">
        <is>
          <t>other</t>
        </is>
      </c>
      <c r="E342" s="4" t="inlineStr">
        <is>
          <t>degraded</t>
        </is>
      </c>
      <c r="F342" s="4" t="inlineStr">
        <is>
          <t>not checked</t>
        </is>
      </c>
      <c r="G342" s="4" t="inlineStr">
        <is>
          <t>country</t>
        </is>
      </c>
      <c r="H342" s="4" t="inlineStr">
        <is>
          <t>Not linkable as listed</t>
        </is>
      </c>
      <c r="I342" s="4" t="inlineStr">
        <is>
          <t>unknown</t>
        </is>
      </c>
      <c r="J342" s="4" t="inlineStr"/>
      <c r="K342" s="4" t="inlineStr">
        <is>
          <t>Curated</t>
        </is>
      </c>
      <c r="L342" s="4" t="inlineStr"/>
      <c r="M342" s="4" t="inlineStr">
        <is>
          <t>open</t>
        </is>
      </c>
      <c r="N342" s="4" t="inlineStr">
        <is>
          <t>2026-10-22</t>
        </is>
      </c>
      <c r="O342" s="14" t="inlineStr">
        <is>
          <t>pass</t>
        </is>
      </c>
      <c r="P342" s="14" t="inlineStr">
        <is>
          <t>pass</t>
        </is>
      </c>
      <c r="Q342" s="14" t="inlineStr">
        <is>
          <t>pass</t>
        </is>
      </c>
      <c r="R342" s="14" t="inlineStr">
        <is>
          <t>pass</t>
        </is>
      </c>
      <c r="S342" s="14" t="inlineStr">
        <is>
          <t>pass</t>
        </is>
      </c>
      <c r="T342" s="15" t="inlineStr">
        <is>
          <t>n.a.</t>
        </is>
      </c>
      <c r="U342" s="15" t="inlineStr">
        <is>
          <t>n.a.</t>
        </is>
      </c>
      <c r="V342" s="18" t="inlineStr">
        <is>
          <t>fail</t>
        </is>
      </c>
      <c r="W342" s="16" t="inlineStr">
        <is>
          <t>warn</t>
        </is>
      </c>
      <c r="X342" s="14" t="inlineStr">
        <is>
          <t>pass</t>
        </is>
      </c>
      <c r="Y342" s="15" t="inlineStr">
        <is>
          <t>not_checked</t>
        </is>
      </c>
      <c r="Z342" s="15" t="inlineStr">
        <is>
          <t>not_checked</t>
        </is>
      </c>
      <c r="AA342" s="15" t="inlineStr">
        <is>
          <t>not_checked</t>
        </is>
      </c>
      <c r="AB342" s="15" t="inlineStr">
        <is>
          <t>not_checked</t>
        </is>
      </c>
      <c r="AC342" s="15" t="inlineStr">
        <is>
          <t>not_checked</t>
        </is>
      </c>
      <c r="AD342" s="15" t="inlineStr">
        <is>
          <t>not_checked</t>
        </is>
      </c>
      <c r="AE342" s="15" t="inlineStr">
        <is>
          <t>not_checked</t>
        </is>
      </c>
      <c r="AF342" s="15" t="inlineStr">
        <is>
          <t>not_checked</t>
        </is>
      </c>
      <c r="AG342" s="15" t="inlineStr">
        <is>
          <t>not_checked</t>
        </is>
      </c>
      <c r="AH342" s="15" t="inlineStr">
        <is>
          <t>not_checked</t>
        </is>
      </c>
      <c r="AI342" s="15" t="inlineStr">
        <is>
          <t>n.a.</t>
        </is>
      </c>
      <c r="AJ342" s="15" t="inlineStr">
        <is>
          <t>n.a.</t>
        </is>
      </c>
      <c r="AK342" s="4" t="inlineStr">
        <is>
          <t>machine_metadata;persistent_id(warn)</t>
        </is>
      </c>
      <c r="AL342" s="17" t="inlineStr">
        <is>
          <t>https://ghdx.healthdata.org/</t>
        </is>
      </c>
      <c r="AM342" s="4" t="inlineStr">
        <is>
          <t>global_ihme_ghdx</t>
        </is>
      </c>
    </row>
    <row r="343">
      <c r="A343" s="4" t="inlineStr">
        <is>
          <t>Personalized Environment and Genes Study (PEGS)</t>
        </is>
      </c>
      <c r="B343" s="20" t="inlineStr">
        <is>
          <t>Bronze</t>
        </is>
      </c>
      <c r="C343" s="4" t="n">
        <v>94</v>
      </c>
      <c r="D343" s="4" t="inlineStr">
        <is>
          <t>other</t>
        </is>
      </c>
      <c r="E343" s="4" t="inlineStr">
        <is>
          <t>healthy</t>
        </is>
      </c>
      <c r="F343" s="4" t="inlineStr">
        <is>
          <t>not checked</t>
        </is>
      </c>
      <c r="G343" s="4" t="inlineStr">
        <is>
          <t>unknown</t>
        </is>
      </c>
      <c r="H343" s="4" t="inlineStr">
        <is>
          <t>Unknown</t>
        </is>
      </c>
      <c r="I343" s="4" t="inlineStr">
        <is>
          <t>unknown</t>
        </is>
      </c>
      <c r="J343" s="4" t="inlineStr"/>
      <c r="K343" s="4" t="inlineStr">
        <is>
          <t>Curated</t>
        </is>
      </c>
      <c r="L343" s="4" t="inlineStr"/>
      <c r="M343" s="4" t="inlineStr">
        <is>
          <t>restricted</t>
        </is>
      </c>
      <c r="N343" s="4" t="inlineStr">
        <is>
          <t>2026-10-22</t>
        </is>
      </c>
      <c r="O343" s="14" t="inlineStr">
        <is>
          <t>pass</t>
        </is>
      </c>
      <c r="P343" s="14" t="inlineStr">
        <is>
          <t>pass</t>
        </is>
      </c>
      <c r="Q343" s="14" t="inlineStr">
        <is>
          <t>pass</t>
        </is>
      </c>
      <c r="R343" s="14" t="inlineStr">
        <is>
          <t>pass</t>
        </is>
      </c>
      <c r="S343" s="14" t="inlineStr">
        <is>
          <t>pass</t>
        </is>
      </c>
      <c r="T343" s="15" t="inlineStr">
        <is>
          <t>n.a.</t>
        </is>
      </c>
      <c r="U343" s="15" t="inlineStr">
        <is>
          <t>n.a.</t>
        </is>
      </c>
      <c r="V343" s="16" t="inlineStr">
        <is>
          <t>warn</t>
        </is>
      </c>
      <c r="W343" s="16" t="inlineStr">
        <is>
          <t>warn</t>
        </is>
      </c>
      <c r="X343" s="14" t="inlineStr">
        <is>
          <t>pass</t>
        </is>
      </c>
      <c r="Y343" s="15" t="inlineStr">
        <is>
          <t>not_checked</t>
        </is>
      </c>
      <c r="Z343" s="15" t="inlineStr">
        <is>
          <t>not_checked</t>
        </is>
      </c>
      <c r="AA343" s="15" t="inlineStr">
        <is>
          <t>not_checked</t>
        </is>
      </c>
      <c r="AB343" s="15" t="inlineStr">
        <is>
          <t>not_checked</t>
        </is>
      </c>
      <c r="AC343" s="15" t="inlineStr">
        <is>
          <t>not_checked</t>
        </is>
      </c>
      <c r="AD343" s="15" t="inlineStr">
        <is>
          <t>not_checked</t>
        </is>
      </c>
      <c r="AE343" s="15" t="inlineStr">
        <is>
          <t>not_checked</t>
        </is>
      </c>
      <c r="AF343" s="15" t="inlineStr">
        <is>
          <t>not_checked</t>
        </is>
      </c>
      <c r="AG343" s="15" t="inlineStr">
        <is>
          <t>not_checked</t>
        </is>
      </c>
      <c r="AH343" s="15" t="inlineStr">
        <is>
          <t>not_checked</t>
        </is>
      </c>
      <c r="AI343" s="15" t="inlineStr">
        <is>
          <t>n.a.</t>
        </is>
      </c>
      <c r="AJ343" s="15" t="inlineStr">
        <is>
          <t>n.a.</t>
        </is>
      </c>
      <c r="AK343" s="4" t="inlineStr">
        <is>
          <t>machine_metadata(warn);persistent_id(warn)</t>
        </is>
      </c>
      <c r="AL343" s="17" t="inlineStr">
        <is>
          <t>https://www.niehs.nih.gov/research/clinical/studies/pegs</t>
        </is>
      </c>
      <c r="AM343" s="4" t="inlineStr">
        <is>
          <t>us_niehs_pegs</t>
        </is>
      </c>
    </row>
    <row r="344">
      <c r="A344" s="4" t="inlineStr">
        <is>
          <t>WHO Urban Health Index (handbook) / Urban HEART</t>
        </is>
      </c>
      <c r="B344" s="20" t="inlineStr">
        <is>
          <t>Bronze</t>
        </is>
      </c>
      <c r="C344" s="4" t="n">
        <v>94</v>
      </c>
      <c r="D344" s="4" t="inlineStr">
        <is>
          <t>other</t>
        </is>
      </c>
      <c r="E344" s="4" t="inlineStr">
        <is>
          <t>healthy</t>
        </is>
      </c>
      <c r="F344" s="4" t="inlineStr">
        <is>
          <t>not checked</t>
        </is>
      </c>
      <c r="G344" s="4" t="inlineStr">
        <is>
          <t>unknown</t>
        </is>
      </c>
      <c r="H344" s="4" t="inlineStr">
        <is>
          <t>Unknown</t>
        </is>
      </c>
      <c r="I344" s="4" t="inlineStr">
        <is>
          <t>unknown</t>
        </is>
      </c>
      <c r="J344" s="4" t="inlineStr"/>
      <c r="K344" s="4" t="inlineStr">
        <is>
          <t>Curated</t>
        </is>
      </c>
      <c r="L344" s="4" t="n">
        <v>2013</v>
      </c>
      <c r="M344" s="4" t="inlineStr">
        <is>
          <t>open</t>
        </is>
      </c>
      <c r="N344" s="4" t="inlineStr">
        <is>
          <t>2026-10-22</t>
        </is>
      </c>
      <c r="O344" s="14" t="inlineStr">
        <is>
          <t>pass</t>
        </is>
      </c>
      <c r="P344" s="14" t="inlineStr">
        <is>
          <t>pass</t>
        </is>
      </c>
      <c r="Q344" s="14" t="inlineStr">
        <is>
          <t>pass</t>
        </is>
      </c>
      <c r="R344" s="14" t="inlineStr">
        <is>
          <t>pass</t>
        </is>
      </c>
      <c r="S344" s="14" t="inlineStr">
        <is>
          <t>pass</t>
        </is>
      </c>
      <c r="T344" s="15" t="inlineStr">
        <is>
          <t>n.a.</t>
        </is>
      </c>
      <c r="U344" s="15" t="inlineStr">
        <is>
          <t>n.a.</t>
        </is>
      </c>
      <c r="V344" s="16" t="inlineStr">
        <is>
          <t>warn</t>
        </is>
      </c>
      <c r="W344" s="16" t="inlineStr">
        <is>
          <t>warn</t>
        </is>
      </c>
      <c r="X344" s="16" t="inlineStr">
        <is>
          <t>warn</t>
        </is>
      </c>
      <c r="Y344" s="15" t="inlineStr">
        <is>
          <t>not_checked</t>
        </is>
      </c>
      <c r="Z344" s="15" t="inlineStr">
        <is>
          <t>not_checked</t>
        </is>
      </c>
      <c r="AA344" s="15" t="inlineStr">
        <is>
          <t>not_checked</t>
        </is>
      </c>
      <c r="AB344" s="15" t="inlineStr">
        <is>
          <t>not_checked</t>
        </is>
      </c>
      <c r="AC344" s="15" t="inlineStr">
        <is>
          <t>not_checked</t>
        </is>
      </c>
      <c r="AD344" s="15" t="inlineStr">
        <is>
          <t>not_checked</t>
        </is>
      </c>
      <c r="AE344" s="15" t="inlineStr">
        <is>
          <t>not_checked</t>
        </is>
      </c>
      <c r="AF344" s="15" t="inlineStr">
        <is>
          <t>not_checked</t>
        </is>
      </c>
      <c r="AG344" s="15" t="inlineStr">
        <is>
          <t>not_checked</t>
        </is>
      </c>
      <c r="AH344" s="15" t="inlineStr">
        <is>
          <t>not_checked</t>
        </is>
      </c>
      <c r="AI344" s="15" t="inlineStr">
        <is>
          <t>n.a.</t>
        </is>
      </c>
      <c r="AJ344" s="15" t="inlineStr">
        <is>
          <t>n.a.</t>
        </is>
      </c>
      <c r="AK344" s="4" t="inlineStr">
        <is>
          <t>machine_metadata(warn);persistent_id(warn);archived(warn)</t>
        </is>
      </c>
      <c r="AL344" s="17" t="inlineStr">
        <is>
          <t>https://www.who.int/publications/i/item/9789241507806</t>
        </is>
      </c>
      <c r="AM344" s="4" t="inlineStr">
        <is>
          <t>global_who_urban_health_index</t>
        </is>
      </c>
    </row>
    <row r="345">
      <c r="A345" s="4" t="inlineStr">
        <is>
          <t>AHA Annual Survey Database</t>
        </is>
      </c>
      <c r="B345" s="20" t="inlineStr">
        <is>
          <t>Bronze</t>
        </is>
      </c>
      <c r="C345" s="4" t="n">
        <v>72</v>
      </c>
      <c r="D345" s="4" t="inlineStr">
        <is>
          <t>sdoh</t>
        </is>
      </c>
      <c r="E345" s="4" t="inlineStr">
        <is>
          <t>healthy</t>
        </is>
      </c>
      <c r="F345" s="4" t="inlineStr">
        <is>
          <t>restricted</t>
        </is>
      </c>
      <c r="G345" s="4" t="inlineStr">
        <is>
          <t>point</t>
        </is>
      </c>
      <c r="H345" s="4" t="inlineStr">
        <is>
          <t>Needs a count/distance step</t>
        </is>
      </c>
      <c r="I345" s="4" t="n">
        <v>3</v>
      </c>
      <c r="J345" s="4" t="inlineStr"/>
      <c r="K345" s="4" t="inlineStr">
        <is>
          <t>Curated</t>
        </is>
      </c>
      <c r="L345" s="4" t="n">
        <v>2025</v>
      </c>
      <c r="M345" s="4" t="inlineStr">
        <is>
          <t>restricted</t>
        </is>
      </c>
      <c r="N345" s="4" t="inlineStr">
        <is>
          <t>2026-10-22</t>
        </is>
      </c>
      <c r="O345" s="14" t="inlineStr">
        <is>
          <t>pass</t>
        </is>
      </c>
      <c r="P345" s="14" t="inlineStr">
        <is>
          <t>pass</t>
        </is>
      </c>
      <c r="Q345" s="14" t="inlineStr">
        <is>
          <t>pass</t>
        </is>
      </c>
      <c r="R345" s="14" t="inlineStr">
        <is>
          <t>pass</t>
        </is>
      </c>
      <c r="S345" s="14" t="inlineStr">
        <is>
          <t>pass</t>
        </is>
      </c>
      <c r="T345" s="14" t="inlineStr">
        <is>
          <t>pass</t>
        </is>
      </c>
      <c r="U345" s="16" t="inlineStr">
        <is>
          <t>warn</t>
        </is>
      </c>
      <c r="V345" s="16" t="inlineStr">
        <is>
          <t>warn</t>
        </is>
      </c>
      <c r="W345" s="16" t="inlineStr">
        <is>
          <t>warn</t>
        </is>
      </c>
      <c r="X345" s="14" t="inlineStr">
        <is>
          <t>pass</t>
        </is>
      </c>
      <c r="Y345" s="18" t="inlineStr">
        <is>
          <t>fail</t>
        </is>
      </c>
      <c r="Z345" s="16" t="inlineStr">
        <is>
          <t>warn</t>
        </is>
      </c>
      <c r="AA345" s="14" t="inlineStr">
        <is>
          <t>pass</t>
        </is>
      </c>
      <c r="AB345" s="16" t="inlineStr">
        <is>
          <t>warn</t>
        </is>
      </c>
      <c r="AC345" s="16" t="inlineStr">
        <is>
          <t>warn</t>
        </is>
      </c>
      <c r="AD345" s="14" t="inlineStr">
        <is>
          <t>pass</t>
        </is>
      </c>
      <c r="AE345" s="14" t="inlineStr">
        <is>
          <t>pass</t>
        </is>
      </c>
      <c r="AF345" s="18" t="inlineStr">
        <is>
          <t>fail</t>
        </is>
      </c>
      <c r="AG345" s="14" t="inlineStr">
        <is>
          <t>pass</t>
        </is>
      </c>
      <c r="AH345" s="15" t="inlineStr">
        <is>
          <t>not_checked</t>
        </is>
      </c>
      <c r="AI345" s="15" t="inlineStr">
        <is>
          <t>n.a.</t>
        </is>
      </c>
      <c r="AJ345" s="15" t="inlineStr">
        <is>
          <t>n.a.</t>
        </is>
      </c>
      <c r="AK345" s="4" t="inlineStr">
        <is>
          <t>license;access;format_match(warn);machine_metadata(warn);persistent_id(warn);temporal(warn);cadence(warn);version(warn)</t>
        </is>
      </c>
      <c r="AL345" s="17" t="inlineStr">
        <is>
          <t>https://www.ahadata.com/aha-annual-survey-database</t>
        </is>
      </c>
      <c r="AM345" s="4" t="inlineStr">
        <is>
          <t>us_aha_annual_survey</t>
        </is>
      </c>
    </row>
    <row r="346">
      <c r="A346" s="4" t="inlineStr">
        <is>
          <t>All of Us Researcher Workbench: externally sourced socioeconomic status data (ACS, 3-digit ZIP linkage)</t>
        </is>
      </c>
      <c r="B346" s="20" t="inlineStr">
        <is>
          <t>Bronze</t>
        </is>
      </c>
      <c r="C346" s="4" t="n">
        <v>89</v>
      </c>
      <c r="D346" s="4" t="inlineStr">
        <is>
          <t>sdoh</t>
        </is>
      </c>
      <c r="E346" s="4" t="inlineStr">
        <is>
          <t>degraded</t>
        </is>
      </c>
      <c r="F346" s="4" t="inlineStr">
        <is>
          <t>unknown</t>
        </is>
      </c>
      <c r="G346" s="4" t="inlineStr">
        <is>
          <t>zcta_zip</t>
        </is>
      </c>
      <c r="H346" s="4" t="inlineStr">
        <is>
          <t>Joins today</t>
        </is>
      </c>
      <c r="I346" s="4" t="n">
        <v>3</v>
      </c>
      <c r="J346" s="4" t="inlineStr"/>
      <c r="K346" s="4" t="inlineStr">
        <is>
          <t>Curated</t>
        </is>
      </c>
      <c r="L346" s="4" t="inlineStr"/>
      <c r="M346" s="4" t="inlineStr">
        <is>
          <t>restricted</t>
        </is>
      </c>
      <c r="N346" s="4" t="inlineStr">
        <is>
          <t>2026-10-22</t>
        </is>
      </c>
      <c r="O346" s="14" t="inlineStr">
        <is>
          <t>pass</t>
        </is>
      </c>
      <c r="P346" s="14" t="inlineStr">
        <is>
          <t>pass</t>
        </is>
      </c>
      <c r="Q346" s="14" t="inlineStr">
        <is>
          <t>pass</t>
        </is>
      </c>
      <c r="R346" s="14" t="inlineStr">
        <is>
          <t>pass</t>
        </is>
      </c>
      <c r="S346" s="14" t="inlineStr">
        <is>
          <t>pass</t>
        </is>
      </c>
      <c r="T346" s="14" t="inlineStr">
        <is>
          <t>pass</t>
        </is>
      </c>
      <c r="U346" s="16" t="inlineStr">
        <is>
          <t>warn</t>
        </is>
      </c>
      <c r="V346" s="18" t="inlineStr">
        <is>
          <t>fail</t>
        </is>
      </c>
      <c r="W346" s="16" t="inlineStr">
        <is>
          <t>warn</t>
        </is>
      </c>
      <c r="X346" s="14" t="inlineStr">
        <is>
          <t>pass</t>
        </is>
      </c>
      <c r="Y346" s="15" t="inlineStr">
        <is>
          <t>not_checked</t>
        </is>
      </c>
      <c r="Z346" s="15" t="inlineStr">
        <is>
          <t>not_checked</t>
        </is>
      </c>
      <c r="AA346" s="15" t="inlineStr">
        <is>
          <t>not_checked</t>
        </is>
      </c>
      <c r="AB346" s="15" t="inlineStr">
        <is>
          <t>not_checked</t>
        </is>
      </c>
      <c r="AC346" s="15" t="inlineStr">
        <is>
          <t>not_checked</t>
        </is>
      </c>
      <c r="AD346" s="15" t="inlineStr">
        <is>
          <t>not_checked</t>
        </is>
      </c>
      <c r="AE346" s="15" t="inlineStr">
        <is>
          <t>not_checked</t>
        </is>
      </c>
      <c r="AF346" s="15" t="inlineStr">
        <is>
          <t>not_checked</t>
        </is>
      </c>
      <c r="AG346" s="15" t="inlineStr">
        <is>
          <t>not_checked</t>
        </is>
      </c>
      <c r="AH346" s="15" t="inlineStr">
        <is>
          <t>not_checked</t>
        </is>
      </c>
      <c r="AI346" s="15" t="inlineStr">
        <is>
          <t>n.a.</t>
        </is>
      </c>
      <c r="AJ346" s="15" t="inlineStr">
        <is>
          <t>n.a.</t>
        </is>
      </c>
      <c r="AK346" s="4" t="inlineStr">
        <is>
          <t>machine_metadata;format_match(warn);persistent_id(warn)</t>
        </is>
      </c>
      <c r="AL346" s="17" t="inlineStr">
        <is>
          <t>https://www.researchallofus.org/data-tools/data-sources/</t>
        </is>
      </c>
      <c r="AM346" s="4" t="inlineStr">
        <is>
          <t>us_nih_allofus_ses_zip3</t>
        </is>
      </c>
    </row>
    <row r="347">
      <c r="A347" s="4" t="inlineStr">
        <is>
          <t>Canadian Index of Multiple Deprivation (CIMD)</t>
        </is>
      </c>
      <c r="B347" s="20" t="inlineStr">
        <is>
          <t>Bronze</t>
        </is>
      </c>
      <c r="C347" s="4" t="n">
        <v>69</v>
      </c>
      <c r="D347" s="4" t="inlineStr">
        <is>
          <t>sdoh</t>
        </is>
      </c>
      <c r="E347" s="4" t="inlineStr">
        <is>
          <t>healthy</t>
        </is>
      </c>
      <c r="F347" s="4" t="inlineStr">
        <is>
          <t>unknown</t>
        </is>
      </c>
      <c r="G347" s="4" t="inlineStr">
        <is>
          <t>dissemination_area</t>
        </is>
      </c>
      <c r="H347" s="4" t="inlineStr">
        <is>
          <t>Unknown</t>
        </is>
      </c>
      <c r="I347" s="4" t="n">
        <v>3</v>
      </c>
      <c r="J347" s="4" t="inlineStr"/>
      <c r="K347" s="4" t="inlineStr">
        <is>
          <t>Curated</t>
        </is>
      </c>
      <c r="L347" s="4" t="n">
        <v>2021</v>
      </c>
      <c r="M347" s="4" t="inlineStr">
        <is>
          <t>open</t>
        </is>
      </c>
      <c r="N347" s="4" t="inlineStr">
        <is>
          <t>2026-10-28</t>
        </is>
      </c>
      <c r="O347" s="14" t="inlineStr">
        <is>
          <t>pass</t>
        </is>
      </c>
      <c r="P347" s="14" t="inlineStr">
        <is>
          <t>pass</t>
        </is>
      </c>
      <c r="Q347" s="14" t="inlineStr">
        <is>
          <t>pass</t>
        </is>
      </c>
      <c r="R347" s="14" t="inlineStr">
        <is>
          <t>pass</t>
        </is>
      </c>
      <c r="S347" s="14" t="inlineStr">
        <is>
          <t>pass</t>
        </is>
      </c>
      <c r="T347" s="15" t="inlineStr">
        <is>
          <t>n.a.</t>
        </is>
      </c>
      <c r="U347" s="15" t="inlineStr">
        <is>
          <t>n.a.</t>
        </is>
      </c>
      <c r="V347" s="16" t="inlineStr">
        <is>
          <t>warn</t>
        </is>
      </c>
      <c r="W347" s="16" t="inlineStr">
        <is>
          <t>warn</t>
        </is>
      </c>
      <c r="X347" s="14" t="inlineStr">
        <is>
          <t>pass</t>
        </is>
      </c>
      <c r="Y347" s="18" t="inlineStr">
        <is>
          <t>fail</t>
        </is>
      </c>
      <c r="Z347" s="14" t="inlineStr">
        <is>
          <t>pass</t>
        </is>
      </c>
      <c r="AA347" s="16" t="inlineStr">
        <is>
          <t>warn</t>
        </is>
      </c>
      <c r="AB347" s="14" t="inlineStr">
        <is>
          <t>pass</t>
        </is>
      </c>
      <c r="AC347" s="14" t="inlineStr">
        <is>
          <t>pass</t>
        </is>
      </c>
      <c r="AD347" s="16" t="inlineStr">
        <is>
          <t>warn</t>
        </is>
      </c>
      <c r="AE347" s="14" t="inlineStr">
        <is>
          <t>pass</t>
        </is>
      </c>
      <c r="AF347" s="14" t="inlineStr">
        <is>
          <t>pass</t>
        </is>
      </c>
      <c r="AG347" s="16" t="inlineStr">
        <is>
          <t>warn</t>
        </is>
      </c>
      <c r="AH347" s="16" t="inlineStr">
        <is>
          <t>warn</t>
        </is>
      </c>
      <c r="AI347" s="15" t="inlineStr">
        <is>
          <t>n.a.</t>
        </is>
      </c>
      <c r="AJ347" s="15" t="inlineStr">
        <is>
          <t>n.a.</t>
        </is>
      </c>
      <c r="AK347" s="4" t="inlineStr">
        <is>
          <t>license;machine_metadata(warn);persistent_id(warn);recency(warn);unit(warn);join_key(warn);format_gaia(warn)</t>
        </is>
      </c>
      <c r="AL347" s="17" t="inlineStr">
        <is>
          <t>https://www150.statcan.gc.ca/n1/en/catalogue/45200001</t>
        </is>
      </c>
      <c r="AM347" s="4" t="inlineStr">
        <is>
          <t>ca_statcan_cimd</t>
        </is>
      </c>
    </row>
    <row r="348">
      <c r="A348" s="4" t="inlineStr">
        <is>
          <t>CDC/ATSDR Social Vulnerability Index (SVI)</t>
        </is>
      </c>
      <c r="B348" s="19" t="inlineStr">
        <is>
          <t>Silver</t>
        </is>
      </c>
      <c r="C348" s="4" t="n">
        <v>97</v>
      </c>
      <c r="D348" s="4" t="inlineStr">
        <is>
          <t>sdoh</t>
        </is>
      </c>
      <c r="E348" s="4" t="inlineStr">
        <is>
          <t>healthy</t>
        </is>
      </c>
      <c r="F348" s="4" t="inlineStr">
        <is>
          <t>public_domain_us_federal</t>
        </is>
      </c>
      <c r="G348" s="4" t="inlineStr">
        <is>
          <t>tract</t>
        </is>
      </c>
      <c r="H348" s="4" t="inlineStr">
        <is>
          <t>Joins today</t>
        </is>
      </c>
      <c r="I348" s="4" t="n">
        <v>3</v>
      </c>
      <c r="J348" s="4" t="inlineStr">
        <is>
          <t>fl_2018_svi_tract;fl_2020_svi_county;fl_2020_svi_tract;fl_2022_svi_tract;ma_2018_svi_tract;ma_2020_svi_tract;ma_2022_svi_tract;mdc_2018_svi_tract;mdc_2020_svi_tract;mdc_2022_svi_tract;us_2018_svi_county</t>
        </is>
      </c>
      <c r="K348" s="4" t="inlineStr">
        <is>
          <t>Curated</t>
        </is>
      </c>
      <c r="L348" s="4" t="n">
        <v>2022</v>
      </c>
      <c r="M348" s="4" t="inlineStr">
        <is>
          <t>unknown</t>
        </is>
      </c>
      <c r="N348" s="4" t="inlineStr">
        <is>
          <t>2026-10-29</t>
        </is>
      </c>
      <c r="O348" s="14" t="inlineStr">
        <is>
          <t>pass</t>
        </is>
      </c>
      <c r="P348" s="14" t="inlineStr">
        <is>
          <t>pass</t>
        </is>
      </c>
      <c r="Q348" s="14" t="inlineStr">
        <is>
          <t>pass</t>
        </is>
      </c>
      <c r="R348" s="14" t="inlineStr">
        <is>
          <t>pass</t>
        </is>
      </c>
      <c r="S348" s="14" t="inlineStr">
        <is>
          <t>pass</t>
        </is>
      </c>
      <c r="T348" s="15" t="inlineStr">
        <is>
          <t>n.a.</t>
        </is>
      </c>
      <c r="U348" s="15" t="inlineStr">
        <is>
          <t>n.a.</t>
        </is>
      </c>
      <c r="V348" s="16" t="inlineStr">
        <is>
          <t>warn</t>
        </is>
      </c>
      <c r="W348" s="16" t="inlineStr">
        <is>
          <t>warn</t>
        </is>
      </c>
      <c r="X348" s="14" t="inlineStr">
        <is>
          <t>pass</t>
        </is>
      </c>
      <c r="Y348" s="14" t="inlineStr">
        <is>
          <t>pass</t>
        </is>
      </c>
      <c r="Z348" s="14" t="inlineStr">
        <is>
          <t>pass</t>
        </is>
      </c>
      <c r="AA348" s="14" t="inlineStr">
        <is>
          <t>pass</t>
        </is>
      </c>
      <c r="AB348" s="16" t="inlineStr">
        <is>
          <t>warn</t>
        </is>
      </c>
      <c r="AC348" s="14" t="inlineStr">
        <is>
          <t>pass</t>
        </is>
      </c>
      <c r="AD348" s="14" t="inlineStr">
        <is>
          <t>pass</t>
        </is>
      </c>
      <c r="AE348" s="16" t="inlineStr">
        <is>
          <t>warn</t>
        </is>
      </c>
      <c r="AF348" s="15" t="inlineStr">
        <is>
          <t>not_checked</t>
        </is>
      </c>
      <c r="AG348" s="15" t="inlineStr">
        <is>
          <t>not_checked</t>
        </is>
      </c>
      <c r="AH348" s="15" t="inlineStr">
        <is>
          <t>not_checked</t>
        </is>
      </c>
      <c r="AI348" s="14" t="inlineStr">
        <is>
          <t>pass</t>
        </is>
      </c>
      <c r="AJ348" s="18" t="inlineStr">
        <is>
          <t>fail</t>
        </is>
      </c>
      <c r="AK348" s="4" t="inlineStr">
        <is>
          <t>recipe_health;machine_metadata(warn);persistent_id(warn);cadence(warn);coverage(warn)</t>
        </is>
      </c>
      <c r="AL348" s="17" t="inlineStr">
        <is>
          <t>https://www.atsdr.cdc.gov/place-health/php/svi/svi-data-documentation-download.html</t>
        </is>
      </c>
      <c r="AM348" s="4" t="inlineStr">
        <is>
          <t>us_cdc_svi</t>
        </is>
      </c>
    </row>
    <row r="349">
      <c r="A349" s="4" t="inlineStr">
        <is>
          <t>Climate and Economic Justice Screening Tool (CEJST) v2.0 data, PEDP unofficial copy</t>
        </is>
      </c>
      <c r="B349" s="20" t="inlineStr">
        <is>
          <t>Bronze</t>
        </is>
      </c>
      <c r="C349" s="4" t="n">
        <v>84</v>
      </c>
      <c r="D349" s="4" t="inlineStr">
        <is>
          <t>sdoh</t>
        </is>
      </c>
      <c r="E349" s="4" t="inlineStr">
        <is>
          <t>healthy</t>
        </is>
      </c>
      <c r="F349" s="4" t="inlineStr">
        <is>
          <t>unknown</t>
        </is>
      </c>
      <c r="G349" s="4" t="inlineStr">
        <is>
          <t>tract</t>
        </is>
      </c>
      <c r="H349" s="4" t="inlineStr">
        <is>
          <t>Joins today</t>
        </is>
      </c>
      <c r="I349" s="4" t="n">
        <v>3</v>
      </c>
      <c r="J349" s="4" t="inlineStr"/>
      <c r="K349" s="4" t="inlineStr">
        <is>
          <t>Mirror</t>
        </is>
      </c>
      <c r="L349" s="4" t="n">
        <v>2024</v>
      </c>
      <c r="M349" s="4" t="inlineStr">
        <is>
          <t>open</t>
        </is>
      </c>
      <c r="N349" s="4" t="inlineStr">
        <is>
          <t>2026-10-28</t>
        </is>
      </c>
      <c r="O349" s="14" t="inlineStr">
        <is>
          <t>pass</t>
        </is>
      </c>
      <c r="P349" s="14" t="inlineStr">
        <is>
          <t>pass</t>
        </is>
      </c>
      <c r="Q349" s="14" t="inlineStr">
        <is>
          <t>pass</t>
        </is>
      </c>
      <c r="R349" s="14" t="inlineStr">
        <is>
          <t>pass</t>
        </is>
      </c>
      <c r="S349" s="14" t="inlineStr">
        <is>
          <t>pass</t>
        </is>
      </c>
      <c r="T349" s="14" t="inlineStr">
        <is>
          <t>pass</t>
        </is>
      </c>
      <c r="U349" s="14" t="inlineStr">
        <is>
          <t>pass</t>
        </is>
      </c>
      <c r="V349" s="16" t="inlineStr">
        <is>
          <t>warn</t>
        </is>
      </c>
      <c r="W349" s="16" t="inlineStr">
        <is>
          <t>warn</t>
        </is>
      </c>
      <c r="X349" s="14" t="inlineStr">
        <is>
          <t>pass</t>
        </is>
      </c>
      <c r="Y349" s="18" t="inlineStr">
        <is>
          <t>fail</t>
        </is>
      </c>
      <c r="Z349" s="14" t="inlineStr">
        <is>
          <t>pass</t>
        </is>
      </c>
      <c r="AA349" s="14" t="inlineStr">
        <is>
          <t>pass</t>
        </is>
      </c>
      <c r="AB349" s="16" t="inlineStr">
        <is>
          <t>warn</t>
        </is>
      </c>
      <c r="AC349" s="14" t="inlineStr">
        <is>
          <t>pass</t>
        </is>
      </c>
      <c r="AD349" s="14" t="inlineStr">
        <is>
          <t>pass</t>
        </is>
      </c>
      <c r="AE349" s="16" t="inlineStr">
        <is>
          <t>warn</t>
        </is>
      </c>
      <c r="AF349" s="14" t="inlineStr">
        <is>
          <t>pass</t>
        </is>
      </c>
      <c r="AG349" s="14" t="inlineStr">
        <is>
          <t>pass</t>
        </is>
      </c>
      <c r="AH349" s="14" t="inlineStr">
        <is>
          <t>pass</t>
        </is>
      </c>
      <c r="AI349" s="15" t="inlineStr">
        <is>
          <t>n.a.</t>
        </is>
      </c>
      <c r="AJ349" s="15" t="inlineStr">
        <is>
          <t>n.a.</t>
        </is>
      </c>
      <c r="AK349" s="4" t="inlineStr">
        <is>
          <t>license;machine_metadata(warn);persistent_id(warn);cadence(warn);coverage(warn)</t>
        </is>
      </c>
      <c r="AL349" s="17" t="inlineStr">
        <is>
          <t>https://public-environmental-data-partners.github.io/j40-cejst-2/en/downloads</t>
        </is>
      </c>
      <c r="AM349" s="4" t="inlineStr">
        <is>
          <t>us_ceq_cejst_pedp</t>
        </is>
      </c>
    </row>
    <row r="350">
      <c r="A350" s="4" t="inlineStr">
        <is>
          <t>Community Resilience Estimates (CRE)</t>
        </is>
      </c>
      <c r="B350" s="13" t="inlineStr">
        <is>
          <t>Gold</t>
        </is>
      </c>
      <c r="C350" s="4" t="n">
        <v>93</v>
      </c>
      <c r="D350" s="4" t="inlineStr">
        <is>
          <t>sdoh</t>
        </is>
      </c>
      <c r="E350" s="4" t="inlineStr">
        <is>
          <t>healthy</t>
        </is>
      </c>
      <c r="F350" s="4" t="inlineStr">
        <is>
          <t>public_domain_us_federal</t>
        </is>
      </c>
      <c r="G350" s="4" t="inlineStr">
        <is>
          <t>tract</t>
        </is>
      </c>
      <c r="H350" s="4" t="inlineStr">
        <is>
          <t>Joins today</t>
        </is>
      </c>
      <c r="I350" s="4" t="n">
        <v>3</v>
      </c>
      <c r="J350" s="4" t="inlineStr"/>
      <c r="K350" s="4" t="inlineStr">
        <is>
          <t>Curated</t>
        </is>
      </c>
      <c r="L350" s="4" t="n">
        <v>2024</v>
      </c>
      <c r="M350" s="4" t="inlineStr">
        <is>
          <t>open</t>
        </is>
      </c>
      <c r="N350" s="4" t="inlineStr">
        <is>
          <t>2026-10-29</t>
        </is>
      </c>
      <c r="O350" s="14" t="inlineStr">
        <is>
          <t>pass</t>
        </is>
      </c>
      <c r="P350" s="14" t="inlineStr">
        <is>
          <t>pass</t>
        </is>
      </c>
      <c r="Q350" s="14" t="inlineStr">
        <is>
          <t>pass</t>
        </is>
      </c>
      <c r="R350" s="14" t="inlineStr">
        <is>
          <t>pass</t>
        </is>
      </c>
      <c r="S350" s="14" t="inlineStr">
        <is>
          <t>pass</t>
        </is>
      </c>
      <c r="T350" s="14" t="inlineStr">
        <is>
          <t>pass</t>
        </is>
      </c>
      <c r="U350" s="14" t="inlineStr">
        <is>
          <t>pass</t>
        </is>
      </c>
      <c r="V350" s="16" t="inlineStr">
        <is>
          <t>warn</t>
        </is>
      </c>
      <c r="W350" s="16" t="inlineStr">
        <is>
          <t>warn</t>
        </is>
      </c>
      <c r="X350" s="14" t="inlineStr">
        <is>
          <t>pass</t>
        </is>
      </c>
      <c r="Y350" s="14" t="inlineStr">
        <is>
          <t>pass</t>
        </is>
      </c>
      <c r="Z350" s="14" t="inlineStr">
        <is>
          <t>pass</t>
        </is>
      </c>
      <c r="AA350" s="14" t="inlineStr">
        <is>
          <t>pass</t>
        </is>
      </c>
      <c r="AB350" s="16" t="inlineStr">
        <is>
          <t>warn</t>
        </is>
      </c>
      <c r="AC350" s="14" t="inlineStr">
        <is>
          <t>pass</t>
        </is>
      </c>
      <c r="AD350" s="14" t="inlineStr">
        <is>
          <t>pass</t>
        </is>
      </c>
      <c r="AE350" s="16" t="inlineStr">
        <is>
          <t>warn</t>
        </is>
      </c>
      <c r="AF350" s="14" t="inlineStr">
        <is>
          <t>pass</t>
        </is>
      </c>
      <c r="AG350" s="16" t="inlineStr">
        <is>
          <t>warn</t>
        </is>
      </c>
      <c r="AH350" s="16" t="inlineStr">
        <is>
          <t>warn</t>
        </is>
      </c>
      <c r="AI350" s="15" t="inlineStr">
        <is>
          <t>n.a.</t>
        </is>
      </c>
      <c r="AJ350" s="15" t="inlineStr">
        <is>
          <t>n.a.</t>
        </is>
      </c>
      <c r="AK350" s="4" t="inlineStr">
        <is>
          <t>machine_metadata(warn);persistent_id(warn);cadence(warn);coverage(warn);join_key(warn);format_gaia(warn)</t>
        </is>
      </c>
      <c r="AL350" s="17" t="inlineStr">
        <is>
          <t>https://www.census.gov/programs-surveys/community-resilience-estimates.html</t>
        </is>
      </c>
      <c r="AM350" s="4" t="inlineStr">
        <is>
          <t>us_census_community_resilience_estimates</t>
        </is>
      </c>
    </row>
    <row r="351">
      <c r="A351" s="4" t="inlineStr">
        <is>
          <t>Distressed Communities Index (DCI)</t>
        </is>
      </c>
      <c r="B351" s="20" t="inlineStr">
        <is>
          <t>Bronze</t>
        </is>
      </c>
      <c r="C351" s="4" t="n">
        <v>70</v>
      </c>
      <c r="D351" s="4" t="inlineStr">
        <is>
          <t>sdoh</t>
        </is>
      </c>
      <c r="E351" s="4" t="inlineStr">
        <is>
          <t>healthy</t>
        </is>
      </c>
      <c r="F351" s="4" t="inlineStr">
        <is>
          <t>restricted</t>
        </is>
      </c>
      <c r="G351" s="4" t="inlineStr">
        <is>
          <t>zip</t>
        </is>
      </c>
      <c r="H351" s="4" t="inlineStr">
        <is>
          <t>Joins today</t>
        </is>
      </c>
      <c r="I351" s="4" t="n">
        <v>3</v>
      </c>
      <c r="J351" s="4" t="inlineStr"/>
      <c r="K351" s="4" t="inlineStr">
        <is>
          <t>Curated</t>
        </is>
      </c>
      <c r="L351" s="4" t="n">
        <v>2023</v>
      </c>
      <c r="M351" s="4" t="inlineStr">
        <is>
          <t>restricted</t>
        </is>
      </c>
      <c r="N351" s="4" t="inlineStr">
        <is>
          <t>2026-10-22</t>
        </is>
      </c>
      <c r="O351" s="14" t="inlineStr">
        <is>
          <t>pass</t>
        </is>
      </c>
      <c r="P351" s="14" t="inlineStr">
        <is>
          <t>pass</t>
        </is>
      </c>
      <c r="Q351" s="14" t="inlineStr">
        <is>
          <t>pass</t>
        </is>
      </c>
      <c r="R351" s="14" t="inlineStr">
        <is>
          <t>pass</t>
        </is>
      </c>
      <c r="S351" s="14" t="inlineStr">
        <is>
          <t>pass</t>
        </is>
      </c>
      <c r="T351" s="14" t="inlineStr">
        <is>
          <t>pass</t>
        </is>
      </c>
      <c r="U351" s="16" t="inlineStr">
        <is>
          <t>warn</t>
        </is>
      </c>
      <c r="V351" s="16" t="inlineStr">
        <is>
          <t>warn</t>
        </is>
      </c>
      <c r="W351" s="16" t="inlineStr">
        <is>
          <t>warn</t>
        </is>
      </c>
      <c r="X351" s="14" t="inlineStr">
        <is>
          <t>pass</t>
        </is>
      </c>
      <c r="Y351" s="18" t="inlineStr">
        <is>
          <t>fail</t>
        </is>
      </c>
      <c r="Z351" s="14" t="inlineStr">
        <is>
          <t>pass</t>
        </is>
      </c>
      <c r="AA351" s="14" t="inlineStr">
        <is>
          <t>pass</t>
        </is>
      </c>
      <c r="AB351" s="14" t="inlineStr">
        <is>
          <t>pass</t>
        </is>
      </c>
      <c r="AC351" s="14" t="inlineStr">
        <is>
          <t>pass</t>
        </is>
      </c>
      <c r="AD351" s="14" t="inlineStr">
        <is>
          <t>pass</t>
        </is>
      </c>
      <c r="AE351" s="14" t="inlineStr">
        <is>
          <t>pass</t>
        </is>
      </c>
      <c r="AF351" s="18" t="inlineStr">
        <is>
          <t>fail</t>
        </is>
      </c>
      <c r="AG351" s="16" t="inlineStr">
        <is>
          <t>warn</t>
        </is>
      </c>
      <c r="AH351" s="16" t="inlineStr">
        <is>
          <t>warn</t>
        </is>
      </c>
      <c r="AI351" s="15" t="inlineStr">
        <is>
          <t>n.a.</t>
        </is>
      </c>
      <c r="AJ351" s="15" t="inlineStr">
        <is>
          <t>n.a.</t>
        </is>
      </c>
      <c r="AK351" s="4" t="inlineStr">
        <is>
          <t>license;access;format_match(warn);machine_metadata(warn);persistent_id(warn);join_key(warn);format_gaia(warn)</t>
        </is>
      </c>
      <c r="AL351" s="17" t="inlineStr">
        <is>
          <t>https://eig.org/distressed-communities/</t>
        </is>
      </c>
      <c r="AM351" s="4" t="inlineStr">
        <is>
          <t>us_eig_dci</t>
        </is>
      </c>
    </row>
    <row r="352">
      <c r="A352" s="4" t="inlineStr">
        <is>
          <t>EJScreen (PEDP reconstruction of EPA EJScreen v2.3)</t>
        </is>
      </c>
      <c r="B352" s="20" t="inlineStr">
        <is>
          <t>Bronze</t>
        </is>
      </c>
      <c r="C352" s="4" t="n">
        <v>79</v>
      </c>
      <c r="D352" s="4" t="inlineStr">
        <is>
          <t>sdoh</t>
        </is>
      </c>
      <c r="E352" s="4" t="inlineStr">
        <is>
          <t>healthy</t>
        </is>
      </c>
      <c r="F352" s="4" t="inlineStr">
        <is>
          <t>unknown</t>
        </is>
      </c>
      <c r="G352" s="4" t="inlineStr">
        <is>
          <t>block_group</t>
        </is>
      </c>
      <c r="H352" s="4" t="inlineStr">
        <is>
          <t>Joins today</t>
        </is>
      </c>
      <c r="I352" s="4" t="n">
        <v>3</v>
      </c>
      <c r="J352" s="4" t="inlineStr"/>
      <c r="K352" s="4" t="inlineStr">
        <is>
          <t>Mirror</t>
        </is>
      </c>
      <c r="L352" s="4" t="n">
        <v>2024</v>
      </c>
      <c r="M352" s="4" t="inlineStr">
        <is>
          <t>open</t>
        </is>
      </c>
      <c r="N352" s="4" t="inlineStr">
        <is>
          <t>2026-10-28</t>
        </is>
      </c>
      <c r="O352" s="14" t="inlineStr">
        <is>
          <t>pass</t>
        </is>
      </c>
      <c r="P352" s="14" t="inlineStr">
        <is>
          <t>pass</t>
        </is>
      </c>
      <c r="Q352" s="14" t="inlineStr">
        <is>
          <t>pass</t>
        </is>
      </c>
      <c r="R352" s="14" t="inlineStr">
        <is>
          <t>pass</t>
        </is>
      </c>
      <c r="S352" s="14" t="inlineStr">
        <is>
          <t>pass</t>
        </is>
      </c>
      <c r="T352" s="14" t="inlineStr">
        <is>
          <t>pass</t>
        </is>
      </c>
      <c r="U352" s="14" t="inlineStr">
        <is>
          <t>pass</t>
        </is>
      </c>
      <c r="V352" s="16" t="inlineStr">
        <is>
          <t>warn</t>
        </is>
      </c>
      <c r="W352" s="16" t="inlineStr">
        <is>
          <t>warn</t>
        </is>
      </c>
      <c r="X352" s="14" t="inlineStr">
        <is>
          <t>pass</t>
        </is>
      </c>
      <c r="Y352" s="18" t="inlineStr">
        <is>
          <t>fail</t>
        </is>
      </c>
      <c r="Z352" s="16" t="inlineStr">
        <is>
          <t>warn</t>
        </is>
      </c>
      <c r="AA352" s="14" t="inlineStr">
        <is>
          <t>pass</t>
        </is>
      </c>
      <c r="AB352" s="14" t="inlineStr">
        <is>
          <t>pass</t>
        </is>
      </c>
      <c r="AC352" s="14" t="inlineStr">
        <is>
          <t>pass</t>
        </is>
      </c>
      <c r="AD352" s="14" t="inlineStr">
        <is>
          <t>pass</t>
        </is>
      </c>
      <c r="AE352" s="16" t="inlineStr">
        <is>
          <t>warn</t>
        </is>
      </c>
      <c r="AF352" s="14" t="inlineStr">
        <is>
          <t>pass</t>
        </is>
      </c>
      <c r="AG352" s="15" t="inlineStr">
        <is>
          <t>not_checked</t>
        </is>
      </c>
      <c r="AH352" s="16" t="inlineStr">
        <is>
          <t>warn</t>
        </is>
      </c>
      <c r="AI352" s="15" t="inlineStr">
        <is>
          <t>n.a.</t>
        </is>
      </c>
      <c r="AJ352" s="15" t="inlineStr">
        <is>
          <t>n.a.</t>
        </is>
      </c>
      <c r="AK352" s="4" t="inlineStr">
        <is>
          <t>license;machine_metadata(warn);persistent_id(warn);temporal(warn);coverage(warn);format_gaia(warn)</t>
        </is>
      </c>
      <c r="AL352" s="17" t="inlineStr">
        <is>
          <t>https://screening-tools.com/epa-ejscreen</t>
        </is>
      </c>
      <c r="AM352" s="4" t="inlineStr">
        <is>
          <t>us_epa_ejscreen_pedp</t>
        </is>
      </c>
    </row>
    <row r="353">
      <c r="A353" s="4" t="inlineStr">
        <is>
          <t>Environmental Justice Index (EJI)</t>
        </is>
      </c>
      <c r="B353" s="19" t="inlineStr">
        <is>
          <t>Silver</t>
        </is>
      </c>
      <c r="C353" s="4" t="n">
        <v>97</v>
      </c>
      <c r="D353" s="4" t="inlineStr">
        <is>
          <t>sdoh</t>
        </is>
      </c>
      <c r="E353" s="4" t="inlineStr">
        <is>
          <t>healthy</t>
        </is>
      </c>
      <c r="F353" s="4" t="inlineStr">
        <is>
          <t>public_domain_us_federal</t>
        </is>
      </c>
      <c r="G353" s="4" t="inlineStr">
        <is>
          <t>tract</t>
        </is>
      </c>
      <c r="H353" s="4" t="inlineStr">
        <is>
          <t>Joins today</t>
        </is>
      </c>
      <c r="I353" s="4" t="n">
        <v>3</v>
      </c>
      <c r="J353" s="4" t="inlineStr"/>
      <c r="K353" s="4" t="inlineStr">
        <is>
          <t>Curated</t>
        </is>
      </c>
      <c r="L353" s="4" t="n">
        <v>2024</v>
      </c>
      <c r="M353" s="4" t="inlineStr">
        <is>
          <t>open</t>
        </is>
      </c>
      <c r="N353" s="4" t="inlineStr">
        <is>
          <t>2026-10-29</t>
        </is>
      </c>
      <c r="O353" s="14" t="inlineStr">
        <is>
          <t>pass</t>
        </is>
      </c>
      <c r="P353" s="14" t="inlineStr">
        <is>
          <t>pass</t>
        </is>
      </c>
      <c r="Q353" s="14" t="inlineStr">
        <is>
          <t>pass</t>
        </is>
      </c>
      <c r="R353" s="14" t="inlineStr">
        <is>
          <t>pass</t>
        </is>
      </c>
      <c r="S353" s="14" t="inlineStr">
        <is>
          <t>pass</t>
        </is>
      </c>
      <c r="T353" s="14" t="inlineStr">
        <is>
          <t>pass</t>
        </is>
      </c>
      <c r="U353" s="16" t="inlineStr">
        <is>
          <t>warn</t>
        </is>
      </c>
      <c r="V353" s="16" t="inlineStr">
        <is>
          <t>warn</t>
        </is>
      </c>
      <c r="W353" s="16" t="inlineStr">
        <is>
          <t>warn</t>
        </is>
      </c>
      <c r="X353" s="14" t="inlineStr">
        <is>
          <t>pass</t>
        </is>
      </c>
      <c r="Y353" s="14" t="inlineStr">
        <is>
          <t>pass</t>
        </is>
      </c>
      <c r="Z353" s="15" t="inlineStr">
        <is>
          <t>not_checked</t>
        </is>
      </c>
      <c r="AA353" s="15" t="inlineStr">
        <is>
          <t>not_checked</t>
        </is>
      </c>
      <c r="AB353" s="15" t="inlineStr">
        <is>
          <t>not_checked</t>
        </is>
      </c>
      <c r="AC353" s="15" t="inlineStr">
        <is>
          <t>not_checked</t>
        </is>
      </c>
      <c r="AD353" s="14" t="inlineStr">
        <is>
          <t>pass</t>
        </is>
      </c>
      <c r="AE353" s="16" t="inlineStr">
        <is>
          <t>warn</t>
        </is>
      </c>
      <c r="AF353" s="14" t="inlineStr">
        <is>
          <t>pass</t>
        </is>
      </c>
      <c r="AG353" s="15" t="inlineStr">
        <is>
          <t>not_checked</t>
        </is>
      </c>
      <c r="AH353" s="15" t="inlineStr">
        <is>
          <t>not_checked</t>
        </is>
      </c>
      <c r="AI353" s="15" t="inlineStr">
        <is>
          <t>n.a.</t>
        </is>
      </c>
      <c r="AJ353" s="15" t="inlineStr">
        <is>
          <t>n.a.</t>
        </is>
      </c>
      <c r="AK353" s="4" t="inlineStr">
        <is>
          <t>format_match(warn);machine_metadata(warn);persistent_id(warn);coverage(warn)</t>
        </is>
      </c>
      <c r="AL353" s="17" t="inlineStr">
        <is>
          <t>https://www.atsdr.cdc.gov/place-health/php/eji/index.html</t>
        </is>
      </c>
      <c r="AM353" s="4" t="inlineStr">
        <is>
          <t>us_cdc_eji</t>
        </is>
      </c>
    </row>
    <row r="354">
      <c r="A354" s="4" t="inlineStr">
        <is>
          <t>Harvard Environment and Law Data (HELD) Collection - archived federal environmental justice datasets</t>
        </is>
      </c>
      <c r="B354" s="20" t="inlineStr">
        <is>
          <t>Bronze</t>
        </is>
      </c>
      <c r="C354" s="4" t="n">
        <v>67</v>
      </c>
      <c r="D354" s="4" t="inlineStr">
        <is>
          <t>sdoh</t>
        </is>
      </c>
      <c r="E354" s="4" t="inlineStr">
        <is>
          <t>degraded</t>
        </is>
      </c>
      <c r="F354" s="4" t="inlineStr">
        <is>
          <t>unknown</t>
        </is>
      </c>
      <c r="G354" s="4" t="inlineStr">
        <is>
          <t>unknown</t>
        </is>
      </c>
      <c r="H354" s="4" t="inlineStr">
        <is>
          <t>Unknown</t>
        </is>
      </c>
      <c r="I354" s="4" t="n">
        <v>3</v>
      </c>
      <c r="J354" s="4" t="inlineStr"/>
      <c r="K354" s="4" t="inlineStr">
        <is>
          <t>Curated</t>
        </is>
      </c>
      <c r="L354" s="4" t="n">
        <v>2025</v>
      </c>
      <c r="M354" s="4" t="inlineStr">
        <is>
          <t>open</t>
        </is>
      </c>
      <c r="N354" s="4" t="inlineStr">
        <is>
          <t>2026-10-28</t>
        </is>
      </c>
      <c r="O354" s="14" t="inlineStr">
        <is>
          <t>pass</t>
        </is>
      </c>
      <c r="P354" s="14" t="inlineStr">
        <is>
          <t>pass</t>
        </is>
      </c>
      <c r="Q354" s="14" t="inlineStr">
        <is>
          <t>pass</t>
        </is>
      </c>
      <c r="R354" s="14" t="inlineStr">
        <is>
          <t>pass</t>
        </is>
      </c>
      <c r="S354" s="14" t="inlineStr">
        <is>
          <t>pass</t>
        </is>
      </c>
      <c r="T354" s="15" t="inlineStr">
        <is>
          <t>n.a.</t>
        </is>
      </c>
      <c r="U354" s="15" t="inlineStr">
        <is>
          <t>n.a.</t>
        </is>
      </c>
      <c r="V354" s="18" t="inlineStr">
        <is>
          <t>fail</t>
        </is>
      </c>
      <c r="W354" s="16" t="inlineStr">
        <is>
          <t>warn</t>
        </is>
      </c>
      <c r="X354" s="14" t="inlineStr">
        <is>
          <t>pass</t>
        </is>
      </c>
      <c r="Y354" s="18" t="inlineStr">
        <is>
          <t>fail</t>
        </is>
      </c>
      <c r="Z354" s="15" t="inlineStr">
        <is>
          <t>not_checked</t>
        </is>
      </c>
      <c r="AA354" s="15" t="inlineStr">
        <is>
          <t>not_checked</t>
        </is>
      </c>
      <c r="AB354" s="15" t="inlineStr">
        <is>
          <t>not_checked</t>
        </is>
      </c>
      <c r="AC354" s="15" t="inlineStr">
        <is>
          <t>not_checked</t>
        </is>
      </c>
      <c r="AD354" s="15" t="inlineStr">
        <is>
          <t>not_checked</t>
        </is>
      </c>
      <c r="AE354" s="16" t="inlineStr">
        <is>
          <t>warn</t>
        </is>
      </c>
      <c r="AF354" s="15" t="inlineStr">
        <is>
          <t>not_checked</t>
        </is>
      </c>
      <c r="AG354" s="15" t="inlineStr">
        <is>
          <t>not_checked</t>
        </is>
      </c>
      <c r="AH354" s="15" t="inlineStr">
        <is>
          <t>not_checked</t>
        </is>
      </c>
      <c r="AI354" s="15" t="inlineStr">
        <is>
          <t>n.a.</t>
        </is>
      </c>
      <c r="AJ354" s="15" t="inlineStr">
        <is>
          <t>n.a.</t>
        </is>
      </c>
      <c r="AK354" s="4" t="inlineStr">
        <is>
          <t>machine_metadata;license;persistent_id(warn);coverage(warn)</t>
        </is>
      </c>
      <c r="AL354" s="17" t="inlineStr">
        <is>
          <t>https://eelp.law.harvard.edu/tracker/epa-added-environmental-health-indicators-to-ejscreen/</t>
        </is>
      </c>
      <c r="AM354" s="4" t="inlineStr">
        <is>
          <t>us_harvard_held_ej_data_archive</t>
        </is>
      </c>
    </row>
    <row r="355">
      <c r="A355" s="4" t="inlineStr">
        <is>
          <t>Health Inequality Data Repository (Health Equity Monitor)</t>
        </is>
      </c>
      <c r="B355" s="20" t="inlineStr">
        <is>
          <t>Bronze</t>
        </is>
      </c>
      <c r="C355" s="4" t="n">
        <v>71</v>
      </c>
      <c r="D355" s="4" t="inlineStr">
        <is>
          <t>sdoh</t>
        </is>
      </c>
      <c r="E355" s="4" t="inlineStr">
        <is>
          <t>healthy</t>
        </is>
      </c>
      <c r="F355" s="4" t="inlineStr">
        <is>
          <t>unknown</t>
        </is>
      </c>
      <c r="G355" s="4" t="inlineStr">
        <is>
          <t>admin2</t>
        </is>
      </c>
      <c r="H355" s="4" t="inlineStr">
        <is>
          <t>Not linkable as listed</t>
        </is>
      </c>
      <c r="I355" s="4" t="n">
        <v>3</v>
      </c>
      <c r="J355" s="4" t="inlineStr"/>
      <c r="K355" s="4" t="inlineStr">
        <is>
          <t>Curated</t>
        </is>
      </c>
      <c r="L355" s="4" t="n">
        <v>2026</v>
      </c>
      <c r="M355" s="4" t="inlineStr">
        <is>
          <t>open</t>
        </is>
      </c>
      <c r="N355" s="4" t="inlineStr">
        <is>
          <t>2026-10-28</t>
        </is>
      </c>
      <c r="O355" s="14" t="inlineStr">
        <is>
          <t>pass</t>
        </is>
      </c>
      <c r="P355" s="14" t="inlineStr">
        <is>
          <t>pass</t>
        </is>
      </c>
      <c r="Q355" s="14" t="inlineStr">
        <is>
          <t>pass</t>
        </is>
      </c>
      <c r="R355" s="14" t="inlineStr">
        <is>
          <t>pass</t>
        </is>
      </c>
      <c r="S355" s="14" t="inlineStr">
        <is>
          <t>pass</t>
        </is>
      </c>
      <c r="T355" s="15" t="inlineStr">
        <is>
          <t>n.a.</t>
        </is>
      </c>
      <c r="U355" s="15" t="inlineStr">
        <is>
          <t>n.a.</t>
        </is>
      </c>
      <c r="V355" s="16" t="inlineStr">
        <is>
          <t>warn</t>
        </is>
      </c>
      <c r="W355" s="16" t="inlineStr">
        <is>
          <t>warn</t>
        </is>
      </c>
      <c r="X355" s="14" t="inlineStr">
        <is>
          <t>pass</t>
        </is>
      </c>
      <c r="Y355" s="18" t="inlineStr">
        <is>
          <t>fail</t>
        </is>
      </c>
      <c r="Z355" s="16" t="inlineStr">
        <is>
          <t>warn</t>
        </is>
      </c>
      <c r="AA355" s="14" t="inlineStr">
        <is>
          <t>pass</t>
        </is>
      </c>
      <c r="AB355" s="14" t="inlineStr">
        <is>
          <t>pass</t>
        </is>
      </c>
      <c r="AC355" s="14" t="inlineStr">
        <is>
          <t>pass</t>
        </is>
      </c>
      <c r="AD355" s="16" t="inlineStr">
        <is>
          <t>warn</t>
        </is>
      </c>
      <c r="AE355" s="14" t="inlineStr">
        <is>
          <t>pass</t>
        </is>
      </c>
      <c r="AF355" s="14" t="inlineStr">
        <is>
          <t>pass</t>
        </is>
      </c>
      <c r="AG355" s="15" t="inlineStr">
        <is>
          <t>not_checked</t>
        </is>
      </c>
      <c r="AH355" s="16" t="inlineStr">
        <is>
          <t>warn</t>
        </is>
      </c>
      <c r="AI355" s="15" t="inlineStr">
        <is>
          <t>n.a.</t>
        </is>
      </c>
      <c r="AJ355" s="15" t="inlineStr">
        <is>
          <t>n.a.</t>
        </is>
      </c>
      <c r="AK355" s="4" t="inlineStr">
        <is>
          <t>license;machine_metadata(warn);persistent_id(warn);temporal(warn);unit(warn);format_gaia(warn)</t>
        </is>
      </c>
      <c r="AL355" s="17" t="inlineStr">
        <is>
          <t>https://www.who.int/data/inequality-monitor</t>
        </is>
      </c>
      <c r="AM355" s="4" t="inlineStr">
        <is>
          <t>global_who_health_inequality_data_repository</t>
        </is>
      </c>
    </row>
    <row r="356">
      <c r="A356" s="4" t="inlineStr">
        <is>
          <t>Heat Vulnerability Index Rankings</t>
        </is>
      </c>
      <c r="B356" s="20" t="inlineStr">
        <is>
          <t>Bronze</t>
        </is>
      </c>
      <c r="C356" s="4" t="n">
        <v>82</v>
      </c>
      <c r="D356" s="4" t="inlineStr">
        <is>
          <t>sdoh</t>
        </is>
      </c>
      <c r="E356" s="4" t="inlineStr">
        <is>
          <t>healthy</t>
        </is>
      </c>
      <c r="F356" s="4" t="inlineStr">
        <is>
          <t>unknown</t>
        </is>
      </c>
      <c r="G356" s="4" t="inlineStr">
        <is>
          <t>zcta_zip</t>
        </is>
      </c>
      <c r="H356" s="4" t="inlineStr">
        <is>
          <t>Joins today</t>
        </is>
      </c>
      <c r="I356" s="4" t="n">
        <v>3</v>
      </c>
      <c r="J356" s="4" t="inlineStr"/>
      <c r="K356" s="4" t="inlineStr">
        <is>
          <t>Curated</t>
        </is>
      </c>
      <c r="L356" s="4" t="n">
        <v>2020</v>
      </c>
      <c r="M356" s="4" t="inlineStr">
        <is>
          <t>unknown</t>
        </is>
      </c>
      <c r="N356" s="4" t="inlineStr">
        <is>
          <t>2026-10-22</t>
        </is>
      </c>
      <c r="O356" s="14" t="inlineStr">
        <is>
          <t>pass</t>
        </is>
      </c>
      <c r="P356" s="14" t="inlineStr">
        <is>
          <t>pass</t>
        </is>
      </c>
      <c r="Q356" s="14" t="inlineStr">
        <is>
          <t>pass</t>
        </is>
      </c>
      <c r="R356" s="14" t="inlineStr">
        <is>
          <t>pass</t>
        </is>
      </c>
      <c r="S356" s="14" t="inlineStr">
        <is>
          <t>pass</t>
        </is>
      </c>
      <c r="T356" s="14" t="inlineStr">
        <is>
          <t>pass</t>
        </is>
      </c>
      <c r="U356" s="16" t="inlineStr">
        <is>
          <t>warn</t>
        </is>
      </c>
      <c r="V356" s="14" t="inlineStr">
        <is>
          <t>pass</t>
        </is>
      </c>
      <c r="W356" s="16" t="inlineStr">
        <is>
          <t>warn</t>
        </is>
      </c>
      <c r="X356" s="14" t="inlineStr">
        <is>
          <t>pass</t>
        </is>
      </c>
      <c r="Y356" s="18" t="inlineStr">
        <is>
          <t>fail</t>
        </is>
      </c>
      <c r="Z356" s="14" t="inlineStr">
        <is>
          <t>pass</t>
        </is>
      </c>
      <c r="AA356" s="14" t="inlineStr">
        <is>
          <t>pass</t>
        </is>
      </c>
      <c r="AB356" s="15" t="inlineStr">
        <is>
          <t>not_checked</t>
        </is>
      </c>
      <c r="AC356" s="16" t="inlineStr">
        <is>
          <t>warn</t>
        </is>
      </c>
      <c r="AD356" s="15" t="inlineStr">
        <is>
          <t>not_checked</t>
        </is>
      </c>
      <c r="AE356" s="16" t="inlineStr">
        <is>
          <t>warn</t>
        </is>
      </c>
      <c r="AF356" s="14" t="inlineStr">
        <is>
          <t>pass</t>
        </is>
      </c>
      <c r="AG356" s="15" t="inlineStr">
        <is>
          <t>not_checked</t>
        </is>
      </c>
      <c r="AH356" s="16" t="inlineStr">
        <is>
          <t>warn</t>
        </is>
      </c>
      <c r="AI356" s="15" t="inlineStr">
        <is>
          <t>n.a.</t>
        </is>
      </c>
      <c r="AJ356" s="15" t="inlineStr">
        <is>
          <t>n.a.</t>
        </is>
      </c>
      <c r="AK356" s="4" t="inlineStr">
        <is>
          <t>license;format_match(warn);persistent_id(warn);version(warn);coverage(warn);format_gaia(warn)</t>
        </is>
      </c>
      <c r="AL356" s="17" t="inlineStr">
        <is>
          <t>https://catalog.data.gov/dataset/heat-vulnerability-index-rankings</t>
        </is>
      </c>
      <c r="AM356" s="4" t="inlineStr">
        <is>
          <t>us_nyc_heat_vulnerability_index</t>
        </is>
      </c>
    </row>
    <row r="357">
      <c r="A357" s="4" t="inlineStr">
        <is>
          <t>Mapping Inequality: Redlining in New Deal America (HOLC neighborhood grades)</t>
        </is>
      </c>
      <c r="B357" s="20" t="inlineStr">
        <is>
          <t>Bronze</t>
        </is>
      </c>
      <c r="C357" s="4" t="n">
        <v>62</v>
      </c>
      <c r="D357" s="4" t="inlineStr">
        <is>
          <t>sdoh</t>
        </is>
      </c>
      <c r="E357" s="4" t="inlineStr">
        <is>
          <t>degraded</t>
        </is>
      </c>
      <c r="F357" s="4" t="inlineStr">
        <is>
          <t>unknown</t>
        </is>
      </c>
      <c r="G357" s="4" t="inlineStr">
        <is>
          <t>polygon</t>
        </is>
      </c>
      <c r="H357" s="4" t="inlineStr">
        <is>
          <t>Joins today</t>
        </is>
      </c>
      <c r="I357" s="4" t="n">
        <v>3</v>
      </c>
      <c r="J357" s="4" t="inlineStr">
        <is>
          <t>mdc_holc_redlining</t>
        </is>
      </c>
      <c r="K357" s="4" t="inlineStr">
        <is>
          <t>Curated</t>
        </is>
      </c>
      <c r="L357" s="4" t="inlineStr"/>
      <c r="M357" s="4" t="inlineStr">
        <is>
          <t>open</t>
        </is>
      </c>
      <c r="N357" s="4" t="inlineStr">
        <is>
          <t>2026-10-22</t>
        </is>
      </c>
      <c r="O357" s="14" t="inlineStr">
        <is>
          <t>pass</t>
        </is>
      </c>
      <c r="P357" s="14" t="inlineStr">
        <is>
          <t>pass</t>
        </is>
      </c>
      <c r="Q357" s="14" t="inlineStr">
        <is>
          <t>pass</t>
        </is>
      </c>
      <c r="R357" s="16" t="inlineStr">
        <is>
          <t>warn</t>
        </is>
      </c>
      <c r="S357" s="14" t="inlineStr">
        <is>
          <t>pass</t>
        </is>
      </c>
      <c r="T357" s="14" t="inlineStr">
        <is>
          <t>pass</t>
        </is>
      </c>
      <c r="U357" s="16" t="inlineStr">
        <is>
          <t>warn</t>
        </is>
      </c>
      <c r="V357" s="18" t="inlineStr">
        <is>
          <t>fail</t>
        </is>
      </c>
      <c r="W357" s="16" t="inlineStr">
        <is>
          <t>warn</t>
        </is>
      </c>
      <c r="X357" s="14" t="inlineStr">
        <is>
          <t>pass</t>
        </is>
      </c>
      <c r="Y357" s="18" t="inlineStr">
        <is>
          <t>fail</t>
        </is>
      </c>
      <c r="Z357" s="15" t="inlineStr">
        <is>
          <t>not_checked</t>
        </is>
      </c>
      <c r="AA357" s="15" t="inlineStr">
        <is>
          <t>not_checked</t>
        </is>
      </c>
      <c r="AB357" s="15" t="inlineStr">
        <is>
          <t>not_checked</t>
        </is>
      </c>
      <c r="AC357" s="15" t="inlineStr">
        <is>
          <t>not_checked</t>
        </is>
      </c>
      <c r="AD357" s="15" t="inlineStr">
        <is>
          <t>not_checked</t>
        </is>
      </c>
      <c r="AE357" s="16" t="inlineStr">
        <is>
          <t>warn</t>
        </is>
      </c>
      <c r="AF357" s="14" t="inlineStr">
        <is>
          <t>pass</t>
        </is>
      </c>
      <c r="AG357" s="16" t="inlineStr">
        <is>
          <t>warn</t>
        </is>
      </c>
      <c r="AH357" s="16" t="inlineStr">
        <is>
          <t>warn</t>
        </is>
      </c>
      <c r="AI357" s="14" t="inlineStr">
        <is>
          <t>pass</t>
        </is>
      </c>
      <c r="AJ357" s="15" t="inlineStr">
        <is>
          <t>not_checked</t>
        </is>
      </c>
      <c r="AK357" s="4" t="inlineStr">
        <is>
          <t>machine_metadata;license;soft404(warn);format_match(warn);persistent_id(warn);coverage(warn);join_key(warn);format_gaia(warn)</t>
        </is>
      </c>
      <c r="AL357" s="17" t="inlineStr">
        <is>
          <t>https://services.arcgis.com/jIL9msH9OI208GCb/arcgis/rest/services/HOLC_Neighborhood_Redlining/FeatureServer</t>
        </is>
      </c>
      <c r="AM357" s="4" t="inlineStr">
        <is>
          <t>us_richmond_dsl_mapping_inequality_holc</t>
        </is>
      </c>
    </row>
    <row r="358">
      <c r="A358" s="4" t="inlineStr">
        <is>
          <t>Minority Health Index (MHI; formerly Minority Health Social Vulnerability Index)</t>
        </is>
      </c>
      <c r="B358" s="13" t="inlineStr">
        <is>
          <t>Gold</t>
        </is>
      </c>
      <c r="C358" s="4" t="n">
        <v>93</v>
      </c>
      <c r="D358" s="4" t="inlineStr">
        <is>
          <t>sdoh</t>
        </is>
      </c>
      <c r="E358" s="4" t="inlineStr">
        <is>
          <t>healthy</t>
        </is>
      </c>
      <c r="F358" s="4" t="inlineStr">
        <is>
          <t>public_domain_us_federal</t>
        </is>
      </c>
      <c r="G358" s="4" t="inlineStr">
        <is>
          <t>county</t>
        </is>
      </c>
      <c r="H358" s="4" t="inlineStr">
        <is>
          <t>Joins today</t>
        </is>
      </c>
      <c r="I358" s="4" t="n">
        <v>3</v>
      </c>
      <c r="J358" s="4" t="inlineStr"/>
      <c r="K358" s="4" t="inlineStr">
        <is>
          <t>Curated</t>
        </is>
      </c>
      <c r="L358" s="4" t="n">
        <v>2022</v>
      </c>
      <c r="M358" s="4" t="inlineStr">
        <is>
          <t>open</t>
        </is>
      </c>
      <c r="N358" s="4" t="inlineStr">
        <is>
          <t>2026-10-29</t>
        </is>
      </c>
      <c r="O358" s="14" t="inlineStr">
        <is>
          <t>pass</t>
        </is>
      </c>
      <c r="P358" s="14" t="inlineStr">
        <is>
          <t>pass</t>
        </is>
      </c>
      <c r="Q358" s="14" t="inlineStr">
        <is>
          <t>pass</t>
        </is>
      </c>
      <c r="R358" s="14" t="inlineStr">
        <is>
          <t>pass</t>
        </is>
      </c>
      <c r="S358" s="14" t="inlineStr">
        <is>
          <t>pass</t>
        </is>
      </c>
      <c r="T358" s="14" t="inlineStr">
        <is>
          <t>pass</t>
        </is>
      </c>
      <c r="U358" s="14" t="inlineStr">
        <is>
          <t>pass</t>
        </is>
      </c>
      <c r="V358" s="16" t="inlineStr">
        <is>
          <t>warn</t>
        </is>
      </c>
      <c r="W358" s="16" t="inlineStr">
        <is>
          <t>warn</t>
        </is>
      </c>
      <c r="X358" s="14" t="inlineStr">
        <is>
          <t>pass</t>
        </is>
      </c>
      <c r="Y358" s="14" t="inlineStr">
        <is>
          <t>pass</t>
        </is>
      </c>
      <c r="Z358" s="14" t="inlineStr">
        <is>
          <t>pass</t>
        </is>
      </c>
      <c r="AA358" s="14" t="inlineStr">
        <is>
          <t>pass</t>
        </is>
      </c>
      <c r="AB358" s="16" t="inlineStr">
        <is>
          <t>warn</t>
        </is>
      </c>
      <c r="AC358" s="14" t="inlineStr">
        <is>
          <t>pass</t>
        </is>
      </c>
      <c r="AD358" s="14" t="inlineStr">
        <is>
          <t>pass</t>
        </is>
      </c>
      <c r="AE358" s="14" t="inlineStr">
        <is>
          <t>pass</t>
        </is>
      </c>
      <c r="AF358" s="14" t="inlineStr">
        <is>
          <t>pass</t>
        </is>
      </c>
      <c r="AG358" s="16" t="inlineStr">
        <is>
          <t>warn</t>
        </is>
      </c>
      <c r="AH358" s="16" t="inlineStr">
        <is>
          <t>warn</t>
        </is>
      </c>
      <c r="AI358" s="15" t="inlineStr">
        <is>
          <t>n.a.</t>
        </is>
      </c>
      <c r="AJ358" s="15" t="inlineStr">
        <is>
          <t>n.a.</t>
        </is>
      </c>
      <c r="AK358" s="4" t="inlineStr">
        <is>
          <t>machine_metadata(warn);persistent_id(warn);cadence(warn);join_key(warn);format_gaia(warn)</t>
        </is>
      </c>
      <c r="AL358" s="17" t="inlineStr">
        <is>
          <t>https://minorityhealth.hhs.gov/minority-health-svi</t>
        </is>
      </c>
      <c r="AM358" s="4" t="inlineStr">
        <is>
          <t>us_hhs_omh_minority_health_index</t>
        </is>
      </c>
    </row>
    <row r="359">
      <c r="A359" s="4" t="inlineStr">
        <is>
          <t>New Zealand Index of Multiple Deprivation (IMD18)</t>
        </is>
      </c>
      <c r="B359" s="20" t="inlineStr">
        <is>
          <t>Bronze</t>
        </is>
      </c>
      <c r="C359" s="4" t="n">
        <v>75</v>
      </c>
      <c r="D359" s="4" t="inlineStr">
        <is>
          <t>sdoh</t>
        </is>
      </c>
      <c r="E359" s="4" t="inlineStr">
        <is>
          <t>degraded</t>
        </is>
      </c>
      <c r="F359" s="4" t="inlineStr">
        <is>
          <t>unknown</t>
        </is>
      </c>
      <c r="G359" s="4" t="inlineStr">
        <is>
          <t>polygon</t>
        </is>
      </c>
      <c r="H359" s="4" t="inlineStr">
        <is>
          <t>Unknown</t>
        </is>
      </c>
      <c r="I359" s="4" t="n">
        <v>3</v>
      </c>
      <c r="J359" s="4" t="inlineStr"/>
      <c r="K359" s="4" t="inlineStr">
        <is>
          <t>Curated</t>
        </is>
      </c>
      <c r="L359" s="4" t="n">
        <v>2023</v>
      </c>
      <c r="M359" s="4" t="inlineStr">
        <is>
          <t>open</t>
        </is>
      </c>
      <c r="N359" s="4" t="inlineStr">
        <is>
          <t>2026-10-28</t>
        </is>
      </c>
      <c r="O359" s="14" t="inlineStr">
        <is>
          <t>pass</t>
        </is>
      </c>
      <c r="P359" s="14" t="inlineStr">
        <is>
          <t>pass</t>
        </is>
      </c>
      <c r="Q359" s="14" t="inlineStr">
        <is>
          <t>pass</t>
        </is>
      </c>
      <c r="R359" s="14" t="inlineStr">
        <is>
          <t>pass</t>
        </is>
      </c>
      <c r="S359" s="14" t="inlineStr">
        <is>
          <t>pass</t>
        </is>
      </c>
      <c r="T359" s="14" t="inlineStr">
        <is>
          <t>pass</t>
        </is>
      </c>
      <c r="U359" s="16" t="inlineStr">
        <is>
          <t>warn</t>
        </is>
      </c>
      <c r="V359" s="18" t="inlineStr">
        <is>
          <t>fail</t>
        </is>
      </c>
      <c r="W359" s="16" t="inlineStr">
        <is>
          <t>warn</t>
        </is>
      </c>
      <c r="X359" s="14" t="inlineStr">
        <is>
          <t>pass</t>
        </is>
      </c>
      <c r="Y359" s="18" t="inlineStr">
        <is>
          <t>fail</t>
        </is>
      </c>
      <c r="Z359" s="14" t="inlineStr">
        <is>
          <t>pass</t>
        </is>
      </c>
      <c r="AA359" s="14" t="inlineStr">
        <is>
          <t>pass</t>
        </is>
      </c>
      <c r="AB359" s="16" t="inlineStr">
        <is>
          <t>warn</t>
        </is>
      </c>
      <c r="AC359" s="14" t="inlineStr">
        <is>
          <t>pass</t>
        </is>
      </c>
      <c r="AD359" s="16" t="inlineStr">
        <is>
          <t>warn</t>
        </is>
      </c>
      <c r="AE359" s="14" t="inlineStr">
        <is>
          <t>pass</t>
        </is>
      </c>
      <c r="AF359" s="14" t="inlineStr">
        <is>
          <t>pass</t>
        </is>
      </c>
      <c r="AG359" s="14" t="inlineStr">
        <is>
          <t>pass</t>
        </is>
      </c>
      <c r="AH359" s="14" t="inlineStr">
        <is>
          <t>pass</t>
        </is>
      </c>
      <c r="AI359" s="15" t="inlineStr">
        <is>
          <t>n.a.</t>
        </is>
      </c>
      <c r="AJ359" s="15" t="inlineStr">
        <is>
          <t>n.a.</t>
        </is>
      </c>
      <c r="AK359" s="4" t="inlineStr">
        <is>
          <t>machine_metadata;license;format_match(warn);persistent_id(warn);cadence(warn);unit(warn)</t>
        </is>
      </c>
      <c r="AL359" s="17" t="inlineStr">
        <is>
          <t>https://hgd.auckland.ac.nz/?p=270</t>
        </is>
      </c>
      <c r="AM359" s="4" t="inlineStr">
        <is>
          <t>nz_uoa_imd</t>
        </is>
      </c>
    </row>
    <row r="360">
      <c r="A360" s="4" t="inlineStr">
        <is>
          <t>Northern Ireland Multiple Deprivation Measure 2017 (NIMDM2017)</t>
        </is>
      </c>
      <c r="B360" s="20" t="inlineStr">
        <is>
          <t>Bronze</t>
        </is>
      </c>
      <c r="C360" s="4" t="n">
        <v>74</v>
      </c>
      <c r="D360" s="4" t="inlineStr">
        <is>
          <t>sdoh</t>
        </is>
      </c>
      <c r="E360" s="4" t="inlineStr">
        <is>
          <t>degraded</t>
        </is>
      </c>
      <c r="F360" s="4" t="inlineStr">
        <is>
          <t>unknown</t>
        </is>
      </c>
      <c r="G360" s="4" t="inlineStr">
        <is>
          <t>polygon (Small Area, SA; results also for 890 Super Output Areas, SOA)</t>
        </is>
      </c>
      <c r="H360" s="4" t="inlineStr">
        <is>
          <t>Joins today</t>
        </is>
      </c>
      <c r="I360" s="4" t="n">
        <v>3</v>
      </c>
      <c r="J360" s="4" t="inlineStr"/>
      <c r="K360" s="4" t="inlineStr">
        <is>
          <t>Curated</t>
        </is>
      </c>
      <c r="L360" s="4" t="n">
        <v>2017</v>
      </c>
      <c r="M360" s="4" t="inlineStr">
        <is>
          <t>open</t>
        </is>
      </c>
      <c r="N360" s="4" t="inlineStr">
        <is>
          <t>2026-10-22</t>
        </is>
      </c>
      <c r="O360" s="14" t="inlineStr">
        <is>
          <t>pass</t>
        </is>
      </c>
      <c r="P360" s="14" t="inlineStr">
        <is>
          <t>pass</t>
        </is>
      </c>
      <c r="Q360" s="14" t="inlineStr">
        <is>
          <t>pass</t>
        </is>
      </c>
      <c r="R360" s="14" t="inlineStr">
        <is>
          <t>pass</t>
        </is>
      </c>
      <c r="S360" s="14" t="inlineStr">
        <is>
          <t>pass</t>
        </is>
      </c>
      <c r="T360" s="15" t="inlineStr">
        <is>
          <t>n.a.</t>
        </is>
      </c>
      <c r="U360" s="15" t="inlineStr">
        <is>
          <t>n.a.</t>
        </is>
      </c>
      <c r="V360" s="18" t="inlineStr">
        <is>
          <t>fail</t>
        </is>
      </c>
      <c r="W360" s="16" t="inlineStr">
        <is>
          <t>warn</t>
        </is>
      </c>
      <c r="X360" s="14" t="inlineStr">
        <is>
          <t>pass</t>
        </is>
      </c>
      <c r="Y360" s="18" t="inlineStr">
        <is>
          <t>fail</t>
        </is>
      </c>
      <c r="Z360" s="14" t="inlineStr">
        <is>
          <t>pass</t>
        </is>
      </c>
      <c r="AA360" s="16" t="inlineStr">
        <is>
          <t>warn</t>
        </is>
      </c>
      <c r="AB360" s="16" t="inlineStr">
        <is>
          <t>warn</t>
        </is>
      </c>
      <c r="AC360" s="14" t="inlineStr">
        <is>
          <t>pass</t>
        </is>
      </c>
      <c r="AD360" s="14" t="inlineStr">
        <is>
          <t>pass</t>
        </is>
      </c>
      <c r="AE360" s="14" t="inlineStr">
        <is>
          <t>pass</t>
        </is>
      </c>
      <c r="AF360" s="14" t="inlineStr">
        <is>
          <t>pass</t>
        </is>
      </c>
      <c r="AG360" s="16" t="inlineStr">
        <is>
          <t>warn</t>
        </is>
      </c>
      <c r="AH360" s="16" t="inlineStr">
        <is>
          <t>warn</t>
        </is>
      </c>
      <c r="AI360" s="15" t="inlineStr">
        <is>
          <t>n.a.</t>
        </is>
      </c>
      <c r="AJ360" s="15" t="inlineStr">
        <is>
          <t>n.a.</t>
        </is>
      </c>
      <c r="AK360" s="4" t="inlineStr">
        <is>
          <t>machine_metadata;license;persistent_id(warn);recency(warn);cadence(warn);join_key(warn);format_gaia(warn)</t>
        </is>
      </c>
      <c r="AL360" s="17" t="inlineStr">
        <is>
          <t>https://www.nisra.gov.uk/statistics/deprivation/northern-ireland-multiple-deprivation-measure-2017-nimdm2017</t>
        </is>
      </c>
      <c r="AM360" s="4" t="inlineStr">
        <is>
          <t>gb_nisra_nimdm</t>
        </is>
      </c>
    </row>
    <row r="361">
      <c r="A361" s="4" t="inlineStr">
        <is>
          <t>OECD Regional Well-Being</t>
        </is>
      </c>
      <c r="B361" s="20" t="inlineStr">
        <is>
          <t>Bronze</t>
        </is>
      </c>
      <c r="C361" s="4" t="n">
        <v>76</v>
      </c>
      <c r="D361" s="4" t="inlineStr">
        <is>
          <t>sdoh</t>
        </is>
      </c>
      <c r="E361" s="4" t="inlineStr">
        <is>
          <t>healthy</t>
        </is>
      </c>
      <c r="F361" s="4" t="inlineStr">
        <is>
          <t>unknown</t>
        </is>
      </c>
      <c r="G361" s="4" t="inlineStr">
        <is>
          <t>admin1 (467 OECD regions; territorial level not named)</t>
        </is>
      </c>
      <c r="H361" s="4" t="inlineStr">
        <is>
          <t>Joins today</t>
        </is>
      </c>
      <c r="I361" s="4" t="n">
        <v>3</v>
      </c>
      <c r="J361" s="4" t="inlineStr"/>
      <c r="K361" s="4" t="inlineStr">
        <is>
          <t>Curated</t>
        </is>
      </c>
      <c r="L361" s="4" t="n">
        <v>2024</v>
      </c>
      <c r="M361" s="4" t="inlineStr">
        <is>
          <t>open</t>
        </is>
      </c>
      <c r="N361" s="4" t="inlineStr">
        <is>
          <t>2026-10-22</t>
        </is>
      </c>
      <c r="O361" s="14" t="inlineStr">
        <is>
          <t>pass</t>
        </is>
      </c>
      <c r="P361" s="14" t="inlineStr">
        <is>
          <t>pass</t>
        </is>
      </c>
      <c r="Q361" s="14" t="inlineStr">
        <is>
          <t>pass</t>
        </is>
      </c>
      <c r="R361" s="14" t="inlineStr">
        <is>
          <t>pass</t>
        </is>
      </c>
      <c r="S361" s="14" t="inlineStr">
        <is>
          <t>pass</t>
        </is>
      </c>
      <c r="T361" s="15" t="inlineStr">
        <is>
          <t>n.a.</t>
        </is>
      </c>
      <c r="U361" s="15" t="inlineStr">
        <is>
          <t>n.a.</t>
        </is>
      </c>
      <c r="V361" s="16" t="inlineStr">
        <is>
          <t>warn</t>
        </is>
      </c>
      <c r="W361" s="16" t="inlineStr">
        <is>
          <t>warn</t>
        </is>
      </c>
      <c r="X361" s="14" t="inlineStr">
        <is>
          <t>pass</t>
        </is>
      </c>
      <c r="Y361" s="18" t="inlineStr">
        <is>
          <t>fail</t>
        </is>
      </c>
      <c r="Z361" s="16" t="inlineStr">
        <is>
          <t>warn</t>
        </is>
      </c>
      <c r="AA361" s="14" t="inlineStr">
        <is>
          <t>pass</t>
        </is>
      </c>
      <c r="AB361" s="16" t="inlineStr">
        <is>
          <t>warn</t>
        </is>
      </c>
      <c r="AC361" s="16" t="inlineStr">
        <is>
          <t>warn</t>
        </is>
      </c>
      <c r="AD361" s="14" t="inlineStr">
        <is>
          <t>pass</t>
        </is>
      </c>
      <c r="AE361" s="16" t="inlineStr">
        <is>
          <t>warn</t>
        </is>
      </c>
      <c r="AF361" s="14" t="inlineStr">
        <is>
          <t>pass</t>
        </is>
      </c>
      <c r="AG361" s="16" t="inlineStr">
        <is>
          <t>warn</t>
        </is>
      </c>
      <c r="AH361" s="16" t="inlineStr">
        <is>
          <t>warn</t>
        </is>
      </c>
      <c r="AI361" s="15" t="inlineStr">
        <is>
          <t>n.a.</t>
        </is>
      </c>
      <c r="AJ361" s="15" t="inlineStr">
        <is>
          <t>n.a.</t>
        </is>
      </c>
      <c r="AK361" s="4" t="inlineStr">
        <is>
          <t>license;machine_metadata(warn);persistent_id(warn);temporal(warn);cadence(warn);version(warn);coverage(warn);join_key(warn);format_gaia(warn)</t>
        </is>
      </c>
      <c r="AL361" s="17" t="inlineStr">
        <is>
          <t>https://www.oecdregionalwellbeing.org/</t>
        </is>
      </c>
      <c r="AM361" s="4" t="inlineStr">
        <is>
          <t>global_oecd_regional_wellbeing</t>
        </is>
      </c>
    </row>
    <row r="362">
      <c r="A362" s="4" t="inlineStr">
        <is>
          <t>Ontario Marginalization Index (ON-Marg)</t>
        </is>
      </c>
      <c r="B362" s="20" t="inlineStr">
        <is>
          <t>Bronze</t>
        </is>
      </c>
      <c r="C362" s="4" t="n">
        <v>79</v>
      </c>
      <c r="D362" s="4" t="inlineStr">
        <is>
          <t>sdoh</t>
        </is>
      </c>
      <c r="E362" s="4" t="inlineStr">
        <is>
          <t>healthy</t>
        </is>
      </c>
      <c r="F362" s="4" t="inlineStr">
        <is>
          <t>unknown</t>
        </is>
      </c>
      <c r="G362" s="4" t="inlineStr">
        <is>
          <t>postcode_small_area</t>
        </is>
      </c>
      <c r="H362" s="4" t="inlineStr">
        <is>
          <t>Joins today</t>
        </is>
      </c>
      <c r="I362" s="4" t="n">
        <v>3</v>
      </c>
      <c r="J362" s="4" t="inlineStr"/>
      <c r="K362" s="4" t="inlineStr">
        <is>
          <t>Curated</t>
        </is>
      </c>
      <c r="L362" s="4" t="n">
        <v>2021</v>
      </c>
      <c r="M362" s="4" t="inlineStr">
        <is>
          <t>open</t>
        </is>
      </c>
      <c r="N362" s="4" t="inlineStr">
        <is>
          <t>2026-10-22</t>
        </is>
      </c>
      <c r="O362" s="14" t="inlineStr">
        <is>
          <t>pass</t>
        </is>
      </c>
      <c r="P362" s="14" t="inlineStr">
        <is>
          <t>pass</t>
        </is>
      </c>
      <c r="Q362" s="14" t="inlineStr">
        <is>
          <t>pass</t>
        </is>
      </c>
      <c r="R362" s="14" t="inlineStr">
        <is>
          <t>pass</t>
        </is>
      </c>
      <c r="S362" s="14" t="inlineStr">
        <is>
          <t>pass</t>
        </is>
      </c>
      <c r="T362" s="15" t="inlineStr">
        <is>
          <t>n.a.</t>
        </is>
      </c>
      <c r="U362" s="15" t="inlineStr">
        <is>
          <t>n.a.</t>
        </is>
      </c>
      <c r="V362" s="16" t="inlineStr">
        <is>
          <t>warn</t>
        </is>
      </c>
      <c r="W362" s="16" t="inlineStr">
        <is>
          <t>warn</t>
        </is>
      </c>
      <c r="X362" s="14" t="inlineStr">
        <is>
          <t>pass</t>
        </is>
      </c>
      <c r="Y362" s="18" t="inlineStr">
        <is>
          <t>fail</t>
        </is>
      </c>
      <c r="Z362" s="14" t="inlineStr">
        <is>
          <t>pass</t>
        </is>
      </c>
      <c r="AA362" s="14" t="inlineStr">
        <is>
          <t>pass</t>
        </is>
      </c>
      <c r="AB362" s="16" t="inlineStr">
        <is>
          <t>warn</t>
        </is>
      </c>
      <c r="AC362" s="14" t="inlineStr">
        <is>
          <t>pass</t>
        </is>
      </c>
      <c r="AD362" s="15" t="inlineStr">
        <is>
          <t>not_checked</t>
        </is>
      </c>
      <c r="AE362" s="14" t="inlineStr">
        <is>
          <t>pass</t>
        </is>
      </c>
      <c r="AF362" s="14" t="inlineStr">
        <is>
          <t>pass</t>
        </is>
      </c>
      <c r="AG362" s="15" t="inlineStr">
        <is>
          <t>not_checked</t>
        </is>
      </c>
      <c r="AH362" s="16" t="inlineStr">
        <is>
          <t>warn</t>
        </is>
      </c>
      <c r="AI362" s="15" t="inlineStr">
        <is>
          <t>n.a.</t>
        </is>
      </c>
      <c r="AJ362" s="15" t="inlineStr">
        <is>
          <t>n.a.</t>
        </is>
      </c>
      <c r="AK362" s="4" t="inlineStr">
        <is>
          <t>license;machine_metadata(warn);persistent_id(warn);cadence(warn);format_gaia(warn)</t>
        </is>
      </c>
      <c r="AL362" s="17" t="inlineStr">
        <is>
          <t>https://www.publichealthontario.ca/en/data-and-analysis/health-equity/ontario-marginalization-index</t>
        </is>
      </c>
      <c r="AM362" s="4" t="inlineStr">
        <is>
          <t>ca_pho_onmarg</t>
        </is>
      </c>
    </row>
    <row r="363">
      <c r="A363" s="4" t="inlineStr">
        <is>
          <t>PolicyMap</t>
        </is>
      </c>
      <c r="B363" s="20" t="inlineStr">
        <is>
          <t>Bronze</t>
        </is>
      </c>
      <c r="C363" s="4" t="n">
        <v>68</v>
      </c>
      <c r="D363" s="4" t="inlineStr">
        <is>
          <t>sdoh</t>
        </is>
      </c>
      <c r="E363" s="4" t="inlineStr">
        <is>
          <t>healthy</t>
        </is>
      </c>
      <c r="F363" s="4" t="inlineStr">
        <is>
          <t>restricted</t>
        </is>
      </c>
      <c r="G363" s="4" t="inlineStr">
        <is>
          <t>block_group</t>
        </is>
      </c>
      <c r="H363" s="4" t="inlineStr">
        <is>
          <t>Joins today</t>
        </is>
      </c>
      <c r="I363" s="4" t="n">
        <v>3</v>
      </c>
      <c r="J363" s="4" t="inlineStr"/>
      <c r="K363" s="4" t="inlineStr">
        <is>
          <t>Curated</t>
        </is>
      </c>
      <c r="L363" s="4" t="inlineStr">
        <is>
          <t>current</t>
        </is>
      </c>
      <c r="M363" s="4" t="inlineStr">
        <is>
          <t>restricted</t>
        </is>
      </c>
      <c r="N363" s="4" t="inlineStr">
        <is>
          <t>2026-10-22</t>
        </is>
      </c>
      <c r="O363" s="14" t="inlineStr">
        <is>
          <t>pass</t>
        </is>
      </c>
      <c r="P363" s="14" t="inlineStr">
        <is>
          <t>pass</t>
        </is>
      </c>
      <c r="Q363" s="14" t="inlineStr">
        <is>
          <t>pass</t>
        </is>
      </c>
      <c r="R363" s="14" t="inlineStr">
        <is>
          <t>pass</t>
        </is>
      </c>
      <c r="S363" s="14" t="inlineStr">
        <is>
          <t>pass</t>
        </is>
      </c>
      <c r="T363" s="14" t="inlineStr">
        <is>
          <t>pass</t>
        </is>
      </c>
      <c r="U363" s="14" t="inlineStr">
        <is>
          <t>pass</t>
        </is>
      </c>
      <c r="V363" s="16" t="inlineStr">
        <is>
          <t>warn</t>
        </is>
      </c>
      <c r="W363" s="16" t="inlineStr">
        <is>
          <t>warn</t>
        </is>
      </c>
      <c r="X363" s="14" t="inlineStr">
        <is>
          <t>pass</t>
        </is>
      </c>
      <c r="Y363" s="18" t="inlineStr">
        <is>
          <t>fail</t>
        </is>
      </c>
      <c r="Z363" s="15" t="inlineStr">
        <is>
          <t>not_checked</t>
        </is>
      </c>
      <c r="AA363" s="15" t="inlineStr">
        <is>
          <t>not_checked</t>
        </is>
      </c>
      <c r="AB363" s="15" t="inlineStr">
        <is>
          <t>not_checked</t>
        </is>
      </c>
      <c r="AC363" s="15" t="inlineStr">
        <is>
          <t>not_checked</t>
        </is>
      </c>
      <c r="AD363" s="14" t="inlineStr">
        <is>
          <t>pass</t>
        </is>
      </c>
      <c r="AE363" s="14" t="inlineStr">
        <is>
          <t>pass</t>
        </is>
      </c>
      <c r="AF363" s="18" t="inlineStr">
        <is>
          <t>fail</t>
        </is>
      </c>
      <c r="AG363" s="15" t="inlineStr">
        <is>
          <t>not_checked</t>
        </is>
      </c>
      <c r="AH363" s="16" t="inlineStr">
        <is>
          <t>warn</t>
        </is>
      </c>
      <c r="AI363" s="15" t="inlineStr">
        <is>
          <t>n.a.</t>
        </is>
      </c>
      <c r="AJ363" s="15" t="inlineStr">
        <is>
          <t>n.a.</t>
        </is>
      </c>
      <c r="AK363" s="4" t="inlineStr">
        <is>
          <t>license;access;machine_metadata(warn);persistent_id(warn);format_gaia(warn)</t>
        </is>
      </c>
      <c r="AL363" s="17" t="inlineStr">
        <is>
          <t>https://www.policymap.com/data</t>
        </is>
      </c>
      <c r="AM363" s="4" t="inlineStr">
        <is>
          <t>us_policymap</t>
        </is>
      </c>
    </row>
    <row r="364">
      <c r="A364" s="4" t="inlineStr">
        <is>
          <t>Redfin Data Center</t>
        </is>
      </c>
      <c r="B364" s="20" t="inlineStr">
        <is>
          <t>Bronze</t>
        </is>
      </c>
      <c r="C364" s="4" t="n">
        <v>75</v>
      </c>
      <c r="D364" s="4" t="inlineStr">
        <is>
          <t>sdoh</t>
        </is>
      </c>
      <c r="E364" s="4" t="inlineStr">
        <is>
          <t>healthy</t>
        </is>
      </c>
      <c r="F364" s="4" t="inlineStr">
        <is>
          <t>unknown</t>
        </is>
      </c>
      <c r="G364" s="4" t="inlineStr">
        <is>
          <t>zcta_zip</t>
        </is>
      </c>
      <c r="H364" s="4" t="inlineStr">
        <is>
          <t>Joins today</t>
        </is>
      </c>
      <c r="I364" s="4" t="n">
        <v>3</v>
      </c>
      <c r="J364" s="4" t="inlineStr"/>
      <c r="K364" s="4" t="inlineStr">
        <is>
          <t>Curated</t>
        </is>
      </c>
      <c r="L364" s="4" t="n">
        <v>2026</v>
      </c>
      <c r="M364" s="4" t="inlineStr">
        <is>
          <t>open</t>
        </is>
      </c>
      <c r="N364" s="4" t="inlineStr">
        <is>
          <t>2026-10-22</t>
        </is>
      </c>
      <c r="O364" s="14" t="inlineStr">
        <is>
          <t>pass</t>
        </is>
      </c>
      <c r="P364" s="14" t="inlineStr">
        <is>
          <t>pass</t>
        </is>
      </c>
      <c r="Q364" s="14" t="inlineStr">
        <is>
          <t>pass</t>
        </is>
      </c>
      <c r="R364" s="14" t="inlineStr">
        <is>
          <t>pass</t>
        </is>
      </c>
      <c r="S364" s="14" t="inlineStr">
        <is>
          <t>pass</t>
        </is>
      </c>
      <c r="T364" s="14" t="inlineStr">
        <is>
          <t>pass</t>
        </is>
      </c>
      <c r="U364" s="16" t="inlineStr">
        <is>
          <t>warn</t>
        </is>
      </c>
      <c r="V364" s="16" t="inlineStr">
        <is>
          <t>warn</t>
        </is>
      </c>
      <c r="W364" s="16" t="inlineStr">
        <is>
          <t>warn</t>
        </is>
      </c>
      <c r="X364" s="14" t="inlineStr">
        <is>
          <t>pass</t>
        </is>
      </c>
      <c r="Y364" s="18" t="inlineStr">
        <is>
          <t>fail</t>
        </is>
      </c>
      <c r="Z364" s="16" t="inlineStr">
        <is>
          <t>warn</t>
        </is>
      </c>
      <c r="AA364" s="14" t="inlineStr">
        <is>
          <t>pass</t>
        </is>
      </c>
      <c r="AB364" s="14" t="inlineStr">
        <is>
          <t>pass</t>
        </is>
      </c>
      <c r="AC364" s="15" t="inlineStr">
        <is>
          <t>not_checked</t>
        </is>
      </c>
      <c r="AD364" s="15" t="inlineStr">
        <is>
          <t>not_checked</t>
        </is>
      </c>
      <c r="AE364" s="14" t="inlineStr">
        <is>
          <t>pass</t>
        </is>
      </c>
      <c r="AF364" s="14" t="inlineStr">
        <is>
          <t>pass</t>
        </is>
      </c>
      <c r="AG364" s="15" t="inlineStr">
        <is>
          <t>not_checked</t>
        </is>
      </c>
      <c r="AH364" s="15" t="inlineStr">
        <is>
          <t>not_checked</t>
        </is>
      </c>
      <c r="AI364" s="15" t="inlineStr">
        <is>
          <t>n.a.</t>
        </is>
      </c>
      <c r="AJ364" s="15" t="inlineStr">
        <is>
          <t>n.a.</t>
        </is>
      </c>
      <c r="AK364" s="4" t="inlineStr">
        <is>
          <t>license;format_match(warn);machine_metadata(warn);persistent_id(warn);temporal(warn)</t>
        </is>
      </c>
      <c r="AL364" s="17" t="inlineStr">
        <is>
          <t>https://www.redfin.com/news/data-center/</t>
        </is>
      </c>
      <c r="AM364" s="4" t="inlineStr">
        <is>
          <t>us_redfin_data_center</t>
        </is>
      </c>
    </row>
    <row r="365">
      <c r="A365" s="4" t="inlineStr">
        <is>
          <t>Safe Drinking Water Information System (SDWIS) Federal Data Warehouse / SDWA dataset</t>
        </is>
      </c>
      <c r="B365" s="19" t="inlineStr">
        <is>
          <t>Silver</t>
        </is>
      </c>
      <c r="C365" s="4" t="n">
        <v>83</v>
      </c>
      <c r="D365" s="4" t="inlineStr">
        <is>
          <t>sdoh</t>
        </is>
      </c>
      <c r="E365" s="4" t="inlineStr">
        <is>
          <t>healthy</t>
        </is>
      </c>
      <c r="F365" s="4" t="inlineStr">
        <is>
          <t>public_domain_us_federal</t>
        </is>
      </c>
      <c r="G365" s="4" t="inlineStr">
        <is>
          <t>county (systems located by 'city or county served'; no geometry)</t>
        </is>
      </c>
      <c r="H365" s="4" t="inlineStr">
        <is>
          <t>Joins today</t>
        </is>
      </c>
      <c r="I365" s="4" t="n">
        <v>3</v>
      </c>
      <c r="J365" s="4" t="inlineStr"/>
      <c r="K365" s="4" t="inlineStr">
        <is>
          <t>Curated</t>
        </is>
      </c>
      <c r="L365" s="4" t="n">
        <v>2026</v>
      </c>
      <c r="M365" s="4" t="inlineStr">
        <is>
          <t>open</t>
        </is>
      </c>
      <c r="N365" s="4" t="inlineStr">
        <is>
          <t>2026-10-29</t>
        </is>
      </c>
      <c r="O365" s="14" t="inlineStr">
        <is>
          <t>pass</t>
        </is>
      </c>
      <c r="P365" s="14" t="inlineStr">
        <is>
          <t>pass</t>
        </is>
      </c>
      <c r="Q365" s="14" t="inlineStr">
        <is>
          <t>pass</t>
        </is>
      </c>
      <c r="R365" s="14" t="inlineStr">
        <is>
          <t>pass</t>
        </is>
      </c>
      <c r="S365" s="14" t="inlineStr">
        <is>
          <t>pass</t>
        </is>
      </c>
      <c r="T365" s="14" t="inlineStr">
        <is>
          <t>pass</t>
        </is>
      </c>
      <c r="U365" s="14" t="inlineStr">
        <is>
          <t>pass</t>
        </is>
      </c>
      <c r="V365" s="16" t="inlineStr">
        <is>
          <t>warn</t>
        </is>
      </c>
      <c r="W365" s="16" t="inlineStr">
        <is>
          <t>warn</t>
        </is>
      </c>
      <c r="X365" s="14" t="inlineStr">
        <is>
          <t>pass</t>
        </is>
      </c>
      <c r="Y365" s="14" t="inlineStr">
        <is>
          <t>pass</t>
        </is>
      </c>
      <c r="Z365" s="16" t="inlineStr">
        <is>
          <t>warn</t>
        </is>
      </c>
      <c r="AA365" s="14" t="inlineStr">
        <is>
          <t>pass</t>
        </is>
      </c>
      <c r="AB365" s="14" t="inlineStr">
        <is>
          <t>pass</t>
        </is>
      </c>
      <c r="AC365" s="15" t="inlineStr">
        <is>
          <t>not_checked</t>
        </is>
      </c>
      <c r="AD365" s="16" t="inlineStr">
        <is>
          <t>warn</t>
        </is>
      </c>
      <c r="AE365" s="16" t="inlineStr">
        <is>
          <t>warn</t>
        </is>
      </c>
      <c r="AF365" s="14" t="inlineStr">
        <is>
          <t>pass</t>
        </is>
      </c>
      <c r="AG365" s="16" t="inlineStr">
        <is>
          <t>warn</t>
        </is>
      </c>
      <c r="AH365" s="16" t="inlineStr">
        <is>
          <t>warn</t>
        </is>
      </c>
      <c r="AI365" s="15" t="inlineStr">
        <is>
          <t>n.a.</t>
        </is>
      </c>
      <c r="AJ365" s="15" t="inlineStr">
        <is>
          <t>n.a.</t>
        </is>
      </c>
      <c r="AK365" s="4" t="inlineStr">
        <is>
          <t>machine_metadata(warn);persistent_id(warn);temporal(warn);unit(warn);coverage(warn);join_key(warn);format_gaia(warn)</t>
        </is>
      </c>
      <c r="AL365" s="17" t="inlineStr">
        <is>
          <t>https://www.epa.gov/ground-water-and-drinking-water/safe-drinking-water-information-system-sdwis-federal-reporting</t>
        </is>
      </c>
      <c r="AM365" s="4" t="inlineStr">
        <is>
          <t>us_epa_sdwis_federal</t>
        </is>
      </c>
    </row>
    <row r="366">
      <c r="A366" s="4" t="inlineStr">
        <is>
          <t>Small Area Health Insurance Estimates (SAHIE)</t>
        </is>
      </c>
      <c r="B366" s="13" t="inlineStr">
        <is>
          <t>Gold</t>
        </is>
      </c>
      <c r="C366" s="4" t="n">
        <v>93</v>
      </c>
      <c r="D366" s="4" t="inlineStr">
        <is>
          <t>sdoh</t>
        </is>
      </c>
      <c r="E366" s="4" t="inlineStr">
        <is>
          <t>healthy</t>
        </is>
      </c>
      <c r="F366" s="4" t="inlineStr">
        <is>
          <t>public_domain_us_federal</t>
        </is>
      </c>
      <c r="G366" s="4" t="inlineStr">
        <is>
          <t>county</t>
        </is>
      </c>
      <c r="H366" s="4" t="inlineStr">
        <is>
          <t>Joins today</t>
        </is>
      </c>
      <c r="I366" s="4" t="n">
        <v>3</v>
      </c>
      <c r="J366" s="4" t="inlineStr"/>
      <c r="K366" s="4" t="inlineStr">
        <is>
          <t>Curated</t>
        </is>
      </c>
      <c r="L366" s="4" t="n">
        <v>2024</v>
      </c>
      <c r="M366" s="4" t="inlineStr">
        <is>
          <t>open</t>
        </is>
      </c>
      <c r="N366" s="4" t="inlineStr">
        <is>
          <t>2026-10-29</t>
        </is>
      </c>
      <c r="O366" s="14" t="inlineStr">
        <is>
          <t>pass</t>
        </is>
      </c>
      <c r="P366" s="14" t="inlineStr">
        <is>
          <t>pass</t>
        </is>
      </c>
      <c r="Q366" s="14" t="inlineStr">
        <is>
          <t>pass</t>
        </is>
      </c>
      <c r="R366" s="14" t="inlineStr">
        <is>
          <t>pass</t>
        </is>
      </c>
      <c r="S366" s="14" t="inlineStr">
        <is>
          <t>pass</t>
        </is>
      </c>
      <c r="T366" s="14" t="inlineStr">
        <is>
          <t>pass</t>
        </is>
      </c>
      <c r="U366" s="14" t="inlineStr">
        <is>
          <t>pass</t>
        </is>
      </c>
      <c r="V366" s="16" t="inlineStr">
        <is>
          <t>warn</t>
        </is>
      </c>
      <c r="W366" s="16" t="inlineStr">
        <is>
          <t>warn</t>
        </is>
      </c>
      <c r="X366" s="14" t="inlineStr">
        <is>
          <t>pass</t>
        </is>
      </c>
      <c r="Y366" s="14" t="inlineStr">
        <is>
          <t>pass</t>
        </is>
      </c>
      <c r="Z366" s="14" t="inlineStr">
        <is>
          <t>pass</t>
        </is>
      </c>
      <c r="AA366" s="14" t="inlineStr">
        <is>
          <t>pass</t>
        </is>
      </c>
      <c r="AB366" s="16" t="inlineStr">
        <is>
          <t>warn</t>
        </is>
      </c>
      <c r="AC366" s="14" t="inlineStr">
        <is>
          <t>pass</t>
        </is>
      </c>
      <c r="AD366" s="14" t="inlineStr">
        <is>
          <t>pass</t>
        </is>
      </c>
      <c r="AE366" s="14" t="inlineStr">
        <is>
          <t>pass</t>
        </is>
      </c>
      <c r="AF366" s="14" t="inlineStr">
        <is>
          <t>pass</t>
        </is>
      </c>
      <c r="AG366" s="16" t="inlineStr">
        <is>
          <t>warn</t>
        </is>
      </c>
      <c r="AH366" s="16" t="inlineStr">
        <is>
          <t>warn</t>
        </is>
      </c>
      <c r="AI366" s="15" t="inlineStr">
        <is>
          <t>n.a.</t>
        </is>
      </c>
      <c r="AJ366" s="15" t="inlineStr">
        <is>
          <t>n.a.</t>
        </is>
      </c>
      <c r="AK366" s="4" t="inlineStr">
        <is>
          <t>machine_metadata(warn);persistent_id(warn);cadence(warn);join_key(warn);format_gaia(warn)</t>
        </is>
      </c>
      <c r="AL366" s="17" t="inlineStr">
        <is>
          <t>https://www.census.gov/programs-surveys/sahie.html</t>
        </is>
      </c>
      <c r="AM366" s="4" t="inlineStr">
        <is>
          <t>us_census_sahie</t>
        </is>
      </c>
    </row>
    <row r="367">
      <c r="A367" s="4" t="inlineStr">
        <is>
          <t>Small Area Income and Poverty Estimates (SAIPE)</t>
        </is>
      </c>
      <c r="B367" s="13" t="inlineStr">
        <is>
          <t>Gold</t>
        </is>
      </c>
      <c r="C367" s="4" t="n">
        <v>93</v>
      </c>
      <c r="D367" s="4" t="inlineStr">
        <is>
          <t>sdoh</t>
        </is>
      </c>
      <c r="E367" s="4" t="inlineStr">
        <is>
          <t>healthy</t>
        </is>
      </c>
      <c r="F367" s="4" t="inlineStr">
        <is>
          <t>public_domain_us_federal</t>
        </is>
      </c>
      <c r="G367" s="4" t="inlineStr">
        <is>
          <t>county (school districts also provided; not in vocabulary)</t>
        </is>
      </c>
      <c r="H367" s="4" t="inlineStr">
        <is>
          <t>Joins today</t>
        </is>
      </c>
      <c r="I367" s="4" t="n">
        <v>3</v>
      </c>
      <c r="J367" s="4" t="inlineStr"/>
      <c r="K367" s="4" t="inlineStr">
        <is>
          <t>Curated</t>
        </is>
      </c>
      <c r="L367" s="4" t="n">
        <v>2024</v>
      </c>
      <c r="M367" s="4" t="inlineStr">
        <is>
          <t>open</t>
        </is>
      </c>
      <c r="N367" s="4" t="inlineStr">
        <is>
          <t>2026-10-29</t>
        </is>
      </c>
      <c r="O367" s="14" t="inlineStr">
        <is>
          <t>pass</t>
        </is>
      </c>
      <c r="P367" s="14" t="inlineStr">
        <is>
          <t>pass</t>
        </is>
      </c>
      <c r="Q367" s="14" t="inlineStr">
        <is>
          <t>pass</t>
        </is>
      </c>
      <c r="R367" s="14" t="inlineStr">
        <is>
          <t>pass</t>
        </is>
      </c>
      <c r="S367" s="14" t="inlineStr">
        <is>
          <t>pass</t>
        </is>
      </c>
      <c r="T367" s="14" t="inlineStr">
        <is>
          <t>pass</t>
        </is>
      </c>
      <c r="U367" s="14" t="inlineStr">
        <is>
          <t>pass</t>
        </is>
      </c>
      <c r="V367" s="16" t="inlineStr">
        <is>
          <t>warn</t>
        </is>
      </c>
      <c r="W367" s="16" t="inlineStr">
        <is>
          <t>warn</t>
        </is>
      </c>
      <c r="X367" s="14" t="inlineStr">
        <is>
          <t>pass</t>
        </is>
      </c>
      <c r="Y367" s="14" t="inlineStr">
        <is>
          <t>pass</t>
        </is>
      </c>
      <c r="Z367" s="14" t="inlineStr">
        <is>
          <t>pass</t>
        </is>
      </c>
      <c r="AA367" s="14" t="inlineStr">
        <is>
          <t>pass</t>
        </is>
      </c>
      <c r="AB367" s="16" t="inlineStr">
        <is>
          <t>warn</t>
        </is>
      </c>
      <c r="AC367" s="14" t="inlineStr">
        <is>
          <t>pass</t>
        </is>
      </c>
      <c r="AD367" s="14" t="inlineStr">
        <is>
          <t>pass</t>
        </is>
      </c>
      <c r="AE367" s="14" t="inlineStr">
        <is>
          <t>pass</t>
        </is>
      </c>
      <c r="AF367" s="14" t="inlineStr">
        <is>
          <t>pass</t>
        </is>
      </c>
      <c r="AG367" s="16" t="inlineStr">
        <is>
          <t>warn</t>
        </is>
      </c>
      <c r="AH367" s="16" t="inlineStr">
        <is>
          <t>warn</t>
        </is>
      </c>
      <c r="AI367" s="15" t="inlineStr">
        <is>
          <t>n.a.</t>
        </is>
      </c>
      <c r="AJ367" s="15" t="inlineStr">
        <is>
          <t>n.a.</t>
        </is>
      </c>
      <c r="AK367" s="4" t="inlineStr">
        <is>
          <t>machine_metadata(warn);persistent_id(warn);cadence(warn);join_key(warn);format_gaia(warn)</t>
        </is>
      </c>
      <c r="AL367" s="17" t="inlineStr">
        <is>
          <t>https://www.census.gov/programs-surveys/saipe.html</t>
        </is>
      </c>
      <c r="AM367" s="4" t="inlineStr">
        <is>
          <t>us_census_saipe</t>
        </is>
      </c>
    </row>
    <row r="368">
      <c r="A368" s="4" t="inlineStr">
        <is>
          <t>Subnational Human Development Index (SHDI)</t>
        </is>
      </c>
      <c r="B368" s="20" t="inlineStr">
        <is>
          <t>Bronze</t>
        </is>
      </c>
      <c r="C368" s="4" t="n">
        <v>75</v>
      </c>
      <c r="D368" s="4" t="inlineStr">
        <is>
          <t>sdoh</t>
        </is>
      </c>
      <c r="E368" s="4" t="inlineStr">
        <is>
          <t>degraded</t>
        </is>
      </c>
      <c r="F368" s="4" t="inlineStr">
        <is>
          <t>non-commercial</t>
        </is>
      </c>
      <c r="G368" s="4" t="inlineStr">
        <is>
          <t>admin1</t>
        </is>
      </c>
      <c r="H368" s="4" t="inlineStr">
        <is>
          <t>Joins today</t>
        </is>
      </c>
      <c r="I368" s="4" t="n">
        <v>3</v>
      </c>
      <c r="J368" s="4" t="inlineStr"/>
      <c r="K368" s="4" t="inlineStr">
        <is>
          <t>Curated</t>
        </is>
      </c>
      <c r="L368" s="4" t="inlineStr"/>
      <c r="M368" s="4" t="inlineStr">
        <is>
          <t>registration</t>
        </is>
      </c>
      <c r="N368" s="4" t="inlineStr">
        <is>
          <t>2026-10-29</t>
        </is>
      </c>
      <c r="O368" s="14" t="inlineStr">
        <is>
          <t>pass</t>
        </is>
      </c>
      <c r="P368" s="14" t="inlineStr">
        <is>
          <t>pass</t>
        </is>
      </c>
      <c r="Q368" s="14" t="inlineStr">
        <is>
          <t>pass</t>
        </is>
      </c>
      <c r="R368" s="14" t="inlineStr">
        <is>
          <t>pass</t>
        </is>
      </c>
      <c r="S368" s="14" t="inlineStr">
        <is>
          <t>pass</t>
        </is>
      </c>
      <c r="T368" s="15" t="inlineStr">
        <is>
          <t>n.a.</t>
        </is>
      </c>
      <c r="U368" s="15" t="inlineStr">
        <is>
          <t>n.a.</t>
        </is>
      </c>
      <c r="V368" s="18" t="inlineStr">
        <is>
          <t>fail</t>
        </is>
      </c>
      <c r="W368" s="14" t="inlineStr">
        <is>
          <t>pass</t>
        </is>
      </c>
      <c r="X368" s="14" t="inlineStr">
        <is>
          <t>pass</t>
        </is>
      </c>
      <c r="Y368" s="16" t="inlineStr">
        <is>
          <t>warn</t>
        </is>
      </c>
      <c r="Z368" s="15" t="inlineStr">
        <is>
          <t>not_checked</t>
        </is>
      </c>
      <c r="AA368" s="15" t="inlineStr">
        <is>
          <t>not_checked</t>
        </is>
      </c>
      <c r="AB368" s="15" t="inlineStr">
        <is>
          <t>not_checked</t>
        </is>
      </c>
      <c r="AC368" s="15" t="inlineStr">
        <is>
          <t>not_checked</t>
        </is>
      </c>
      <c r="AD368" s="15" t="inlineStr">
        <is>
          <t>not_checked</t>
        </is>
      </c>
      <c r="AE368" s="15" t="inlineStr">
        <is>
          <t>not_checked</t>
        </is>
      </c>
      <c r="AF368" s="16" t="inlineStr">
        <is>
          <t>warn</t>
        </is>
      </c>
      <c r="AG368" s="15" t="inlineStr">
        <is>
          <t>not_checked</t>
        </is>
      </c>
      <c r="AH368" s="15" t="inlineStr">
        <is>
          <t>not_checked</t>
        </is>
      </c>
      <c r="AI368" s="15" t="inlineStr">
        <is>
          <t>n.a.</t>
        </is>
      </c>
      <c r="AJ368" s="15" t="inlineStr">
        <is>
          <t>n.a.</t>
        </is>
      </c>
      <c r="AK368" s="4" t="inlineStr">
        <is>
          <t>machine_metadata;license(warn);access(warn)</t>
        </is>
      </c>
      <c r="AL368" s="17" t="inlineStr">
        <is>
          <t>https://globaldatalab.org/shdi/</t>
        </is>
      </c>
      <c r="AM368" s="4" t="inlineStr">
        <is>
          <t>global_gdl_shdi</t>
        </is>
      </c>
    </row>
    <row r="369">
      <c r="A369" s="4" t="inlineStr">
        <is>
          <t>Welsh Index of Multiple Deprivation (WIMD)</t>
        </is>
      </c>
      <c r="B369" s="20" t="inlineStr">
        <is>
          <t>Bronze</t>
        </is>
      </c>
      <c r="C369" s="4" t="n">
        <v>72</v>
      </c>
      <c r="D369" s="4" t="inlineStr">
        <is>
          <t>sdoh</t>
        </is>
      </c>
      <c r="E369" s="4" t="inlineStr">
        <is>
          <t>healthy</t>
        </is>
      </c>
      <c r="F369" s="4" t="inlineStr">
        <is>
          <t>unknown</t>
        </is>
      </c>
      <c r="G369" s="4" t="inlineStr">
        <is>
          <t>unknown</t>
        </is>
      </c>
      <c r="H369" s="4" t="inlineStr">
        <is>
          <t>Unknown</t>
        </is>
      </c>
      <c r="I369" s="4" t="n">
        <v>3</v>
      </c>
      <c r="J369" s="4" t="inlineStr"/>
      <c r="K369" s="4" t="inlineStr">
        <is>
          <t>Curated</t>
        </is>
      </c>
      <c r="L369" s="4" t="n">
        <v>2025</v>
      </c>
      <c r="M369" s="4" t="inlineStr">
        <is>
          <t>open</t>
        </is>
      </c>
      <c r="N369" s="4" t="inlineStr">
        <is>
          <t>2026-10-28</t>
        </is>
      </c>
      <c r="O369" s="14" t="inlineStr">
        <is>
          <t>pass</t>
        </is>
      </c>
      <c r="P369" s="14" t="inlineStr">
        <is>
          <t>pass</t>
        </is>
      </c>
      <c r="Q369" s="14" t="inlineStr">
        <is>
          <t>pass</t>
        </is>
      </c>
      <c r="R369" s="14" t="inlineStr">
        <is>
          <t>pass</t>
        </is>
      </c>
      <c r="S369" s="14" t="inlineStr">
        <is>
          <t>pass</t>
        </is>
      </c>
      <c r="T369" s="14" t="inlineStr">
        <is>
          <t>pass</t>
        </is>
      </c>
      <c r="U369" s="14" t="inlineStr">
        <is>
          <t>pass</t>
        </is>
      </c>
      <c r="V369" s="16" t="inlineStr">
        <is>
          <t>warn</t>
        </is>
      </c>
      <c r="W369" s="16" t="inlineStr">
        <is>
          <t>warn</t>
        </is>
      </c>
      <c r="X369" s="14" t="inlineStr">
        <is>
          <t>pass</t>
        </is>
      </c>
      <c r="Y369" s="18" t="inlineStr">
        <is>
          <t>fail</t>
        </is>
      </c>
      <c r="Z369" s="16" t="inlineStr">
        <is>
          <t>warn</t>
        </is>
      </c>
      <c r="AA369" s="14" t="inlineStr">
        <is>
          <t>pass</t>
        </is>
      </c>
      <c r="AB369" s="16" t="inlineStr">
        <is>
          <t>warn</t>
        </is>
      </c>
      <c r="AC369" s="14" t="inlineStr">
        <is>
          <t>pass</t>
        </is>
      </c>
      <c r="AD369" s="15" t="inlineStr">
        <is>
          <t>not_checked</t>
        </is>
      </c>
      <c r="AE369" s="16" t="inlineStr">
        <is>
          <t>warn</t>
        </is>
      </c>
      <c r="AF369" s="15" t="inlineStr">
        <is>
          <t>not_checked</t>
        </is>
      </c>
      <c r="AG369" s="15" t="inlineStr">
        <is>
          <t>not_checked</t>
        </is>
      </c>
      <c r="AH369" s="15" t="inlineStr">
        <is>
          <t>not_checked</t>
        </is>
      </c>
      <c r="AI369" s="15" t="inlineStr">
        <is>
          <t>n.a.</t>
        </is>
      </c>
      <c r="AJ369" s="15" t="inlineStr">
        <is>
          <t>n.a.</t>
        </is>
      </c>
      <c r="AK369" s="4" t="inlineStr">
        <is>
          <t>license;machine_metadata(warn);persistent_id(warn);temporal(warn);cadence(warn);coverage(warn)</t>
        </is>
      </c>
      <c r="AL369" s="17" t="inlineStr">
        <is>
          <t>https://www.gov.wales/welsh-index-multiple-deprivation</t>
        </is>
      </c>
      <c r="AM369" s="4" t="inlineStr">
        <is>
          <t>gb_welshgov_wimd</t>
        </is>
      </c>
    </row>
    <row r="370">
      <c r="A370" s="4" t="inlineStr">
        <is>
          <t>WHO/UNICEF JMP WASH databases (Households, Schools, Health care facilities)</t>
        </is>
      </c>
      <c r="B370" s="20" t="inlineStr">
        <is>
          <t>Bronze</t>
        </is>
      </c>
      <c r="C370" s="4" t="n">
        <v>74</v>
      </c>
      <c r="D370" s="4" t="inlineStr">
        <is>
          <t>sdoh</t>
        </is>
      </c>
      <c r="E370" s="4" t="inlineStr">
        <is>
          <t>degraded</t>
        </is>
      </c>
      <c r="F370" s="4" t="inlineStr">
        <is>
          <t>unknown</t>
        </is>
      </c>
      <c r="G370" s="4" t="inlineStr">
        <is>
          <t>country</t>
        </is>
      </c>
      <c r="H370" s="4" t="inlineStr">
        <is>
          <t>Not linkable as listed</t>
        </is>
      </c>
      <c r="I370" s="4" t="n">
        <v>3</v>
      </c>
      <c r="J370" s="4" t="inlineStr"/>
      <c r="K370" s="4" t="inlineStr">
        <is>
          <t>Curated</t>
        </is>
      </c>
      <c r="L370" s="4" t="n">
        <v>2026</v>
      </c>
      <c r="M370" s="4" t="inlineStr">
        <is>
          <t>open</t>
        </is>
      </c>
      <c r="N370" s="4" t="inlineStr">
        <is>
          <t>2026-10-28</t>
        </is>
      </c>
      <c r="O370" s="14" t="inlineStr">
        <is>
          <t>pass</t>
        </is>
      </c>
      <c r="P370" s="14" t="inlineStr">
        <is>
          <t>pass</t>
        </is>
      </c>
      <c r="Q370" s="14" t="inlineStr">
        <is>
          <t>pass</t>
        </is>
      </c>
      <c r="R370" s="14" t="inlineStr">
        <is>
          <t>pass</t>
        </is>
      </c>
      <c r="S370" s="14" t="inlineStr">
        <is>
          <t>pass</t>
        </is>
      </c>
      <c r="T370" s="15" t="inlineStr">
        <is>
          <t>n.a.</t>
        </is>
      </c>
      <c r="U370" s="15" t="inlineStr">
        <is>
          <t>n.a.</t>
        </is>
      </c>
      <c r="V370" s="18" t="inlineStr">
        <is>
          <t>fail</t>
        </is>
      </c>
      <c r="W370" s="16" t="inlineStr">
        <is>
          <t>warn</t>
        </is>
      </c>
      <c r="X370" s="14" t="inlineStr">
        <is>
          <t>pass</t>
        </is>
      </c>
      <c r="Y370" s="18" t="inlineStr">
        <is>
          <t>fail</t>
        </is>
      </c>
      <c r="Z370" s="16" t="inlineStr">
        <is>
          <t>warn</t>
        </is>
      </c>
      <c r="AA370" s="14" t="inlineStr">
        <is>
          <t>pass</t>
        </is>
      </c>
      <c r="AB370" s="14" t="inlineStr">
        <is>
          <t>pass</t>
        </is>
      </c>
      <c r="AC370" s="16" t="inlineStr">
        <is>
          <t>warn</t>
        </is>
      </c>
      <c r="AD370" s="14" t="inlineStr">
        <is>
          <t>pass</t>
        </is>
      </c>
      <c r="AE370" s="14" t="inlineStr">
        <is>
          <t>pass</t>
        </is>
      </c>
      <c r="AF370" s="14" t="inlineStr">
        <is>
          <t>pass</t>
        </is>
      </c>
      <c r="AG370" s="16" t="inlineStr">
        <is>
          <t>warn</t>
        </is>
      </c>
      <c r="AH370" s="15" t="inlineStr">
        <is>
          <t>not_checked</t>
        </is>
      </c>
      <c r="AI370" s="15" t="inlineStr">
        <is>
          <t>n.a.</t>
        </is>
      </c>
      <c r="AJ370" s="15" t="inlineStr">
        <is>
          <t>n.a.</t>
        </is>
      </c>
      <c r="AK370" s="4" t="inlineStr">
        <is>
          <t>machine_metadata;license;persistent_id(warn);temporal(warn);version(warn);join_key(warn)</t>
        </is>
      </c>
      <c r="AL370" s="17" t="inlineStr">
        <is>
          <t>https://washdata.org/data</t>
        </is>
      </c>
      <c r="AM370" s="4" t="inlineStr">
        <is>
          <t>global_who_unicef_jmp_wash</t>
        </is>
      </c>
    </row>
    <row r="371">
      <c r="A371" s="4" t="inlineStr">
        <is>
          <t>Cleanups in My Community (CIMC) / ACRES Brownfields properties</t>
        </is>
      </c>
      <c r="B371" s="19" t="inlineStr">
        <is>
          <t>Silver</t>
        </is>
      </c>
      <c r="C371" s="4" t="n">
        <v>97</v>
      </c>
      <c r="D371" s="4" t="inlineStr">
        <is>
          <t>toxics</t>
        </is>
      </c>
      <c r="E371" s="4" t="inlineStr">
        <is>
          <t>healthy</t>
        </is>
      </c>
      <c r="F371" s="4" t="inlineStr">
        <is>
          <t>public_domain_us_federal</t>
        </is>
      </c>
      <c r="G371" s="4" t="inlineStr">
        <is>
          <t>point</t>
        </is>
      </c>
      <c r="H371" s="4" t="inlineStr">
        <is>
          <t>Needs a count/distance step</t>
        </is>
      </c>
      <c r="I371" s="4" t="n">
        <v>3</v>
      </c>
      <c r="J371" s="4" t="inlineStr"/>
      <c r="K371" s="4" t="inlineStr">
        <is>
          <t>Curated</t>
        </is>
      </c>
      <c r="L371" s="4" t="inlineStr">
        <is>
          <t>current</t>
        </is>
      </c>
      <c r="M371" s="4" t="inlineStr">
        <is>
          <t>open</t>
        </is>
      </c>
      <c r="N371" s="4" t="inlineStr">
        <is>
          <t>2026-10-29</t>
        </is>
      </c>
      <c r="O371" s="14" t="inlineStr">
        <is>
          <t>pass</t>
        </is>
      </c>
      <c r="P371" s="14" t="inlineStr">
        <is>
          <t>pass</t>
        </is>
      </c>
      <c r="Q371" s="14" t="inlineStr">
        <is>
          <t>pass</t>
        </is>
      </c>
      <c r="R371" s="14" t="inlineStr">
        <is>
          <t>pass</t>
        </is>
      </c>
      <c r="S371" s="14" t="inlineStr">
        <is>
          <t>pass</t>
        </is>
      </c>
      <c r="T371" s="14" t="inlineStr">
        <is>
          <t>pass</t>
        </is>
      </c>
      <c r="U371" s="14" t="inlineStr">
        <is>
          <t>pass</t>
        </is>
      </c>
      <c r="V371" s="16" t="inlineStr">
        <is>
          <t>warn</t>
        </is>
      </c>
      <c r="W371" s="16" t="inlineStr">
        <is>
          <t>warn</t>
        </is>
      </c>
      <c r="X371" s="14" t="inlineStr">
        <is>
          <t>pass</t>
        </is>
      </c>
      <c r="Y371" s="14" t="inlineStr">
        <is>
          <t>pass</t>
        </is>
      </c>
      <c r="Z371" s="15" t="inlineStr">
        <is>
          <t>not_checked</t>
        </is>
      </c>
      <c r="AA371" s="15" t="inlineStr">
        <is>
          <t>not_checked</t>
        </is>
      </c>
      <c r="AB371" s="15" t="inlineStr">
        <is>
          <t>not_checked</t>
        </is>
      </c>
      <c r="AC371" s="15" t="inlineStr">
        <is>
          <t>not_checked</t>
        </is>
      </c>
      <c r="AD371" s="15" t="inlineStr">
        <is>
          <t>not_checked</t>
        </is>
      </c>
      <c r="AE371" s="14" t="inlineStr">
        <is>
          <t>pass</t>
        </is>
      </c>
      <c r="AF371" s="14" t="inlineStr">
        <is>
          <t>pass</t>
        </is>
      </c>
      <c r="AG371" s="14" t="inlineStr">
        <is>
          <t>pass</t>
        </is>
      </c>
      <c r="AH371" s="14" t="inlineStr">
        <is>
          <t>pass</t>
        </is>
      </c>
      <c r="AI371" s="15" t="inlineStr">
        <is>
          <t>n.a.</t>
        </is>
      </c>
      <c r="AJ371" s="15" t="inlineStr">
        <is>
          <t>n.a.</t>
        </is>
      </c>
      <c r="AK371" s="4" t="inlineStr">
        <is>
          <t>machine_metadata(warn);persistent_id(warn)</t>
        </is>
      </c>
      <c r="AL371" s="17" t="inlineStr">
        <is>
          <t>https://www.epa.gov/cleanups/cleanups-my-community</t>
        </is>
      </c>
      <c r="AM371" s="4" t="inlineStr">
        <is>
          <t>us_epa_brownfields_acres_cimc</t>
        </is>
      </c>
    </row>
    <row r="372">
      <c r="A372" s="4" t="inlineStr">
        <is>
          <t>Estimated Annual Agricultural Pesticide Use (Pesticide National Synthesis Project)</t>
        </is>
      </c>
      <c r="B372" s="13" t="inlineStr">
        <is>
          <t>Gold</t>
        </is>
      </c>
      <c r="C372" s="4" t="n">
        <v>91</v>
      </c>
      <c r="D372" s="4" t="inlineStr">
        <is>
          <t>toxics</t>
        </is>
      </c>
      <c r="E372" s="4" t="inlineStr">
        <is>
          <t>degraded</t>
        </is>
      </c>
      <c r="F372" s="4" t="inlineStr">
        <is>
          <t>public_domain_us_federal</t>
        </is>
      </c>
      <c r="G372" s="4" t="inlineStr">
        <is>
          <t>county</t>
        </is>
      </c>
      <c r="H372" s="4" t="inlineStr">
        <is>
          <t>Joins today</t>
        </is>
      </c>
      <c r="I372" s="4" t="n">
        <v>3</v>
      </c>
      <c r="J372" s="4" t="inlineStr"/>
      <c r="K372" s="4" t="inlineStr">
        <is>
          <t>Curated</t>
        </is>
      </c>
      <c r="L372" s="4" t="n">
        <v>2019</v>
      </c>
      <c r="M372" s="4" t="inlineStr">
        <is>
          <t>open</t>
        </is>
      </c>
      <c r="N372" s="4" t="inlineStr">
        <is>
          <t>2026-10-29</t>
        </is>
      </c>
      <c r="O372" s="14" t="inlineStr">
        <is>
          <t>pass</t>
        </is>
      </c>
      <c r="P372" s="14" t="inlineStr">
        <is>
          <t>pass</t>
        </is>
      </c>
      <c r="Q372" s="14" t="inlineStr">
        <is>
          <t>pass</t>
        </is>
      </c>
      <c r="R372" s="14" t="inlineStr">
        <is>
          <t>pass</t>
        </is>
      </c>
      <c r="S372" s="14" t="inlineStr">
        <is>
          <t>pass</t>
        </is>
      </c>
      <c r="T372" s="14" t="inlineStr">
        <is>
          <t>pass</t>
        </is>
      </c>
      <c r="U372" s="16" t="inlineStr">
        <is>
          <t>warn</t>
        </is>
      </c>
      <c r="V372" s="18" t="inlineStr">
        <is>
          <t>fail</t>
        </is>
      </c>
      <c r="W372" s="16" t="inlineStr">
        <is>
          <t>warn</t>
        </is>
      </c>
      <c r="X372" s="14" t="inlineStr">
        <is>
          <t>pass</t>
        </is>
      </c>
      <c r="Y372" s="14" t="inlineStr">
        <is>
          <t>pass</t>
        </is>
      </c>
      <c r="Z372" s="14" t="inlineStr">
        <is>
          <t>pass</t>
        </is>
      </c>
      <c r="AA372" s="14" t="inlineStr">
        <is>
          <t>pass</t>
        </is>
      </c>
      <c r="AB372" s="14" t="inlineStr">
        <is>
          <t>pass</t>
        </is>
      </c>
      <c r="AC372" s="15" t="inlineStr">
        <is>
          <t>not_checked</t>
        </is>
      </c>
      <c r="AD372" s="14" t="inlineStr">
        <is>
          <t>pass</t>
        </is>
      </c>
      <c r="AE372" s="14" t="inlineStr">
        <is>
          <t>pass</t>
        </is>
      </c>
      <c r="AF372" s="14" t="inlineStr">
        <is>
          <t>pass</t>
        </is>
      </c>
      <c r="AG372" s="16" t="inlineStr">
        <is>
          <t>warn</t>
        </is>
      </c>
      <c r="AH372" s="16" t="inlineStr">
        <is>
          <t>warn</t>
        </is>
      </c>
      <c r="AI372" s="15" t="inlineStr">
        <is>
          <t>n.a.</t>
        </is>
      </c>
      <c r="AJ372" s="15" t="inlineStr">
        <is>
          <t>n.a.</t>
        </is>
      </c>
      <c r="AK372" s="4" t="inlineStr">
        <is>
          <t>machine_metadata;format_match(warn);persistent_id(warn);join_key(warn);format_gaia(warn)</t>
        </is>
      </c>
      <c r="AL372" s="17" t="inlineStr">
        <is>
          <t>https://water.usgs.gov/nawqa/pnsp/usage/maps/</t>
        </is>
      </c>
      <c r="AM372" s="4" t="inlineStr">
        <is>
          <t>us_usgs_pesticide_use_pnsp</t>
        </is>
      </c>
    </row>
    <row r="373">
      <c r="A373" s="4" t="inlineStr">
        <is>
          <t>National Emissions Inventory (NEI)</t>
        </is>
      </c>
      <c r="B373" s="13" t="inlineStr">
        <is>
          <t>Gold</t>
        </is>
      </c>
      <c r="C373" s="4" t="n">
        <v>93</v>
      </c>
      <c r="D373" s="4" t="inlineStr">
        <is>
          <t>toxics</t>
        </is>
      </c>
      <c r="E373" s="4" t="inlineStr">
        <is>
          <t>healthy</t>
        </is>
      </c>
      <c r="F373" s="4" t="inlineStr">
        <is>
          <t>public_domain_us_federal</t>
        </is>
      </c>
      <c r="G373" s="4" t="inlineStr">
        <is>
          <t>point</t>
        </is>
      </c>
      <c r="H373" s="4" t="inlineStr">
        <is>
          <t>Needs a count/distance step</t>
        </is>
      </c>
      <c r="I373" s="4" t="n">
        <v>3</v>
      </c>
      <c r="J373" s="4" t="inlineStr"/>
      <c r="K373" s="4" t="inlineStr">
        <is>
          <t>Curated</t>
        </is>
      </c>
      <c r="L373" s="4" t="n">
        <v>2020</v>
      </c>
      <c r="M373" s="4" t="inlineStr">
        <is>
          <t>open</t>
        </is>
      </c>
      <c r="N373" s="4" t="inlineStr">
        <is>
          <t>2026-10-29</t>
        </is>
      </c>
      <c r="O373" s="14" t="inlineStr">
        <is>
          <t>pass</t>
        </is>
      </c>
      <c r="P373" s="14" t="inlineStr">
        <is>
          <t>pass</t>
        </is>
      </c>
      <c r="Q373" s="14" t="inlineStr">
        <is>
          <t>pass</t>
        </is>
      </c>
      <c r="R373" s="14" t="inlineStr">
        <is>
          <t>pass</t>
        </is>
      </c>
      <c r="S373" s="14" t="inlineStr">
        <is>
          <t>pass</t>
        </is>
      </c>
      <c r="T373" s="14" t="inlineStr">
        <is>
          <t>pass</t>
        </is>
      </c>
      <c r="U373" s="16" t="inlineStr">
        <is>
          <t>warn</t>
        </is>
      </c>
      <c r="V373" s="16" t="inlineStr">
        <is>
          <t>warn</t>
        </is>
      </c>
      <c r="W373" s="16" t="inlineStr">
        <is>
          <t>warn</t>
        </is>
      </c>
      <c r="X373" s="14" t="inlineStr">
        <is>
          <t>pass</t>
        </is>
      </c>
      <c r="Y373" s="14" t="inlineStr">
        <is>
          <t>pass</t>
        </is>
      </c>
      <c r="Z373" s="14" t="inlineStr">
        <is>
          <t>pass</t>
        </is>
      </c>
      <c r="AA373" s="14" t="inlineStr">
        <is>
          <t>pass</t>
        </is>
      </c>
      <c r="AB373" s="16" t="inlineStr">
        <is>
          <t>warn</t>
        </is>
      </c>
      <c r="AC373" s="16" t="inlineStr">
        <is>
          <t>warn</t>
        </is>
      </c>
      <c r="AD373" s="14" t="inlineStr">
        <is>
          <t>pass</t>
        </is>
      </c>
      <c r="AE373" s="14" t="inlineStr">
        <is>
          <t>pass</t>
        </is>
      </c>
      <c r="AF373" s="14" t="inlineStr">
        <is>
          <t>pass</t>
        </is>
      </c>
      <c r="AG373" s="16" t="inlineStr">
        <is>
          <t>warn</t>
        </is>
      </c>
      <c r="AH373" s="16" t="inlineStr">
        <is>
          <t>warn</t>
        </is>
      </c>
      <c r="AI373" s="15" t="inlineStr">
        <is>
          <t>n.a.</t>
        </is>
      </c>
      <c r="AJ373" s="15" t="inlineStr">
        <is>
          <t>n.a.</t>
        </is>
      </c>
      <c r="AK373" s="4" t="inlineStr">
        <is>
          <t>format_match(warn);machine_metadata(warn);persistent_id(warn);cadence(warn);version(warn);join_key(warn);format_gaia(warn)</t>
        </is>
      </c>
      <c r="AL373" s="17" t="inlineStr">
        <is>
          <t>https://www.epa.gov/air-emissions-inventories/2020-national-emissions-inventory-nei-data</t>
        </is>
      </c>
      <c r="AM373" s="4" t="inlineStr">
        <is>
          <t>us_epa_nei</t>
        </is>
      </c>
    </row>
    <row r="374">
      <c r="A374" s="4" t="inlineStr">
        <is>
          <t>National Oil and Gas Gateway (state well-level data consolidated by EIA/GWPC/DOE)</t>
        </is>
      </c>
      <c r="B374" s="20" t="inlineStr">
        <is>
          <t>Bronze</t>
        </is>
      </c>
      <c r="C374" s="4" t="n">
        <v>66</v>
      </c>
      <c r="D374" s="4" t="inlineStr">
        <is>
          <t>toxics</t>
        </is>
      </c>
      <c r="E374" s="4" t="inlineStr">
        <is>
          <t>degraded</t>
        </is>
      </c>
      <c r="F374" s="4" t="inlineStr">
        <is>
          <t>unknown</t>
        </is>
      </c>
      <c r="G374" s="4" t="inlineStr">
        <is>
          <t>point</t>
        </is>
      </c>
      <c r="H374" s="4" t="inlineStr">
        <is>
          <t>Needs a count/distance step</t>
        </is>
      </c>
      <c r="I374" s="4" t="n">
        <v>3</v>
      </c>
      <c r="J374" s="4" t="inlineStr"/>
      <c r="K374" s="4" t="inlineStr">
        <is>
          <t>Curated</t>
        </is>
      </c>
      <c r="L374" s="4" t="n">
        <v>2017</v>
      </c>
      <c r="M374" s="4" t="inlineStr">
        <is>
          <t>unknown</t>
        </is>
      </c>
      <c r="N374" s="4" t="inlineStr">
        <is>
          <t>2026-10-22</t>
        </is>
      </c>
      <c r="O374" s="14" t="inlineStr">
        <is>
          <t>pass</t>
        </is>
      </c>
      <c r="P374" s="14" t="inlineStr">
        <is>
          <t>pass</t>
        </is>
      </c>
      <c r="Q374" s="14" t="inlineStr">
        <is>
          <t>pass</t>
        </is>
      </c>
      <c r="R374" s="14" t="inlineStr">
        <is>
          <t>pass</t>
        </is>
      </c>
      <c r="S374" s="14" t="inlineStr">
        <is>
          <t>pass</t>
        </is>
      </c>
      <c r="T374" s="15" t="inlineStr">
        <is>
          <t>n.a.</t>
        </is>
      </c>
      <c r="U374" s="15" t="inlineStr">
        <is>
          <t>n.a.</t>
        </is>
      </c>
      <c r="V374" s="18" t="inlineStr">
        <is>
          <t>fail</t>
        </is>
      </c>
      <c r="W374" s="16" t="inlineStr">
        <is>
          <t>warn</t>
        </is>
      </c>
      <c r="X374" s="16" t="inlineStr">
        <is>
          <t>warn</t>
        </is>
      </c>
      <c r="Y374" s="18" t="inlineStr">
        <is>
          <t>fail</t>
        </is>
      </c>
      <c r="Z374" s="16" t="inlineStr">
        <is>
          <t>warn</t>
        </is>
      </c>
      <c r="AA374" s="16" t="inlineStr">
        <is>
          <t>warn</t>
        </is>
      </c>
      <c r="AB374" s="14" t="inlineStr">
        <is>
          <t>pass</t>
        </is>
      </c>
      <c r="AC374" s="15" t="inlineStr">
        <is>
          <t>not_checked</t>
        </is>
      </c>
      <c r="AD374" s="14" t="inlineStr">
        <is>
          <t>pass</t>
        </is>
      </c>
      <c r="AE374" s="14" t="inlineStr">
        <is>
          <t>pass</t>
        </is>
      </c>
      <c r="AF374" s="16" t="inlineStr">
        <is>
          <t>warn</t>
        </is>
      </c>
      <c r="AG374" s="16" t="inlineStr">
        <is>
          <t>warn</t>
        </is>
      </c>
      <c r="AH374" s="16" t="inlineStr">
        <is>
          <t>warn</t>
        </is>
      </c>
      <c r="AI374" s="15" t="inlineStr">
        <is>
          <t>n.a.</t>
        </is>
      </c>
      <c r="AJ374" s="15" t="inlineStr">
        <is>
          <t>n.a.</t>
        </is>
      </c>
      <c r="AK374" s="4" t="inlineStr">
        <is>
          <t>machine_metadata;license;persistent_id(warn);archived(warn);temporal(warn);recency(warn);access(warn);join_key(warn);format_gaia(warn)</t>
        </is>
      </c>
      <c r="AL374" s="17" t="inlineStr">
        <is>
          <t>https://www.eia.gov/pressroom/releases/press449.php</t>
        </is>
      </c>
      <c r="AM374" s="4" t="inlineStr">
        <is>
          <t>us_eia_national_oil_gas_gateway</t>
        </is>
      </c>
    </row>
    <row r="375">
      <c r="A375" s="4" t="inlineStr">
        <is>
          <t>PHMSA Pipeline Incident Flagged Files (serious, significant and all reported incidents)</t>
        </is>
      </c>
      <c r="B375" s="19" t="inlineStr">
        <is>
          <t>Silver</t>
        </is>
      </c>
      <c r="C375" s="4" t="n">
        <v>85</v>
      </c>
      <c r="D375" s="4" t="inlineStr">
        <is>
          <t>toxics</t>
        </is>
      </c>
      <c r="E375" s="4" t="inlineStr">
        <is>
          <t>healthy</t>
        </is>
      </c>
      <c r="F375" s="4" t="inlineStr">
        <is>
          <t>public_domain_us_federal</t>
        </is>
      </c>
      <c r="G375" s="4" t="inlineStr">
        <is>
          <t>county</t>
        </is>
      </c>
      <c r="H375" s="4" t="inlineStr">
        <is>
          <t>Needs a count/distance step</t>
        </is>
      </c>
      <c r="I375" s="4" t="n">
        <v>3</v>
      </c>
      <c r="J375" s="4" t="inlineStr"/>
      <c r="K375" s="4" t="inlineStr">
        <is>
          <t>Curated</t>
        </is>
      </c>
      <c r="L375" s="4" t="n">
        <v>2026</v>
      </c>
      <c r="M375" s="4" t="inlineStr">
        <is>
          <t>open</t>
        </is>
      </c>
      <c r="N375" s="4" t="inlineStr">
        <is>
          <t>2026-10-29</t>
        </is>
      </c>
      <c r="O375" s="14" t="inlineStr">
        <is>
          <t>pass</t>
        </is>
      </c>
      <c r="P375" s="14" t="inlineStr">
        <is>
          <t>pass</t>
        </is>
      </c>
      <c r="Q375" s="14" t="inlineStr">
        <is>
          <t>pass</t>
        </is>
      </c>
      <c r="R375" s="14" t="inlineStr">
        <is>
          <t>pass</t>
        </is>
      </c>
      <c r="S375" s="14" t="inlineStr">
        <is>
          <t>pass</t>
        </is>
      </c>
      <c r="T375" s="14" t="inlineStr">
        <is>
          <t>pass</t>
        </is>
      </c>
      <c r="U375" s="16" t="inlineStr">
        <is>
          <t>warn</t>
        </is>
      </c>
      <c r="V375" s="14" t="inlineStr">
        <is>
          <t>pass</t>
        </is>
      </c>
      <c r="W375" s="16" t="inlineStr">
        <is>
          <t>warn</t>
        </is>
      </c>
      <c r="X375" s="18" t="inlineStr">
        <is>
          <t>fail</t>
        </is>
      </c>
      <c r="Y375" s="14" t="inlineStr">
        <is>
          <t>pass</t>
        </is>
      </c>
      <c r="Z375" s="16" t="inlineStr">
        <is>
          <t>warn</t>
        </is>
      </c>
      <c r="AA375" s="14" t="inlineStr">
        <is>
          <t>pass</t>
        </is>
      </c>
      <c r="AB375" s="15" t="inlineStr">
        <is>
          <t>not_checked</t>
        </is>
      </c>
      <c r="AC375" s="16" t="inlineStr">
        <is>
          <t>warn</t>
        </is>
      </c>
      <c r="AD375" s="16" t="inlineStr">
        <is>
          <t>warn</t>
        </is>
      </c>
      <c r="AE375" s="16" t="inlineStr">
        <is>
          <t>warn</t>
        </is>
      </c>
      <c r="AF375" s="14" t="inlineStr">
        <is>
          <t>pass</t>
        </is>
      </c>
      <c r="AG375" s="16" t="inlineStr">
        <is>
          <t>warn</t>
        </is>
      </c>
      <c r="AH375" s="16" t="inlineStr">
        <is>
          <t>warn</t>
        </is>
      </c>
      <c r="AI375" s="15" t="inlineStr">
        <is>
          <t>n.a.</t>
        </is>
      </c>
      <c r="AJ375" s="15" t="inlineStr">
        <is>
          <t>n.a.</t>
        </is>
      </c>
      <c r="AK375" s="4" t="inlineStr">
        <is>
          <t>archived;format_match(warn);persistent_id(warn);temporal(warn);version(warn);unit(warn);coverage(warn);join_key(warn);format_gaia(warn)</t>
        </is>
      </c>
      <c r="AL375" s="17" t="inlineStr">
        <is>
          <t>https://catalog.data.gov/dataset/pipeline-incident-flagged-files</t>
        </is>
      </c>
      <c r="AM375" s="4" t="inlineStr">
        <is>
          <t>us_phmsa_pipeline_incident_flagged_files</t>
        </is>
      </c>
    </row>
    <row r="376">
      <c r="A376" s="4" t="inlineStr">
        <is>
          <t>Risk Management Program (RMP) regulated facilities</t>
        </is>
      </c>
      <c r="B376" s="19" t="inlineStr">
        <is>
          <t>Silver</t>
        </is>
      </c>
      <c r="C376" s="4" t="n">
        <v>85</v>
      </c>
      <c r="D376" s="4" t="inlineStr">
        <is>
          <t>toxics</t>
        </is>
      </c>
      <c r="E376" s="4" t="inlineStr">
        <is>
          <t>healthy</t>
        </is>
      </c>
      <c r="F376" s="4" t="inlineStr">
        <is>
          <t>public_domain_us_federal</t>
        </is>
      </c>
      <c r="G376" s="4" t="inlineStr">
        <is>
          <t>point</t>
        </is>
      </c>
      <c r="H376" s="4" t="inlineStr">
        <is>
          <t>Needs a count/distance step</t>
        </is>
      </c>
      <c r="I376" s="4" t="n">
        <v>3</v>
      </c>
      <c r="J376" s="4" t="inlineStr"/>
      <c r="K376" s="4" t="inlineStr">
        <is>
          <t>Curated</t>
        </is>
      </c>
      <c r="L376" s="4" t="inlineStr">
        <is>
          <t>current</t>
        </is>
      </c>
      <c r="M376" s="4" t="inlineStr">
        <is>
          <t>restricted</t>
        </is>
      </c>
      <c r="N376" s="4" t="inlineStr">
        <is>
          <t>2026-10-29</t>
        </is>
      </c>
      <c r="O376" s="14" t="inlineStr">
        <is>
          <t>pass</t>
        </is>
      </c>
      <c r="P376" s="14" t="inlineStr">
        <is>
          <t>pass</t>
        </is>
      </c>
      <c r="Q376" s="14" t="inlineStr">
        <is>
          <t>pass</t>
        </is>
      </c>
      <c r="R376" s="14" t="inlineStr">
        <is>
          <t>pass</t>
        </is>
      </c>
      <c r="S376" s="14" t="inlineStr">
        <is>
          <t>pass</t>
        </is>
      </c>
      <c r="T376" s="14" t="inlineStr">
        <is>
          <t>pass</t>
        </is>
      </c>
      <c r="U376" s="16" t="inlineStr">
        <is>
          <t>warn</t>
        </is>
      </c>
      <c r="V376" s="16" t="inlineStr">
        <is>
          <t>warn</t>
        </is>
      </c>
      <c r="W376" s="16" t="inlineStr">
        <is>
          <t>warn</t>
        </is>
      </c>
      <c r="X376" s="14" t="inlineStr">
        <is>
          <t>pass</t>
        </is>
      </c>
      <c r="Y376" s="14" t="inlineStr">
        <is>
          <t>pass</t>
        </is>
      </c>
      <c r="Z376" s="15" t="inlineStr">
        <is>
          <t>not_checked</t>
        </is>
      </c>
      <c r="AA376" s="15" t="inlineStr">
        <is>
          <t>not_checked</t>
        </is>
      </c>
      <c r="AB376" s="16" t="inlineStr">
        <is>
          <t>warn</t>
        </is>
      </c>
      <c r="AC376" s="15" t="inlineStr">
        <is>
          <t>not_checked</t>
        </is>
      </c>
      <c r="AD376" s="14" t="inlineStr">
        <is>
          <t>pass</t>
        </is>
      </c>
      <c r="AE376" s="16" t="inlineStr">
        <is>
          <t>warn</t>
        </is>
      </c>
      <c r="AF376" s="18" t="inlineStr">
        <is>
          <t>fail</t>
        </is>
      </c>
      <c r="AG376" s="15" t="inlineStr">
        <is>
          <t>not_checked</t>
        </is>
      </c>
      <c r="AH376" s="18" t="inlineStr">
        <is>
          <t>fail</t>
        </is>
      </c>
      <c r="AI376" s="15" t="inlineStr">
        <is>
          <t>n.a.</t>
        </is>
      </c>
      <c r="AJ376" s="15" t="inlineStr">
        <is>
          <t>n.a.</t>
        </is>
      </c>
      <c r="AK376" s="4" t="inlineStr">
        <is>
          <t>access;format_gaia;format_match(warn);machine_metadata(warn);persistent_id(warn);cadence(warn);coverage(warn)</t>
        </is>
      </c>
      <c r="AL376" s="17" t="inlineStr">
        <is>
          <t>https://www.epa.gov/rmp</t>
        </is>
      </c>
      <c r="AM376" s="4" t="inlineStr">
        <is>
          <t>us_epa_rmp_facilities</t>
        </is>
      </c>
    </row>
    <row r="377">
      <c r="A377" s="4" t="inlineStr">
        <is>
          <t>Risk-Screening Environmental Indicators (RSEI) Geographic Microdata and EasyRSEI</t>
        </is>
      </c>
      <c r="B377" s="13" t="inlineStr">
        <is>
          <t>Gold</t>
        </is>
      </c>
      <c r="C377" s="4" t="n">
        <v>93</v>
      </c>
      <c r="D377" s="4" t="inlineStr">
        <is>
          <t>toxics</t>
        </is>
      </c>
      <c r="E377" s="4" t="inlineStr">
        <is>
          <t>healthy</t>
        </is>
      </c>
      <c r="F377" s="4" t="inlineStr">
        <is>
          <t>public_domain_us_federal</t>
        </is>
      </c>
      <c r="G377" s="4" t="inlineStr">
        <is>
          <t>grid_810m (810 m x 810 m grid cells; also block group, tract and ZIP aggregations)</t>
        </is>
      </c>
      <c r="H377" s="4" t="inlineStr">
        <is>
          <t>Needs raster support</t>
        </is>
      </c>
      <c r="I377" s="4" t="n">
        <v>3</v>
      </c>
      <c r="J377" s="4" t="inlineStr"/>
      <c r="K377" s="4" t="inlineStr">
        <is>
          <t>Curated</t>
        </is>
      </c>
      <c r="L377" s="4" t="n">
        <v>2022</v>
      </c>
      <c r="M377" s="4" t="inlineStr">
        <is>
          <t>open</t>
        </is>
      </c>
      <c r="N377" s="4" t="inlineStr">
        <is>
          <t>2026-10-29</t>
        </is>
      </c>
      <c r="O377" s="14" t="inlineStr">
        <is>
          <t>pass</t>
        </is>
      </c>
      <c r="P377" s="14" t="inlineStr">
        <is>
          <t>pass</t>
        </is>
      </c>
      <c r="Q377" s="14" t="inlineStr">
        <is>
          <t>pass</t>
        </is>
      </c>
      <c r="R377" s="14" t="inlineStr">
        <is>
          <t>pass</t>
        </is>
      </c>
      <c r="S377" s="14" t="inlineStr">
        <is>
          <t>pass</t>
        </is>
      </c>
      <c r="T377" s="14" t="inlineStr">
        <is>
          <t>pass</t>
        </is>
      </c>
      <c r="U377" s="14" t="inlineStr">
        <is>
          <t>pass</t>
        </is>
      </c>
      <c r="V377" s="16" t="inlineStr">
        <is>
          <t>warn</t>
        </is>
      </c>
      <c r="W377" s="16" t="inlineStr">
        <is>
          <t>warn</t>
        </is>
      </c>
      <c r="X377" s="14" t="inlineStr">
        <is>
          <t>pass</t>
        </is>
      </c>
      <c r="Y377" s="14" t="inlineStr">
        <is>
          <t>pass</t>
        </is>
      </c>
      <c r="Z377" s="14" t="inlineStr">
        <is>
          <t>pass</t>
        </is>
      </c>
      <c r="AA377" s="14" t="inlineStr">
        <is>
          <t>pass</t>
        </is>
      </c>
      <c r="AB377" s="16" t="inlineStr">
        <is>
          <t>warn</t>
        </is>
      </c>
      <c r="AC377" s="14" t="inlineStr">
        <is>
          <t>pass</t>
        </is>
      </c>
      <c r="AD377" s="14" t="inlineStr">
        <is>
          <t>pass</t>
        </is>
      </c>
      <c r="AE377" s="14" t="inlineStr">
        <is>
          <t>pass</t>
        </is>
      </c>
      <c r="AF377" s="14" t="inlineStr">
        <is>
          <t>pass</t>
        </is>
      </c>
      <c r="AG377" s="16" t="inlineStr">
        <is>
          <t>warn</t>
        </is>
      </c>
      <c r="AH377" s="14" t="inlineStr">
        <is>
          <t>pass</t>
        </is>
      </c>
      <c r="AI377" s="15" t="inlineStr">
        <is>
          <t>n.a.</t>
        </is>
      </c>
      <c r="AJ377" s="15" t="inlineStr">
        <is>
          <t>n.a.</t>
        </is>
      </c>
      <c r="AK377" s="4" t="inlineStr">
        <is>
          <t>machine_metadata(warn);persistent_id(warn);cadence(warn);join_key(warn)</t>
        </is>
      </c>
      <c r="AL377" s="17" t="inlineStr">
        <is>
          <t>https://www.epa.gov/rsei/ways-get-rsei-results</t>
        </is>
      </c>
      <c r="AM377" s="4" t="inlineStr">
        <is>
          <t>us_epa_rsei</t>
        </is>
      </c>
    </row>
    <row r="378">
      <c r="A378" s="4" t="inlineStr">
        <is>
          <t>RSEI Geographic Microdata (RSEI-GM)</t>
        </is>
      </c>
      <c r="B378" s="13" t="inlineStr">
        <is>
          <t>Gold</t>
        </is>
      </c>
      <c r="C378" s="4" t="n">
        <v>93</v>
      </c>
      <c r="D378" s="4" t="inlineStr">
        <is>
          <t>toxics</t>
        </is>
      </c>
      <c r="E378" s="4" t="inlineStr">
        <is>
          <t>healthy</t>
        </is>
      </c>
      <c r="F378" s="4" t="inlineStr">
        <is>
          <t>public_domain_us_federal</t>
        </is>
      </c>
      <c r="G378" s="4" t="inlineStr">
        <is>
          <t>grid_810m</t>
        </is>
      </c>
      <c r="H378" s="4" t="inlineStr">
        <is>
          <t>Needs raster support</t>
        </is>
      </c>
      <c r="I378" s="4" t="n">
        <v>3</v>
      </c>
      <c r="J378" s="4" t="inlineStr"/>
      <c r="K378" s="4" t="inlineStr">
        <is>
          <t>Curated</t>
        </is>
      </c>
      <c r="L378" s="4" t="n">
        <v>2022</v>
      </c>
      <c r="M378" s="4" t="inlineStr">
        <is>
          <t>open</t>
        </is>
      </c>
      <c r="N378" s="4" t="inlineStr">
        <is>
          <t>2026-10-29</t>
        </is>
      </c>
      <c r="O378" s="14" t="inlineStr">
        <is>
          <t>pass</t>
        </is>
      </c>
      <c r="P378" s="14" t="inlineStr">
        <is>
          <t>pass</t>
        </is>
      </c>
      <c r="Q378" s="14" t="inlineStr">
        <is>
          <t>pass</t>
        </is>
      </c>
      <c r="R378" s="14" t="inlineStr">
        <is>
          <t>pass</t>
        </is>
      </c>
      <c r="S378" s="14" t="inlineStr">
        <is>
          <t>pass</t>
        </is>
      </c>
      <c r="T378" s="15" t="inlineStr">
        <is>
          <t>n.a.</t>
        </is>
      </c>
      <c r="U378" s="15" t="inlineStr">
        <is>
          <t>n.a.</t>
        </is>
      </c>
      <c r="V378" s="16" t="inlineStr">
        <is>
          <t>warn</t>
        </is>
      </c>
      <c r="W378" s="16" t="inlineStr">
        <is>
          <t>warn</t>
        </is>
      </c>
      <c r="X378" s="14" t="inlineStr">
        <is>
          <t>pass</t>
        </is>
      </c>
      <c r="Y378" s="14" t="inlineStr">
        <is>
          <t>pass</t>
        </is>
      </c>
      <c r="Z378" s="14" t="inlineStr">
        <is>
          <t>pass</t>
        </is>
      </c>
      <c r="AA378" s="14" t="inlineStr">
        <is>
          <t>pass</t>
        </is>
      </c>
      <c r="AB378" s="14" t="inlineStr">
        <is>
          <t>pass</t>
        </is>
      </c>
      <c r="AC378" s="14" t="inlineStr">
        <is>
          <t>pass</t>
        </is>
      </c>
      <c r="AD378" s="14" t="inlineStr">
        <is>
          <t>pass</t>
        </is>
      </c>
      <c r="AE378" s="16" t="inlineStr">
        <is>
          <t>warn</t>
        </is>
      </c>
      <c r="AF378" s="14" t="inlineStr">
        <is>
          <t>pass</t>
        </is>
      </c>
      <c r="AG378" s="16" t="inlineStr">
        <is>
          <t>warn</t>
        </is>
      </c>
      <c r="AH378" s="16" t="inlineStr">
        <is>
          <t>warn</t>
        </is>
      </c>
      <c r="AI378" s="15" t="inlineStr">
        <is>
          <t>n.a.</t>
        </is>
      </c>
      <c r="AJ378" s="15" t="inlineStr">
        <is>
          <t>n.a.</t>
        </is>
      </c>
      <c r="AK378" s="4" t="inlineStr">
        <is>
          <t>machine_metadata(warn);persistent_id(warn);coverage(warn);join_key(warn);format_gaia(warn)</t>
        </is>
      </c>
      <c r="AL378" s="17" t="inlineStr">
        <is>
          <t>https://www.epa.gov/rsei/rsei-geographic-microdata-rsei-gm</t>
        </is>
      </c>
      <c r="AM378" s="4" t="inlineStr">
        <is>
          <t>us_epa_rsei_gm</t>
        </is>
      </c>
    </row>
    <row r="379">
      <c r="A379" s="4" t="inlineStr">
        <is>
          <t>SDWIS Service Line Inventory report (lead service lines by state/system)</t>
        </is>
      </c>
      <c r="B379" s="19" t="inlineStr">
        <is>
          <t>Silver</t>
        </is>
      </c>
      <c r="C379" s="4" t="n">
        <v>91</v>
      </c>
      <c r="D379" s="4" t="inlineStr">
        <is>
          <t>toxics</t>
        </is>
      </c>
      <c r="E379" s="4" t="inlineStr">
        <is>
          <t>degraded</t>
        </is>
      </c>
      <c r="F379" s="4" t="inlineStr">
        <is>
          <t>public_domain_us_federal</t>
        </is>
      </c>
      <c r="G379" s="4" t="inlineStr">
        <is>
          <t>admin1 (state / primacy agency; counts also by public water system, which is not a geographic unit)</t>
        </is>
      </c>
      <c r="H379" s="4" t="inlineStr">
        <is>
          <t>Joins today</t>
        </is>
      </c>
      <c r="I379" s="4" t="n">
        <v>3</v>
      </c>
      <c r="J379" s="4" t="inlineStr"/>
      <c r="K379" s="4" t="inlineStr">
        <is>
          <t>Curated</t>
        </is>
      </c>
      <c r="L379" s="4" t="n">
        <v>2026</v>
      </c>
      <c r="M379" s="4" t="inlineStr">
        <is>
          <t>open</t>
        </is>
      </c>
      <c r="N379" s="4" t="inlineStr">
        <is>
          <t>2026-10-29</t>
        </is>
      </c>
      <c r="O379" s="14" t="inlineStr">
        <is>
          <t>pass</t>
        </is>
      </c>
      <c r="P379" s="14" t="inlineStr">
        <is>
          <t>pass</t>
        </is>
      </c>
      <c r="Q379" s="14" t="inlineStr">
        <is>
          <t>pass</t>
        </is>
      </c>
      <c r="R379" s="14" t="inlineStr">
        <is>
          <t>pass</t>
        </is>
      </c>
      <c r="S379" s="14" t="inlineStr">
        <is>
          <t>pass</t>
        </is>
      </c>
      <c r="T379" s="14" t="inlineStr">
        <is>
          <t>pass</t>
        </is>
      </c>
      <c r="U379" s="14" t="inlineStr">
        <is>
          <t>pass</t>
        </is>
      </c>
      <c r="V379" s="18" t="inlineStr">
        <is>
          <t>fail</t>
        </is>
      </c>
      <c r="W379" s="16" t="inlineStr">
        <is>
          <t>warn</t>
        </is>
      </c>
      <c r="X379" s="14" t="inlineStr">
        <is>
          <t>pass</t>
        </is>
      </c>
      <c r="Y379" s="14" t="inlineStr">
        <is>
          <t>pass</t>
        </is>
      </c>
      <c r="Z379" s="14" t="inlineStr">
        <is>
          <t>pass</t>
        </is>
      </c>
      <c r="AA379" s="14" t="inlineStr">
        <is>
          <t>pass</t>
        </is>
      </c>
      <c r="AB379" s="16" t="inlineStr">
        <is>
          <t>warn</t>
        </is>
      </c>
      <c r="AC379" s="15" t="inlineStr">
        <is>
          <t>not_checked</t>
        </is>
      </c>
      <c r="AD379" s="14" t="inlineStr">
        <is>
          <t>pass</t>
        </is>
      </c>
      <c r="AE379" s="14" t="inlineStr">
        <is>
          <t>pass</t>
        </is>
      </c>
      <c r="AF379" s="14" t="inlineStr">
        <is>
          <t>pass</t>
        </is>
      </c>
      <c r="AG379" s="16" t="inlineStr">
        <is>
          <t>warn</t>
        </is>
      </c>
      <c r="AH379" s="16" t="inlineStr">
        <is>
          <t>warn</t>
        </is>
      </c>
      <c r="AI379" s="15" t="inlineStr">
        <is>
          <t>n.a.</t>
        </is>
      </c>
      <c r="AJ379" s="15" t="inlineStr">
        <is>
          <t>n.a.</t>
        </is>
      </c>
      <c r="AK379" s="4" t="inlineStr">
        <is>
          <t>machine_metadata;persistent_id(warn);cadence(warn);join_key(warn);format_gaia(warn)</t>
        </is>
      </c>
      <c r="AL379" s="17" t="inlineStr">
        <is>
          <t>https://sdwis.epa.gov/ords/sfdw_pub/r/sfdw/sdwis_fed_reports_public/service-line-inventory</t>
        </is>
      </c>
      <c r="AM379" s="4" t="inlineStr">
        <is>
          <t>us_epa_sdwis_lead_service_line_inventory</t>
        </is>
      </c>
    </row>
    <row r="380">
      <c r="A380" s="4" t="inlineStr">
        <is>
          <t>Toxics Release Inventory (TRI) Basic Data Files</t>
        </is>
      </c>
      <c r="B380" s="13" t="inlineStr">
        <is>
          <t>Gold</t>
        </is>
      </c>
      <c r="C380" s="4" t="n">
        <v>98</v>
      </c>
      <c r="D380" s="4" t="inlineStr">
        <is>
          <t>toxics</t>
        </is>
      </c>
      <c r="E380" s="4" t="inlineStr">
        <is>
          <t>healthy</t>
        </is>
      </c>
      <c r="F380" s="4" t="inlineStr">
        <is>
          <t>public_domain_us_federal</t>
        </is>
      </c>
      <c r="G380" s="4" t="inlineStr">
        <is>
          <t>point</t>
        </is>
      </c>
      <c r="H380" s="4" t="inlineStr">
        <is>
          <t>Needs a count/distance step</t>
        </is>
      </c>
      <c r="I380" s="4" t="n">
        <v>3</v>
      </c>
      <c r="J380" s="4" t="inlineStr"/>
      <c r="K380" s="4" t="inlineStr">
        <is>
          <t>Curated</t>
        </is>
      </c>
      <c r="L380" s="4" t="n">
        <v>2024</v>
      </c>
      <c r="M380" s="4" t="inlineStr">
        <is>
          <t>open</t>
        </is>
      </c>
      <c r="N380" s="4" t="inlineStr">
        <is>
          <t>2026-10-29</t>
        </is>
      </c>
      <c r="O380" s="14" t="inlineStr">
        <is>
          <t>pass</t>
        </is>
      </c>
      <c r="P380" s="14" t="inlineStr">
        <is>
          <t>pass</t>
        </is>
      </c>
      <c r="Q380" s="14" t="inlineStr">
        <is>
          <t>pass</t>
        </is>
      </c>
      <c r="R380" s="14" t="inlineStr">
        <is>
          <t>pass</t>
        </is>
      </c>
      <c r="S380" s="14" t="inlineStr">
        <is>
          <t>pass</t>
        </is>
      </c>
      <c r="T380" s="14" t="inlineStr">
        <is>
          <t>pass</t>
        </is>
      </c>
      <c r="U380" s="16" t="inlineStr">
        <is>
          <t>warn</t>
        </is>
      </c>
      <c r="V380" s="16" t="inlineStr">
        <is>
          <t>warn</t>
        </is>
      </c>
      <c r="W380" s="16" t="inlineStr">
        <is>
          <t>warn</t>
        </is>
      </c>
      <c r="X380" s="14" t="inlineStr">
        <is>
          <t>pass</t>
        </is>
      </c>
      <c r="Y380" s="14" t="inlineStr">
        <is>
          <t>pass</t>
        </is>
      </c>
      <c r="Z380" s="14" t="inlineStr">
        <is>
          <t>pass</t>
        </is>
      </c>
      <c r="AA380" s="14" t="inlineStr">
        <is>
          <t>pass</t>
        </is>
      </c>
      <c r="AB380" s="16" t="inlineStr">
        <is>
          <t>warn</t>
        </is>
      </c>
      <c r="AC380" s="16" t="inlineStr">
        <is>
          <t>warn</t>
        </is>
      </c>
      <c r="AD380" s="14" t="inlineStr">
        <is>
          <t>pass</t>
        </is>
      </c>
      <c r="AE380" s="14" t="inlineStr">
        <is>
          <t>pass</t>
        </is>
      </c>
      <c r="AF380" s="14" t="inlineStr">
        <is>
          <t>pass</t>
        </is>
      </c>
      <c r="AG380" s="14" t="inlineStr">
        <is>
          <t>pass</t>
        </is>
      </c>
      <c r="AH380" s="14" t="inlineStr">
        <is>
          <t>pass</t>
        </is>
      </c>
      <c r="AI380" s="15" t="inlineStr">
        <is>
          <t>n.a.</t>
        </is>
      </c>
      <c r="AJ380" s="15" t="inlineStr">
        <is>
          <t>n.a.</t>
        </is>
      </c>
      <c r="AK380" s="4" t="inlineStr">
        <is>
          <t>format_match(warn);machine_metadata(warn);persistent_id(warn);cadence(warn);version(warn)</t>
        </is>
      </c>
      <c r="AL380" s="17" t="inlineStr">
        <is>
          <t>https://www.epa.gov/toxics-release-inventory-tri-program/tri-basic-data-files-calendar-years-1987-present</t>
        </is>
      </c>
      <c r="AM380" s="4" t="inlineStr">
        <is>
          <t>us_epa_tri</t>
        </is>
      </c>
    </row>
    <row r="381">
      <c r="A381" s="4" t="inlineStr">
        <is>
          <t>Unregulated Contaminant Monitoring Rule (UCMR) Occurrence Data</t>
        </is>
      </c>
      <c r="B381" s="19" t="inlineStr">
        <is>
          <t>Silver</t>
        </is>
      </c>
      <c r="C381" s="4" t="n">
        <v>93</v>
      </c>
      <c r="D381" s="4" t="inlineStr">
        <is>
          <t>toxics</t>
        </is>
      </c>
      <c r="E381" s="4" t="inlineStr">
        <is>
          <t>healthy</t>
        </is>
      </c>
      <c r="F381" s="4" t="inlineStr">
        <is>
          <t>public_domain_us_federal</t>
        </is>
      </c>
      <c r="G381" s="4" t="inlineStr">
        <is>
          <t>admin1 (state; results are per public water system, PWS ID, which is not a geographic unit)</t>
        </is>
      </c>
      <c r="H381" s="4" t="inlineStr">
        <is>
          <t>Joins today</t>
        </is>
      </c>
      <c r="I381" s="4" t="n">
        <v>3</v>
      </c>
      <c r="J381" s="4" t="inlineStr"/>
      <c r="K381" s="4" t="inlineStr">
        <is>
          <t>Curated</t>
        </is>
      </c>
      <c r="L381" s="4" t="n">
        <v>2025</v>
      </c>
      <c r="M381" s="4" t="inlineStr">
        <is>
          <t>open</t>
        </is>
      </c>
      <c r="N381" s="4" t="inlineStr">
        <is>
          <t>2026-10-29</t>
        </is>
      </c>
      <c r="O381" s="14" t="inlineStr">
        <is>
          <t>pass</t>
        </is>
      </c>
      <c r="P381" s="14" t="inlineStr">
        <is>
          <t>pass</t>
        </is>
      </c>
      <c r="Q381" s="14" t="inlineStr">
        <is>
          <t>pass</t>
        </is>
      </c>
      <c r="R381" s="14" t="inlineStr">
        <is>
          <t>pass</t>
        </is>
      </c>
      <c r="S381" s="14" t="inlineStr">
        <is>
          <t>pass</t>
        </is>
      </c>
      <c r="T381" s="14" t="inlineStr">
        <is>
          <t>pass</t>
        </is>
      </c>
      <c r="U381" s="16" t="inlineStr">
        <is>
          <t>warn</t>
        </is>
      </c>
      <c r="V381" s="16" t="inlineStr">
        <is>
          <t>warn</t>
        </is>
      </c>
      <c r="W381" s="16" t="inlineStr">
        <is>
          <t>warn</t>
        </is>
      </c>
      <c r="X381" s="14" t="inlineStr">
        <is>
          <t>pass</t>
        </is>
      </c>
      <c r="Y381" s="14" t="inlineStr">
        <is>
          <t>pass</t>
        </is>
      </c>
      <c r="Z381" s="14" t="inlineStr">
        <is>
          <t>pass</t>
        </is>
      </c>
      <c r="AA381" s="14" t="inlineStr">
        <is>
          <t>pass</t>
        </is>
      </c>
      <c r="AB381" s="16" t="inlineStr">
        <is>
          <t>warn</t>
        </is>
      </c>
      <c r="AC381" s="14" t="inlineStr">
        <is>
          <t>pass</t>
        </is>
      </c>
      <c r="AD381" s="14" t="inlineStr">
        <is>
          <t>pass</t>
        </is>
      </c>
      <c r="AE381" s="16" t="inlineStr">
        <is>
          <t>warn</t>
        </is>
      </c>
      <c r="AF381" s="14" t="inlineStr">
        <is>
          <t>pass</t>
        </is>
      </c>
      <c r="AG381" s="16" t="inlineStr">
        <is>
          <t>warn</t>
        </is>
      </c>
      <c r="AH381" s="16" t="inlineStr">
        <is>
          <t>warn</t>
        </is>
      </c>
      <c r="AI381" s="15" t="inlineStr">
        <is>
          <t>n.a.</t>
        </is>
      </c>
      <c r="AJ381" s="15" t="inlineStr">
        <is>
          <t>n.a.</t>
        </is>
      </c>
      <c r="AK381" s="4" t="inlineStr">
        <is>
          <t>format_match(warn);machine_metadata(warn);persistent_id(warn);cadence(warn);coverage(warn);join_key(warn);format_gaia(warn)</t>
        </is>
      </c>
      <c r="AL381" s="17" t="inlineStr">
        <is>
          <t>https://www.epa.gov/dwucmr/occurrence-data-unregulated-contaminant-monitoring-rule</t>
        </is>
      </c>
      <c r="AM381" s="4" t="inlineStr">
        <is>
          <t>us_epa_ucmr</t>
        </is>
      </c>
    </row>
    <row r="382">
      <c r="A382" s="4" t="inlineStr">
        <is>
          <t>USMIN Mineral Deposit Database, Abandoned Mine Lands Inventory and prospect/mine features from topographic maps</t>
        </is>
      </c>
      <c r="B382" s="13" t="inlineStr">
        <is>
          <t>Gold</t>
        </is>
      </c>
      <c r="C382" s="4" t="n">
        <v>98</v>
      </c>
      <c r="D382" s="4" t="inlineStr">
        <is>
          <t>toxics</t>
        </is>
      </c>
      <c r="E382" s="4" t="inlineStr">
        <is>
          <t>healthy</t>
        </is>
      </c>
      <c r="F382" s="4" t="inlineStr">
        <is>
          <t>public_domain_us_federal</t>
        </is>
      </c>
      <c r="G382" s="4" t="inlineStr">
        <is>
          <t>point</t>
        </is>
      </c>
      <c r="H382" s="4" t="inlineStr">
        <is>
          <t>Needs a count/distance step</t>
        </is>
      </c>
      <c r="I382" s="4" t="n">
        <v>3</v>
      </c>
      <c r="J382" s="4" t="inlineStr"/>
      <c r="K382" s="4" t="inlineStr">
        <is>
          <t>Curated</t>
        </is>
      </c>
      <c r="L382" s="4" t="n">
        <v>2026</v>
      </c>
      <c r="M382" s="4" t="inlineStr">
        <is>
          <t>open</t>
        </is>
      </c>
      <c r="N382" s="4" t="inlineStr">
        <is>
          <t>2026-10-29</t>
        </is>
      </c>
      <c r="O382" s="14" t="inlineStr">
        <is>
          <t>pass</t>
        </is>
      </c>
      <c r="P382" s="14" t="inlineStr">
        <is>
          <t>pass</t>
        </is>
      </c>
      <c r="Q382" s="14" t="inlineStr">
        <is>
          <t>pass</t>
        </is>
      </c>
      <c r="R382" s="14" t="inlineStr">
        <is>
          <t>pass</t>
        </is>
      </c>
      <c r="S382" s="14" t="inlineStr">
        <is>
          <t>pass</t>
        </is>
      </c>
      <c r="T382" s="14" t="inlineStr">
        <is>
          <t>pass</t>
        </is>
      </c>
      <c r="U382" s="16" t="inlineStr">
        <is>
          <t>warn</t>
        </is>
      </c>
      <c r="V382" s="16" t="inlineStr">
        <is>
          <t>warn</t>
        </is>
      </c>
      <c r="W382" s="14" t="inlineStr">
        <is>
          <t>pass</t>
        </is>
      </c>
      <c r="X382" s="14" t="inlineStr">
        <is>
          <t>pass</t>
        </is>
      </c>
      <c r="Y382" s="14" t="inlineStr">
        <is>
          <t>pass</t>
        </is>
      </c>
      <c r="Z382" s="14" t="inlineStr">
        <is>
          <t>pass</t>
        </is>
      </c>
      <c r="AA382" s="14" t="inlineStr">
        <is>
          <t>pass</t>
        </is>
      </c>
      <c r="AB382" s="16" t="inlineStr">
        <is>
          <t>warn</t>
        </is>
      </c>
      <c r="AC382" s="14" t="inlineStr">
        <is>
          <t>pass</t>
        </is>
      </c>
      <c r="AD382" s="14" t="inlineStr">
        <is>
          <t>pass</t>
        </is>
      </c>
      <c r="AE382" s="16" t="inlineStr">
        <is>
          <t>warn</t>
        </is>
      </c>
      <c r="AF382" s="14" t="inlineStr">
        <is>
          <t>pass</t>
        </is>
      </c>
      <c r="AG382" s="14" t="inlineStr">
        <is>
          <t>pass</t>
        </is>
      </c>
      <c r="AH382" s="14" t="inlineStr">
        <is>
          <t>pass</t>
        </is>
      </c>
      <c r="AI382" s="15" t="inlineStr">
        <is>
          <t>n.a.</t>
        </is>
      </c>
      <c r="AJ382" s="15" t="inlineStr">
        <is>
          <t>n.a.</t>
        </is>
      </c>
      <c r="AK382" s="4" t="inlineStr">
        <is>
          <t>format_match(warn);machine_metadata(warn);cadence(warn);coverage(warn)</t>
        </is>
      </c>
      <c r="AL382" s="17" t="inlineStr">
        <is>
          <t>https://www.usgs.gov/centers/gggsc/science/usmin-mineral-deposit-database</t>
        </is>
      </c>
      <c r="AM382" s="4" t="inlineStr">
        <is>
          <t>us_usgs_usmin_mines</t>
        </is>
      </c>
    </row>
    <row r="383">
      <c r="A383" s="4" t="inlineStr">
        <is>
          <t>Basi territoriali e variabili censuarie (sezioni di censimento)</t>
        </is>
      </c>
      <c r="B383" s="21" t="inlineStr">
        <is>
          <t>Browser needed</t>
        </is>
      </c>
      <c r="C383" s="4" t="n">
        <v>0</v>
      </c>
      <c r="D383" s="4" t="inlineStr">
        <is>
          <t>boundaries</t>
        </is>
      </c>
      <c r="E383" s="4" t="inlineStr">
        <is>
          <t>blocked</t>
        </is>
      </c>
      <c r="F383" s="4" t="inlineStr">
        <is>
          <t>not checked</t>
        </is>
      </c>
      <c r="G383" s="4" t="inlineStr">
        <is>
          <t>unknown</t>
        </is>
      </c>
      <c r="H383" s="4" t="inlineStr">
        <is>
          <t>Unknown</t>
        </is>
      </c>
      <c r="I383" s="4" t="n">
        <v>1</v>
      </c>
      <c r="J383" s="4" t="inlineStr"/>
      <c r="K383" s="4" t="inlineStr">
        <is>
          <t>Curated</t>
        </is>
      </c>
      <c r="L383" s="4" t="n">
        <v>2021</v>
      </c>
      <c r="M383" s="4" t="inlineStr">
        <is>
          <t>open</t>
        </is>
      </c>
      <c r="N383" s="4" t="inlineStr">
        <is>
          <t>2026-10-22</t>
        </is>
      </c>
      <c r="O383" s="18" t="inlineStr">
        <is>
          <t>fail</t>
        </is>
      </c>
      <c r="P383" s="15" t="inlineStr">
        <is>
          <t>n.a.</t>
        </is>
      </c>
      <c r="Q383" s="18" t="inlineStr">
        <is>
          <t>fail</t>
        </is>
      </c>
      <c r="R383" s="15" t="inlineStr">
        <is>
          <t>n.a.</t>
        </is>
      </c>
      <c r="S383" s="15" t="inlineStr">
        <is>
          <t>n.a.</t>
        </is>
      </c>
      <c r="T383" s="15" t="inlineStr">
        <is>
          <t>n.a.</t>
        </is>
      </c>
      <c r="U383" s="15" t="inlineStr">
        <is>
          <t>n.a.</t>
        </is>
      </c>
      <c r="V383" s="15" t="inlineStr">
        <is>
          <t>n.a.</t>
        </is>
      </c>
      <c r="W383" s="15" t="inlineStr">
        <is>
          <t>not_checked</t>
        </is>
      </c>
      <c r="X383" s="14" t="inlineStr">
        <is>
          <t>pass</t>
        </is>
      </c>
      <c r="Y383" s="15" t="inlineStr">
        <is>
          <t>not_checked</t>
        </is>
      </c>
      <c r="Z383" s="15" t="inlineStr">
        <is>
          <t>not_checked</t>
        </is>
      </c>
      <c r="AA383" s="15" t="inlineStr">
        <is>
          <t>not_checked</t>
        </is>
      </c>
      <c r="AB383" s="15" t="inlineStr">
        <is>
          <t>not_checked</t>
        </is>
      </c>
      <c r="AC383" s="15" t="inlineStr">
        <is>
          <t>not_checked</t>
        </is>
      </c>
      <c r="AD383" s="15" t="inlineStr">
        <is>
          <t>not_checked</t>
        </is>
      </c>
      <c r="AE383" s="15" t="inlineStr">
        <is>
          <t>not_checked</t>
        </is>
      </c>
      <c r="AF383" s="15" t="inlineStr">
        <is>
          <t>not_checked</t>
        </is>
      </c>
      <c r="AG383" s="15" t="inlineStr">
        <is>
          <t>not_checked</t>
        </is>
      </c>
      <c r="AH383" s="15" t="inlineStr">
        <is>
          <t>not_checked</t>
        </is>
      </c>
      <c r="AI383" s="15" t="inlineStr">
        <is>
          <t>n.a.</t>
        </is>
      </c>
      <c r="AJ383" s="15" t="inlineStr">
        <is>
          <t>n.a.</t>
        </is>
      </c>
      <c r="AK383" s="4" t="inlineStr">
        <is>
          <t>link_live;tls</t>
        </is>
      </c>
      <c r="AL383" s="17" t="inlineStr">
        <is>
          <t>https://www.istat.it/notizia/basi-territoriali-e-variabili-censuarie/</t>
        </is>
      </c>
      <c r="AM383" s="4" t="inlineStr">
        <is>
          <t>it_istat_basi_territoriali</t>
        </is>
      </c>
    </row>
    <row r="384">
      <c r="A384" s="4" t="inlineStr">
        <is>
          <t>Centros Poblados (capital distrital, capital provincial, centros poblados, dispersos) (IDEP/IGN/INEI)</t>
        </is>
      </c>
      <c r="B384" s="21" t="inlineStr">
        <is>
          <t>Browser needed</t>
        </is>
      </c>
      <c r="C384" s="4" t="n">
        <v>50</v>
      </c>
      <c r="D384" s="4" t="inlineStr">
        <is>
          <t>boundaries</t>
        </is>
      </c>
      <c r="E384" s="4" t="inlineStr">
        <is>
          <t>blocked</t>
        </is>
      </c>
      <c r="F384" s="4" t="inlineStr">
        <is>
          <t>not checked</t>
        </is>
      </c>
      <c r="G384" s="4" t="inlineStr">
        <is>
          <t>unknown</t>
        </is>
      </c>
      <c r="H384" s="4" t="inlineStr">
        <is>
          <t>Unknown</t>
        </is>
      </c>
      <c r="I384" s="4" t="n">
        <v>1</v>
      </c>
      <c r="J384" s="4" t="inlineStr"/>
      <c r="K384" s="4" t="inlineStr">
        <is>
          <t>Curated</t>
        </is>
      </c>
      <c r="L384" s="4" t="inlineStr"/>
      <c r="M384" s="4" t="inlineStr">
        <is>
          <t>unknown</t>
        </is>
      </c>
      <c r="N384" s="4" t="inlineStr">
        <is>
          <t>2026-10-22</t>
        </is>
      </c>
      <c r="O384" s="16" t="inlineStr">
        <is>
          <t>warn</t>
        </is>
      </c>
      <c r="P384" s="15" t="inlineStr">
        <is>
          <t>n.a.</t>
        </is>
      </c>
      <c r="Q384" s="15" t="inlineStr">
        <is>
          <t>n.a.</t>
        </is>
      </c>
      <c r="R384" s="15" t="inlineStr">
        <is>
          <t>n.a.</t>
        </is>
      </c>
      <c r="S384" s="15" t="inlineStr">
        <is>
          <t>n.a.</t>
        </is>
      </c>
      <c r="T384" s="15" t="inlineStr">
        <is>
          <t>n.a.</t>
        </is>
      </c>
      <c r="U384" s="15" t="inlineStr">
        <is>
          <t>n.a.</t>
        </is>
      </c>
      <c r="V384" s="15" t="inlineStr">
        <is>
          <t>n.a.</t>
        </is>
      </c>
      <c r="W384" s="15" t="inlineStr">
        <is>
          <t>not_checked</t>
        </is>
      </c>
      <c r="X384" s="14" t="inlineStr">
        <is>
          <t>pass</t>
        </is>
      </c>
      <c r="Y384" s="15" t="inlineStr">
        <is>
          <t>not_checked</t>
        </is>
      </c>
      <c r="Z384" s="15" t="inlineStr">
        <is>
          <t>not_checked</t>
        </is>
      </c>
      <c r="AA384" s="15" t="inlineStr">
        <is>
          <t>not_checked</t>
        </is>
      </c>
      <c r="AB384" s="15" t="inlineStr">
        <is>
          <t>not_checked</t>
        </is>
      </c>
      <c r="AC384" s="15" t="inlineStr">
        <is>
          <t>not_checked</t>
        </is>
      </c>
      <c r="AD384" s="15" t="inlineStr">
        <is>
          <t>not_checked</t>
        </is>
      </c>
      <c r="AE384" s="15" t="inlineStr">
        <is>
          <t>not_checked</t>
        </is>
      </c>
      <c r="AF384" s="15" t="inlineStr">
        <is>
          <t>not_checked</t>
        </is>
      </c>
      <c r="AG384" s="15" t="inlineStr">
        <is>
          <t>not_checked</t>
        </is>
      </c>
      <c r="AH384" s="15" t="inlineStr">
        <is>
          <t>not_checked</t>
        </is>
      </c>
      <c r="AI384" s="15" t="inlineStr">
        <is>
          <t>n.a.</t>
        </is>
      </c>
      <c r="AJ384" s="15" t="inlineStr">
        <is>
          <t>n.a.</t>
        </is>
      </c>
      <c r="AK384" s="4" t="inlineStr">
        <is>
          <t>link_live(warn)</t>
        </is>
      </c>
      <c r="AL384" s="17" t="inlineStr">
        <is>
          <t>https://www.idep.gob.pe/geoportal/rest/services/DATOS_GEOESPACIALES/CENTROS_POBLADOS/FeatureServer/2</t>
        </is>
      </c>
      <c r="AM384" s="4" t="inlineStr">
        <is>
          <t>pe_idep_centros_poblados</t>
        </is>
      </c>
    </row>
    <row r="385">
      <c r="A385" s="4" t="inlineStr">
        <is>
          <t>City of Miami Comission Districts</t>
        </is>
      </c>
      <c r="B385" s="21" t="inlineStr">
        <is>
          <t>Browser needed</t>
        </is>
      </c>
      <c r="C385" s="4" t="n">
        <v>86</v>
      </c>
      <c r="D385" s="4" t="inlineStr">
        <is>
          <t>boundaries</t>
        </is>
      </c>
      <c r="E385" s="4" t="inlineStr">
        <is>
          <t>blocked</t>
        </is>
      </c>
      <c r="F385" s="4" t="inlineStr">
        <is>
          <t>unknown</t>
        </is>
      </c>
      <c r="G385" s="4" t="inlineStr">
        <is>
          <t>unknown</t>
        </is>
      </c>
      <c r="H385" s="4" t="inlineStr">
        <is>
          <t>Unknown</t>
        </is>
      </c>
      <c r="I385" s="4" t="n">
        <v>1</v>
      </c>
      <c r="J385" s="4" t="inlineStr"/>
      <c r="K385" s="4" t="inlineStr">
        <is>
          <t>Curated</t>
        </is>
      </c>
      <c r="L385" s="4" t="inlineStr"/>
      <c r="M385" s="4" t="inlineStr">
        <is>
          <t>unknown</t>
        </is>
      </c>
      <c r="N385" s="4" t="inlineStr">
        <is>
          <t>2026-10-28</t>
        </is>
      </c>
      <c r="O385" s="14" t="inlineStr">
        <is>
          <t>pass</t>
        </is>
      </c>
      <c r="P385" s="14" t="inlineStr">
        <is>
          <t>pass</t>
        </is>
      </c>
      <c r="Q385" s="14" t="inlineStr">
        <is>
          <t>pass</t>
        </is>
      </c>
      <c r="R385" s="16" t="inlineStr">
        <is>
          <t>warn</t>
        </is>
      </c>
      <c r="S385" s="15" t="inlineStr">
        <is>
          <t>not_checked</t>
        </is>
      </c>
      <c r="T385" s="15" t="inlineStr">
        <is>
          <t>n.a.</t>
        </is>
      </c>
      <c r="U385" s="15" t="inlineStr">
        <is>
          <t>n.a.</t>
        </is>
      </c>
      <c r="V385" s="14" t="inlineStr">
        <is>
          <t>pass</t>
        </is>
      </c>
      <c r="W385" s="16" t="inlineStr">
        <is>
          <t>warn</t>
        </is>
      </c>
      <c r="X385" s="18" t="inlineStr">
        <is>
          <t>fail</t>
        </is>
      </c>
      <c r="Y385" s="15" t="inlineStr">
        <is>
          <t>not_checked</t>
        </is>
      </c>
      <c r="Z385" s="15" t="inlineStr">
        <is>
          <t>not_checked</t>
        </is>
      </c>
      <c r="AA385" s="15" t="inlineStr">
        <is>
          <t>not_checked</t>
        </is>
      </c>
      <c r="AB385" s="15" t="inlineStr">
        <is>
          <t>not_checked</t>
        </is>
      </c>
      <c r="AC385" s="15" t="inlineStr">
        <is>
          <t>not_checked</t>
        </is>
      </c>
      <c r="AD385" s="15" t="inlineStr">
        <is>
          <t>not_checked</t>
        </is>
      </c>
      <c r="AE385" s="15" t="inlineStr">
        <is>
          <t>not_checked</t>
        </is>
      </c>
      <c r="AF385" s="15" t="inlineStr">
        <is>
          <t>not_checked</t>
        </is>
      </c>
      <c r="AG385" s="15" t="inlineStr">
        <is>
          <t>not_checked</t>
        </is>
      </c>
      <c r="AH385" s="15" t="inlineStr">
        <is>
          <t>not_checked</t>
        </is>
      </c>
      <c r="AI385" s="15" t="inlineStr">
        <is>
          <t>n.a.</t>
        </is>
      </c>
      <c r="AJ385" s="15" t="inlineStr">
        <is>
          <t>n.a.</t>
        </is>
      </c>
      <c r="AK385" s="4" t="inlineStr">
        <is>
          <t>archived;soft404(warn);persistent_id(warn)</t>
        </is>
      </c>
      <c r="AL385" s="17" t="inlineStr">
        <is>
          <t>https://datahub-miamigis.opendata.arcgis.com/datasets/1ff4f95b49e142ee8d4e93bb33a9f42d_0/explore</t>
        </is>
      </c>
      <c r="AM385" s="4" t="inlineStr">
        <is>
          <t>us_com_comission_districts</t>
        </is>
      </c>
    </row>
    <row r="386">
      <c r="A386" s="4" t="inlineStr">
        <is>
          <t>HUD-USPS ZIP Code Crosswalk Files</t>
        </is>
      </c>
      <c r="B386" s="21" t="inlineStr">
        <is>
          <t>Browser needed</t>
        </is>
      </c>
      <c r="C386" s="4" t="n">
        <v>71</v>
      </c>
      <c r="D386" s="4" t="inlineStr">
        <is>
          <t>boundaries</t>
        </is>
      </c>
      <c r="E386" s="4" t="inlineStr">
        <is>
          <t>blocked</t>
        </is>
      </c>
      <c r="F386" s="4" t="inlineStr">
        <is>
          <t>public_domain_us_federal</t>
        </is>
      </c>
      <c r="G386" s="4" t="inlineStr">
        <is>
          <t>tract</t>
        </is>
      </c>
      <c r="H386" s="4" t="inlineStr">
        <is>
          <t>Joins today</t>
        </is>
      </c>
      <c r="I386" s="4" t="n">
        <v>1</v>
      </c>
      <c r="J386" s="4" t="inlineStr"/>
      <c r="K386" s="4" t="inlineStr">
        <is>
          <t>Curated</t>
        </is>
      </c>
      <c r="L386" s="4" t="inlineStr">
        <is>
          <t>current</t>
        </is>
      </c>
      <c r="M386" s="4" t="inlineStr">
        <is>
          <t>open</t>
        </is>
      </c>
      <c r="N386" s="4" t="inlineStr">
        <is>
          <t>2026-10-29</t>
        </is>
      </c>
      <c r="O386" s="16" t="inlineStr">
        <is>
          <t>warn</t>
        </is>
      </c>
      <c r="P386" s="14" t="inlineStr">
        <is>
          <t>pass</t>
        </is>
      </c>
      <c r="Q386" s="14" t="inlineStr">
        <is>
          <t>pass</t>
        </is>
      </c>
      <c r="R386" s="15" t="inlineStr">
        <is>
          <t>not_checked</t>
        </is>
      </c>
      <c r="S386" s="15" t="inlineStr">
        <is>
          <t>not_checked</t>
        </is>
      </c>
      <c r="T386" s="14" t="inlineStr">
        <is>
          <t>pass</t>
        </is>
      </c>
      <c r="U386" s="14" t="inlineStr">
        <is>
          <t>pass</t>
        </is>
      </c>
      <c r="V386" s="15" t="inlineStr">
        <is>
          <t>not_checked</t>
        </is>
      </c>
      <c r="W386" s="15" t="inlineStr">
        <is>
          <t>not_checked</t>
        </is>
      </c>
      <c r="X386" s="14" t="inlineStr">
        <is>
          <t>pass</t>
        </is>
      </c>
      <c r="Y386" s="14" t="inlineStr">
        <is>
          <t>pass</t>
        </is>
      </c>
      <c r="Z386" s="15" t="inlineStr">
        <is>
          <t>not_checked</t>
        </is>
      </c>
      <c r="AA386" s="15" t="inlineStr">
        <is>
          <t>not_checked</t>
        </is>
      </c>
      <c r="AB386" s="15" t="inlineStr">
        <is>
          <t>not_checked</t>
        </is>
      </c>
      <c r="AC386" s="15" t="inlineStr">
        <is>
          <t>not_checked</t>
        </is>
      </c>
      <c r="AD386" s="15" t="inlineStr">
        <is>
          <t>not_checked</t>
        </is>
      </c>
      <c r="AE386" s="15" t="inlineStr">
        <is>
          <t>not_checked</t>
        </is>
      </c>
      <c r="AF386" s="15" t="inlineStr">
        <is>
          <t>not_checked</t>
        </is>
      </c>
      <c r="AG386" s="15" t="inlineStr">
        <is>
          <t>not_checked</t>
        </is>
      </c>
      <c r="AH386" s="15" t="inlineStr">
        <is>
          <t>not_checked</t>
        </is>
      </c>
      <c r="AI386" s="15" t="inlineStr">
        <is>
          <t>n.a.</t>
        </is>
      </c>
      <c r="AJ386" s="15" t="inlineStr">
        <is>
          <t>n.a.</t>
        </is>
      </c>
      <c r="AK386" s="4" t="inlineStr">
        <is>
          <t>link_live(warn)</t>
        </is>
      </c>
      <c r="AL386" s="17" t="inlineStr">
        <is>
          <t>https://www.huduser.gov/portal/datasets/usps_crosswalk.html</t>
        </is>
      </c>
      <c r="AM386" s="4" t="inlineStr">
        <is>
          <t>us_hud_usps_zip_crosswalk</t>
        </is>
      </c>
    </row>
    <row r="387">
      <c r="A387" s="4" t="inlineStr">
        <is>
          <t>Limites Departamental, Provincial y Distrital (MINAM geoservidor)</t>
        </is>
      </c>
      <c r="B387" s="21" t="inlineStr">
        <is>
          <t>Browser needed</t>
        </is>
      </c>
      <c r="C387" s="4" t="n">
        <v>78</v>
      </c>
      <c r="D387" s="4" t="inlineStr">
        <is>
          <t>boundaries</t>
        </is>
      </c>
      <c r="E387" s="4" t="inlineStr">
        <is>
          <t>blocked</t>
        </is>
      </c>
      <c r="F387" s="4" t="inlineStr">
        <is>
          <t>unknown</t>
        </is>
      </c>
      <c r="G387" s="4" t="inlineStr">
        <is>
          <t>unknown</t>
        </is>
      </c>
      <c r="H387" s="4" t="inlineStr">
        <is>
          <t>Unknown</t>
        </is>
      </c>
      <c r="I387" s="4" t="n">
        <v>1</v>
      </c>
      <c r="J387" s="4" t="inlineStr"/>
      <c r="K387" s="4" t="inlineStr">
        <is>
          <t>Curated</t>
        </is>
      </c>
      <c r="L387" s="4" t="inlineStr"/>
      <c r="M387" s="4" t="inlineStr">
        <is>
          <t>unknown</t>
        </is>
      </c>
      <c r="N387" s="4" t="inlineStr">
        <is>
          <t>2026-10-28</t>
        </is>
      </c>
      <c r="O387" s="14" t="inlineStr">
        <is>
          <t>pass</t>
        </is>
      </c>
      <c r="P387" s="14" t="inlineStr">
        <is>
          <t>pass</t>
        </is>
      </c>
      <c r="Q387" s="14" t="inlineStr">
        <is>
          <t>pass</t>
        </is>
      </c>
      <c r="R387" s="16" t="inlineStr">
        <is>
          <t>warn</t>
        </is>
      </c>
      <c r="S387" s="14" t="inlineStr">
        <is>
          <t>pass</t>
        </is>
      </c>
      <c r="T387" s="15" t="inlineStr">
        <is>
          <t>n.a.</t>
        </is>
      </c>
      <c r="U387" s="15" t="inlineStr">
        <is>
          <t>n.a.</t>
        </is>
      </c>
      <c r="V387" s="18" t="inlineStr">
        <is>
          <t>fail</t>
        </is>
      </c>
      <c r="W387" s="16" t="inlineStr">
        <is>
          <t>warn</t>
        </is>
      </c>
      <c r="X387" s="16" t="inlineStr">
        <is>
          <t>warn</t>
        </is>
      </c>
      <c r="Y387" s="15" t="inlineStr">
        <is>
          <t>not_checked</t>
        </is>
      </c>
      <c r="Z387" s="15" t="inlineStr">
        <is>
          <t>not_checked</t>
        </is>
      </c>
      <c r="AA387" s="15" t="inlineStr">
        <is>
          <t>not_checked</t>
        </is>
      </c>
      <c r="AB387" s="15" t="inlineStr">
        <is>
          <t>not_checked</t>
        </is>
      </c>
      <c r="AC387" s="15" t="inlineStr">
        <is>
          <t>not_checked</t>
        </is>
      </c>
      <c r="AD387" s="15" t="inlineStr">
        <is>
          <t>not_checked</t>
        </is>
      </c>
      <c r="AE387" s="15" t="inlineStr">
        <is>
          <t>not_checked</t>
        </is>
      </c>
      <c r="AF387" s="15" t="inlineStr">
        <is>
          <t>not_checked</t>
        </is>
      </c>
      <c r="AG387" s="15" t="inlineStr">
        <is>
          <t>not_checked</t>
        </is>
      </c>
      <c r="AH387" s="15" t="inlineStr">
        <is>
          <t>not_checked</t>
        </is>
      </c>
      <c r="AI387" s="15" t="inlineStr">
        <is>
          <t>n.a.</t>
        </is>
      </c>
      <c r="AJ387" s="15" t="inlineStr">
        <is>
          <t>n.a.</t>
        </is>
      </c>
      <c r="AK387" s="4" t="inlineStr">
        <is>
          <t>machine_metadata;soft404(warn);persistent_id(warn);archived(warn)</t>
        </is>
      </c>
      <c r="AL387" s="17" t="inlineStr">
        <is>
          <t>https://geoservidorperu.minam.gob.pe/arcgis/rest/services/ServicioBase/MapServer/14</t>
        </is>
      </c>
      <c r="AM387" s="4" t="inlineStr">
        <is>
          <t>pe_minam_limites_administrativos</t>
        </is>
      </c>
    </row>
    <row r="388">
      <c r="A388" s="4" t="inlineStr">
        <is>
          <t>Malhas territoriais (malha de setores censitarios, municipios, UF)</t>
        </is>
      </c>
      <c r="B388" s="21" t="inlineStr">
        <is>
          <t>Browser needed</t>
        </is>
      </c>
      <c r="C388" s="4" t="n">
        <v>50</v>
      </c>
      <c r="D388" s="4" t="inlineStr">
        <is>
          <t>boundaries</t>
        </is>
      </c>
      <c r="E388" s="4" t="inlineStr">
        <is>
          <t>blocked</t>
        </is>
      </c>
      <c r="F388" s="4" t="inlineStr">
        <is>
          <t>not checked</t>
        </is>
      </c>
      <c r="G388" s="4" t="inlineStr">
        <is>
          <t>postcode_small_area</t>
        </is>
      </c>
      <c r="H388" s="4" t="inlineStr">
        <is>
          <t>Joins today</t>
        </is>
      </c>
      <c r="I388" s="4" t="n">
        <v>1</v>
      </c>
      <c r="J388" s="4" t="inlineStr"/>
      <c r="K388" s="4" t="inlineStr">
        <is>
          <t>Curated</t>
        </is>
      </c>
      <c r="L388" s="4" t="n">
        <v>2024</v>
      </c>
      <c r="M388" s="4" t="inlineStr">
        <is>
          <t>open</t>
        </is>
      </c>
      <c r="N388" s="4" t="inlineStr">
        <is>
          <t>2026-10-22</t>
        </is>
      </c>
      <c r="O388" s="16" t="inlineStr">
        <is>
          <t>warn</t>
        </is>
      </c>
      <c r="P388" s="14" t="inlineStr">
        <is>
          <t>pass</t>
        </is>
      </c>
      <c r="Q388" s="14" t="inlineStr">
        <is>
          <t>pass</t>
        </is>
      </c>
      <c r="R388" s="15" t="inlineStr">
        <is>
          <t>not_checked</t>
        </is>
      </c>
      <c r="S388" s="15" t="inlineStr">
        <is>
          <t>not_checked</t>
        </is>
      </c>
      <c r="T388" s="14" t="inlineStr">
        <is>
          <t>pass</t>
        </is>
      </c>
      <c r="U388" s="16" t="inlineStr">
        <is>
          <t>warn</t>
        </is>
      </c>
      <c r="V388" s="15" t="inlineStr">
        <is>
          <t>not_checked</t>
        </is>
      </c>
      <c r="W388" s="15" t="inlineStr">
        <is>
          <t>not_checked</t>
        </is>
      </c>
      <c r="X388" s="14" t="inlineStr">
        <is>
          <t>pass</t>
        </is>
      </c>
      <c r="Y388" s="15" t="inlineStr">
        <is>
          <t>not_checked</t>
        </is>
      </c>
      <c r="Z388" s="15" t="inlineStr">
        <is>
          <t>not_checked</t>
        </is>
      </c>
      <c r="AA388" s="15" t="inlineStr">
        <is>
          <t>not_checked</t>
        </is>
      </c>
      <c r="AB388" s="15" t="inlineStr">
        <is>
          <t>not_checked</t>
        </is>
      </c>
      <c r="AC388" s="15" t="inlineStr">
        <is>
          <t>not_checked</t>
        </is>
      </c>
      <c r="AD388" s="15" t="inlineStr">
        <is>
          <t>not_checked</t>
        </is>
      </c>
      <c r="AE388" s="15" t="inlineStr">
        <is>
          <t>not_checked</t>
        </is>
      </c>
      <c r="AF388" s="15" t="inlineStr">
        <is>
          <t>not_checked</t>
        </is>
      </c>
      <c r="AG388" s="15" t="inlineStr">
        <is>
          <t>not_checked</t>
        </is>
      </c>
      <c r="AH388" s="15" t="inlineStr">
        <is>
          <t>not_checked</t>
        </is>
      </c>
      <c r="AI388" s="15" t="inlineStr">
        <is>
          <t>n.a.</t>
        </is>
      </c>
      <c r="AJ388" s="15" t="inlineStr">
        <is>
          <t>n.a.</t>
        </is>
      </c>
      <c r="AK388" s="4" t="inlineStr">
        <is>
          <t>link_live(warn);format_match(warn)</t>
        </is>
      </c>
      <c r="AL388" s="17" t="inlineStr">
        <is>
          <t>https://www.ibge.gov.br/geociencias/organizacao-do-territorio/malhas-territoriais/15774-malhas.html</t>
        </is>
      </c>
      <c r="AM388" s="4" t="inlineStr">
        <is>
          <t>br_ibge_malhas_territoriais</t>
        </is>
      </c>
    </row>
    <row r="389">
      <c r="A389" s="4" t="inlineStr">
        <is>
          <t>Marco Geoestadistico</t>
        </is>
      </c>
      <c r="B389" s="21" t="inlineStr">
        <is>
          <t>Browser needed</t>
        </is>
      </c>
      <c r="C389" s="4" t="n">
        <v>89</v>
      </c>
      <c r="D389" s="4" t="inlineStr">
        <is>
          <t>boundaries</t>
        </is>
      </c>
      <c r="E389" s="4" t="inlineStr">
        <is>
          <t>blocked</t>
        </is>
      </c>
      <c r="F389" s="4" t="inlineStr">
        <is>
          <t>unknown</t>
        </is>
      </c>
      <c r="G389" s="4" t="inlineStr">
        <is>
          <t>block</t>
        </is>
      </c>
      <c r="H389" s="4" t="inlineStr">
        <is>
          <t>Joins today</t>
        </is>
      </c>
      <c r="I389" s="4" t="n">
        <v>1</v>
      </c>
      <c r="J389" s="4" t="inlineStr"/>
      <c r="K389" s="4" t="inlineStr">
        <is>
          <t>Curated</t>
        </is>
      </c>
      <c r="L389" s="4" t="n">
        <v>2025</v>
      </c>
      <c r="M389" s="4" t="inlineStr">
        <is>
          <t>open</t>
        </is>
      </c>
      <c r="N389" s="4" t="inlineStr">
        <is>
          <t>2026-10-28</t>
        </is>
      </c>
      <c r="O389" s="14" t="inlineStr">
        <is>
          <t>pass</t>
        </is>
      </c>
      <c r="P389" s="14" t="inlineStr">
        <is>
          <t>pass</t>
        </is>
      </c>
      <c r="Q389" s="14" t="inlineStr">
        <is>
          <t>pass</t>
        </is>
      </c>
      <c r="R389" s="14" t="inlineStr">
        <is>
          <t>pass</t>
        </is>
      </c>
      <c r="S389" s="14" t="inlineStr">
        <is>
          <t>pass</t>
        </is>
      </c>
      <c r="T389" s="15" t="inlineStr">
        <is>
          <t>n.a.</t>
        </is>
      </c>
      <c r="U389" s="15" t="inlineStr">
        <is>
          <t>n.a.</t>
        </is>
      </c>
      <c r="V389" s="18" t="inlineStr">
        <is>
          <t>fail</t>
        </is>
      </c>
      <c r="W389" s="16" t="inlineStr">
        <is>
          <t>warn</t>
        </is>
      </c>
      <c r="X389" s="14" t="inlineStr">
        <is>
          <t>pass</t>
        </is>
      </c>
      <c r="Y389" s="15" t="inlineStr">
        <is>
          <t>not_checked</t>
        </is>
      </c>
      <c r="Z389" s="15" t="inlineStr">
        <is>
          <t>not_checked</t>
        </is>
      </c>
      <c r="AA389" s="15" t="inlineStr">
        <is>
          <t>not_checked</t>
        </is>
      </c>
      <c r="AB389" s="15" t="inlineStr">
        <is>
          <t>not_checked</t>
        </is>
      </c>
      <c r="AC389" s="15" t="inlineStr">
        <is>
          <t>not_checked</t>
        </is>
      </c>
      <c r="AD389" s="15" t="inlineStr">
        <is>
          <t>not_checked</t>
        </is>
      </c>
      <c r="AE389" s="15" t="inlineStr">
        <is>
          <t>not_checked</t>
        </is>
      </c>
      <c r="AF389" s="15" t="inlineStr">
        <is>
          <t>not_checked</t>
        </is>
      </c>
      <c r="AG389" s="15" t="inlineStr">
        <is>
          <t>not_checked</t>
        </is>
      </c>
      <c r="AH389" s="15" t="inlineStr">
        <is>
          <t>not_checked</t>
        </is>
      </c>
      <c r="AI389" s="15" t="inlineStr">
        <is>
          <t>n.a.</t>
        </is>
      </c>
      <c r="AJ389" s="15" t="inlineStr">
        <is>
          <t>n.a.</t>
        </is>
      </c>
      <c r="AK389" s="4" t="inlineStr">
        <is>
          <t>machine_metadata;persistent_id(warn)</t>
        </is>
      </c>
      <c r="AL389" s="17" t="inlineStr">
        <is>
          <t>https://www.inegi.org.mx/temas/mg/</t>
        </is>
      </c>
      <c r="AM389" s="4" t="inlineStr">
        <is>
          <t>mx_inegi_marco_geoestadistico</t>
        </is>
      </c>
    </row>
    <row r="390">
      <c r="A390" s="4" t="inlineStr">
        <is>
          <t>Marco Geoestadistico Nacional (MGN) 2018</t>
        </is>
      </c>
      <c r="B390" s="21" t="inlineStr">
        <is>
          <t>Browser needed</t>
        </is>
      </c>
      <c r="C390" s="4" t="n">
        <v>71</v>
      </c>
      <c r="D390" s="4" t="inlineStr">
        <is>
          <t>boundaries</t>
        </is>
      </c>
      <c r="E390" s="4" t="inlineStr">
        <is>
          <t>blocked</t>
        </is>
      </c>
      <c r="F390" s="4" t="inlineStr">
        <is>
          <t>unknown</t>
        </is>
      </c>
      <c r="G390" s="4" t="inlineStr">
        <is>
          <t>block</t>
        </is>
      </c>
      <c r="H390" s="4" t="inlineStr">
        <is>
          <t>Joins today</t>
        </is>
      </c>
      <c r="I390" s="4" t="n">
        <v>1</v>
      </c>
      <c r="J390" s="4" t="inlineStr"/>
      <c r="K390" s="4" t="inlineStr">
        <is>
          <t>Curated</t>
        </is>
      </c>
      <c r="L390" s="4" t="n">
        <v>2024</v>
      </c>
      <c r="M390" s="4" t="inlineStr">
        <is>
          <t>open</t>
        </is>
      </c>
      <c r="N390" s="4" t="inlineStr">
        <is>
          <t>2026-10-28</t>
        </is>
      </c>
      <c r="O390" s="14" t="inlineStr">
        <is>
          <t>pass</t>
        </is>
      </c>
      <c r="P390" s="14" t="inlineStr">
        <is>
          <t>pass</t>
        </is>
      </c>
      <c r="Q390" s="14" t="inlineStr">
        <is>
          <t>pass</t>
        </is>
      </c>
      <c r="R390" s="16" t="inlineStr">
        <is>
          <t>warn</t>
        </is>
      </c>
      <c r="S390" s="15" t="inlineStr">
        <is>
          <t>not_checked</t>
        </is>
      </c>
      <c r="T390" s="18" t="inlineStr">
        <is>
          <t>fail</t>
        </is>
      </c>
      <c r="U390" s="15" t="inlineStr">
        <is>
          <t>n.a.</t>
        </is>
      </c>
      <c r="V390" s="18" t="inlineStr">
        <is>
          <t>fail</t>
        </is>
      </c>
      <c r="W390" s="16" t="inlineStr">
        <is>
          <t>warn</t>
        </is>
      </c>
      <c r="X390" s="14" t="inlineStr">
        <is>
          <t>pass</t>
        </is>
      </c>
      <c r="Y390" s="15" t="inlineStr">
        <is>
          <t>not_checked</t>
        </is>
      </c>
      <c r="Z390" s="15" t="inlineStr">
        <is>
          <t>not_checked</t>
        </is>
      </c>
      <c r="AA390" s="15" t="inlineStr">
        <is>
          <t>not_checked</t>
        </is>
      </c>
      <c r="AB390" s="15" t="inlineStr">
        <is>
          <t>not_checked</t>
        </is>
      </c>
      <c r="AC390" s="15" t="inlineStr">
        <is>
          <t>not_checked</t>
        </is>
      </c>
      <c r="AD390" s="15" t="inlineStr">
        <is>
          <t>not_checked</t>
        </is>
      </c>
      <c r="AE390" s="15" t="inlineStr">
        <is>
          <t>not_checked</t>
        </is>
      </c>
      <c r="AF390" s="15" t="inlineStr">
        <is>
          <t>not_checked</t>
        </is>
      </c>
      <c r="AG390" s="15" t="inlineStr">
        <is>
          <t>not_checked</t>
        </is>
      </c>
      <c r="AH390" s="15" t="inlineStr">
        <is>
          <t>not_checked</t>
        </is>
      </c>
      <c r="AI390" s="15" t="inlineStr">
        <is>
          <t>n.a.</t>
        </is>
      </c>
      <c r="AJ390" s="15" t="inlineStr">
        <is>
          <t>n.a.</t>
        </is>
      </c>
      <c r="AK390" s="4" t="inlineStr">
        <is>
          <t>access_url;machine_metadata;soft404(warn);persistent_id(warn)</t>
        </is>
      </c>
      <c r="AL390" s="17" t="inlineStr">
        <is>
          <t>https://geoportal.dane.gov.co/</t>
        </is>
      </c>
      <c r="AM390" s="4" t="inlineStr">
        <is>
          <t>co_dane_mgn</t>
        </is>
      </c>
    </row>
    <row r="391">
      <c r="A391" s="4" t="inlineStr">
        <is>
          <t>Miami-Dade County Comission Districts</t>
        </is>
      </c>
      <c r="B391" s="21" t="inlineStr">
        <is>
          <t>Browser needed</t>
        </is>
      </c>
      <c r="C391" s="4" t="n">
        <v>86</v>
      </c>
      <c r="D391" s="4" t="inlineStr">
        <is>
          <t>boundaries</t>
        </is>
      </c>
      <c r="E391" s="4" t="inlineStr">
        <is>
          <t>blocked</t>
        </is>
      </c>
      <c r="F391" s="4" t="inlineStr">
        <is>
          <t>unknown</t>
        </is>
      </c>
      <c r="G391" s="4" t="inlineStr">
        <is>
          <t>unknown</t>
        </is>
      </c>
      <c r="H391" s="4" t="inlineStr">
        <is>
          <t>Unknown</t>
        </is>
      </c>
      <c r="I391" s="4" t="n">
        <v>1</v>
      </c>
      <c r="J391" s="4" t="inlineStr"/>
      <c r="K391" s="4" t="inlineStr">
        <is>
          <t>Curated</t>
        </is>
      </c>
      <c r="L391" s="4" t="inlineStr"/>
      <c r="M391" s="4" t="inlineStr">
        <is>
          <t>unknown</t>
        </is>
      </c>
      <c r="N391" s="4" t="inlineStr">
        <is>
          <t>2026-10-28</t>
        </is>
      </c>
      <c r="O391" s="14" t="inlineStr">
        <is>
          <t>pass</t>
        </is>
      </c>
      <c r="P391" s="14" t="inlineStr">
        <is>
          <t>pass</t>
        </is>
      </c>
      <c r="Q391" s="14" t="inlineStr">
        <is>
          <t>pass</t>
        </is>
      </c>
      <c r="R391" s="16" t="inlineStr">
        <is>
          <t>warn</t>
        </is>
      </c>
      <c r="S391" s="15" t="inlineStr">
        <is>
          <t>not_checked</t>
        </is>
      </c>
      <c r="T391" s="15" t="inlineStr">
        <is>
          <t>n.a.</t>
        </is>
      </c>
      <c r="U391" s="15" t="inlineStr">
        <is>
          <t>n.a.</t>
        </is>
      </c>
      <c r="V391" s="14" t="inlineStr">
        <is>
          <t>pass</t>
        </is>
      </c>
      <c r="W391" s="16" t="inlineStr">
        <is>
          <t>warn</t>
        </is>
      </c>
      <c r="X391" s="18" t="inlineStr">
        <is>
          <t>fail</t>
        </is>
      </c>
      <c r="Y391" s="15" t="inlineStr">
        <is>
          <t>not_checked</t>
        </is>
      </c>
      <c r="Z391" s="15" t="inlineStr">
        <is>
          <t>not_checked</t>
        </is>
      </c>
      <c r="AA391" s="15" t="inlineStr">
        <is>
          <t>not_checked</t>
        </is>
      </c>
      <c r="AB391" s="15" t="inlineStr">
        <is>
          <t>not_checked</t>
        </is>
      </c>
      <c r="AC391" s="15" t="inlineStr">
        <is>
          <t>not_checked</t>
        </is>
      </c>
      <c r="AD391" s="15" t="inlineStr">
        <is>
          <t>not_checked</t>
        </is>
      </c>
      <c r="AE391" s="15" t="inlineStr">
        <is>
          <t>not_checked</t>
        </is>
      </c>
      <c r="AF391" s="15" t="inlineStr">
        <is>
          <t>not_checked</t>
        </is>
      </c>
      <c r="AG391" s="15" t="inlineStr">
        <is>
          <t>not_checked</t>
        </is>
      </c>
      <c r="AH391" s="15" t="inlineStr">
        <is>
          <t>not_checked</t>
        </is>
      </c>
      <c r="AI391" s="15" t="inlineStr">
        <is>
          <t>n.a.</t>
        </is>
      </c>
      <c r="AJ391" s="15" t="inlineStr">
        <is>
          <t>n.a.</t>
        </is>
      </c>
      <c r="AK391" s="4" t="inlineStr">
        <is>
          <t>archived;soft404(warn);persistent_id(warn)</t>
        </is>
      </c>
      <c r="AL391" s="17" t="inlineStr">
        <is>
          <t>https://gis-mdc.opendata.arcgis.com/datasets/21f56c05380e477ea3008fd527ddafe4_0/explore</t>
        </is>
      </c>
      <c r="AM391" s="4" t="inlineStr">
        <is>
          <t>us_mdc_comission_districts</t>
        </is>
      </c>
    </row>
    <row r="392">
      <c r="A392" s="4" t="inlineStr">
        <is>
          <t>Miami-Dade County Unincorporated Zone District Specifications</t>
        </is>
      </c>
      <c r="B392" s="21" t="inlineStr">
        <is>
          <t>Browser needed</t>
        </is>
      </c>
      <c r="C392" s="4" t="n">
        <v>86</v>
      </c>
      <c r="D392" s="4" t="inlineStr">
        <is>
          <t>boundaries</t>
        </is>
      </c>
      <c r="E392" s="4" t="inlineStr">
        <is>
          <t>blocked</t>
        </is>
      </c>
      <c r="F392" s="4" t="inlineStr">
        <is>
          <t>unknown</t>
        </is>
      </c>
      <c r="G392" s="4" t="inlineStr">
        <is>
          <t>unknown</t>
        </is>
      </c>
      <c r="H392" s="4" t="inlineStr">
        <is>
          <t>Unknown</t>
        </is>
      </c>
      <c r="I392" s="4" t="n">
        <v>1</v>
      </c>
      <c r="J392" s="4" t="inlineStr"/>
      <c r="K392" s="4" t="inlineStr">
        <is>
          <t>Curated</t>
        </is>
      </c>
      <c r="L392" s="4" t="inlineStr"/>
      <c r="M392" s="4" t="inlineStr">
        <is>
          <t>unknown</t>
        </is>
      </c>
      <c r="N392" s="4" t="inlineStr">
        <is>
          <t>2026-10-28</t>
        </is>
      </c>
      <c r="O392" s="14" t="inlineStr">
        <is>
          <t>pass</t>
        </is>
      </c>
      <c r="P392" s="14" t="inlineStr">
        <is>
          <t>pass</t>
        </is>
      </c>
      <c r="Q392" s="14" t="inlineStr">
        <is>
          <t>pass</t>
        </is>
      </c>
      <c r="R392" s="16" t="inlineStr">
        <is>
          <t>warn</t>
        </is>
      </c>
      <c r="S392" s="15" t="inlineStr">
        <is>
          <t>not_checked</t>
        </is>
      </c>
      <c r="T392" s="15" t="inlineStr">
        <is>
          <t>n.a.</t>
        </is>
      </c>
      <c r="U392" s="15" t="inlineStr">
        <is>
          <t>n.a.</t>
        </is>
      </c>
      <c r="V392" s="14" t="inlineStr">
        <is>
          <t>pass</t>
        </is>
      </c>
      <c r="W392" s="16" t="inlineStr">
        <is>
          <t>warn</t>
        </is>
      </c>
      <c r="X392" s="18" t="inlineStr">
        <is>
          <t>fail</t>
        </is>
      </c>
      <c r="Y392" s="15" t="inlineStr">
        <is>
          <t>not_checked</t>
        </is>
      </c>
      <c r="Z392" s="15" t="inlineStr">
        <is>
          <t>not_checked</t>
        </is>
      </c>
      <c r="AA392" s="15" t="inlineStr">
        <is>
          <t>not_checked</t>
        </is>
      </c>
      <c r="AB392" s="15" t="inlineStr">
        <is>
          <t>not_checked</t>
        </is>
      </c>
      <c r="AC392" s="15" t="inlineStr">
        <is>
          <t>not_checked</t>
        </is>
      </c>
      <c r="AD392" s="15" t="inlineStr">
        <is>
          <t>not_checked</t>
        </is>
      </c>
      <c r="AE392" s="15" t="inlineStr">
        <is>
          <t>not_checked</t>
        </is>
      </c>
      <c r="AF392" s="15" t="inlineStr">
        <is>
          <t>not_checked</t>
        </is>
      </c>
      <c r="AG392" s="15" t="inlineStr">
        <is>
          <t>not_checked</t>
        </is>
      </c>
      <c r="AH392" s="15" t="inlineStr">
        <is>
          <t>not_checked</t>
        </is>
      </c>
      <c r="AI392" s="15" t="inlineStr">
        <is>
          <t>n.a.</t>
        </is>
      </c>
      <c r="AJ392" s="15" t="inlineStr">
        <is>
          <t>n.a.</t>
        </is>
      </c>
      <c r="AK392" s="4" t="inlineStr">
        <is>
          <t>archived;soft404(warn);persistent_id(warn)</t>
        </is>
      </c>
      <c r="AL392" s="17" t="inlineStr">
        <is>
          <t>https://gis-mdc.opendata.arcgis.com/datasets/276ee4451b604600b8fcd8e870bd524a_0/explore</t>
        </is>
      </c>
      <c r="AM392" s="4" t="inlineStr">
        <is>
          <t>us_mdc_unincorporated_zone_desc</t>
        </is>
      </c>
    </row>
    <row r="393">
      <c r="A393" s="4" t="inlineStr">
        <is>
          <t>Qualified Census Tracts (QCT) and Difficult Development Areas (DDA)</t>
        </is>
      </c>
      <c r="B393" s="21" t="inlineStr">
        <is>
          <t>Browser needed</t>
        </is>
      </c>
      <c r="C393" s="4" t="n">
        <v>71</v>
      </c>
      <c r="D393" s="4" t="inlineStr">
        <is>
          <t>boundaries</t>
        </is>
      </c>
      <c r="E393" s="4" t="inlineStr">
        <is>
          <t>blocked</t>
        </is>
      </c>
      <c r="F393" s="4" t="inlineStr">
        <is>
          <t>public_domain_us_federal</t>
        </is>
      </c>
      <c r="G393" s="4" t="inlineStr">
        <is>
          <t>tract</t>
        </is>
      </c>
      <c r="H393" s="4" t="inlineStr">
        <is>
          <t>Joins today</t>
        </is>
      </c>
      <c r="I393" s="4" t="n">
        <v>1</v>
      </c>
      <c r="J393" s="4" t="inlineStr"/>
      <c r="K393" s="4" t="inlineStr">
        <is>
          <t>Curated</t>
        </is>
      </c>
      <c r="L393" s="4" t="n">
        <v>2026</v>
      </c>
      <c r="M393" s="4" t="inlineStr">
        <is>
          <t>open</t>
        </is>
      </c>
      <c r="N393" s="4" t="inlineStr">
        <is>
          <t>2026-10-29</t>
        </is>
      </c>
      <c r="O393" s="16" t="inlineStr">
        <is>
          <t>warn</t>
        </is>
      </c>
      <c r="P393" s="14" t="inlineStr">
        <is>
          <t>pass</t>
        </is>
      </c>
      <c r="Q393" s="14" t="inlineStr">
        <is>
          <t>pass</t>
        </is>
      </c>
      <c r="R393" s="15" t="inlineStr">
        <is>
          <t>not_checked</t>
        </is>
      </c>
      <c r="S393" s="15" t="inlineStr">
        <is>
          <t>not_checked</t>
        </is>
      </c>
      <c r="T393" s="14" t="inlineStr">
        <is>
          <t>pass</t>
        </is>
      </c>
      <c r="U393" s="16" t="inlineStr">
        <is>
          <t>warn</t>
        </is>
      </c>
      <c r="V393" s="15" t="inlineStr">
        <is>
          <t>not_checked</t>
        </is>
      </c>
      <c r="W393" s="15" t="inlineStr">
        <is>
          <t>not_checked</t>
        </is>
      </c>
      <c r="X393" s="14" t="inlineStr">
        <is>
          <t>pass</t>
        </is>
      </c>
      <c r="Y393" s="14" t="inlineStr">
        <is>
          <t>pass</t>
        </is>
      </c>
      <c r="Z393" s="15" t="inlineStr">
        <is>
          <t>not_checked</t>
        </is>
      </c>
      <c r="AA393" s="15" t="inlineStr">
        <is>
          <t>not_checked</t>
        </is>
      </c>
      <c r="AB393" s="15" t="inlineStr">
        <is>
          <t>not_checked</t>
        </is>
      </c>
      <c r="AC393" s="15" t="inlineStr">
        <is>
          <t>not_checked</t>
        </is>
      </c>
      <c r="AD393" s="15" t="inlineStr">
        <is>
          <t>not_checked</t>
        </is>
      </c>
      <c r="AE393" s="15" t="inlineStr">
        <is>
          <t>not_checked</t>
        </is>
      </c>
      <c r="AF393" s="15" t="inlineStr">
        <is>
          <t>not_checked</t>
        </is>
      </c>
      <c r="AG393" s="15" t="inlineStr">
        <is>
          <t>not_checked</t>
        </is>
      </c>
      <c r="AH393" s="15" t="inlineStr">
        <is>
          <t>not_checked</t>
        </is>
      </c>
      <c r="AI393" s="15" t="inlineStr">
        <is>
          <t>n.a.</t>
        </is>
      </c>
      <c r="AJ393" s="15" t="inlineStr">
        <is>
          <t>n.a.</t>
        </is>
      </c>
      <c r="AK393" s="4" t="inlineStr">
        <is>
          <t>link_live(warn);format_match(warn)</t>
        </is>
      </c>
      <c r="AL393" s="17" t="inlineStr">
        <is>
          <t>https://www.huduser.gov/portal/datasets/qct.html</t>
        </is>
      </c>
      <c r="AM393" s="4" t="inlineStr">
        <is>
          <t>us_hud_qct_dda</t>
        </is>
      </c>
    </row>
    <row r="394">
      <c r="A394" s="4" t="inlineStr">
        <is>
          <t>Statistical sectors (secteurs statistiques / statistische sectoren)</t>
        </is>
      </c>
      <c r="B394" s="21" t="inlineStr">
        <is>
          <t>Browser needed</t>
        </is>
      </c>
      <c r="C394" s="4" t="n">
        <v>89</v>
      </c>
      <c r="D394" s="4" t="inlineStr">
        <is>
          <t>boundaries</t>
        </is>
      </c>
      <c r="E394" s="4" t="inlineStr">
        <is>
          <t>blocked</t>
        </is>
      </c>
      <c r="F394" s="4" t="inlineStr">
        <is>
          <t>unknown</t>
        </is>
      </c>
      <c r="G394" s="4" t="inlineStr">
        <is>
          <t>postcode_small_area</t>
        </is>
      </c>
      <c r="H394" s="4" t="inlineStr">
        <is>
          <t>Joins today</t>
        </is>
      </c>
      <c r="I394" s="4" t="n">
        <v>1</v>
      </c>
      <c r="J394" s="4" t="inlineStr"/>
      <c r="K394" s="4" t="inlineStr">
        <is>
          <t>Curated</t>
        </is>
      </c>
      <c r="L394" s="4" t="n">
        <v>2024</v>
      </c>
      <c r="M394" s="4" t="inlineStr">
        <is>
          <t>open</t>
        </is>
      </c>
      <c r="N394" s="4" t="inlineStr">
        <is>
          <t>2026-10-28</t>
        </is>
      </c>
      <c r="O394" s="14" t="inlineStr">
        <is>
          <t>pass</t>
        </is>
      </c>
      <c r="P394" s="14" t="inlineStr">
        <is>
          <t>pass</t>
        </is>
      </c>
      <c r="Q394" s="14" t="inlineStr">
        <is>
          <t>pass</t>
        </is>
      </c>
      <c r="R394" s="14" t="inlineStr">
        <is>
          <t>pass</t>
        </is>
      </c>
      <c r="S394" s="14" t="inlineStr">
        <is>
          <t>pass</t>
        </is>
      </c>
      <c r="T394" s="15" t="inlineStr">
        <is>
          <t>n.a.</t>
        </is>
      </c>
      <c r="U394" s="15" t="inlineStr">
        <is>
          <t>n.a.</t>
        </is>
      </c>
      <c r="V394" s="18" t="inlineStr">
        <is>
          <t>fail</t>
        </is>
      </c>
      <c r="W394" s="16" t="inlineStr">
        <is>
          <t>warn</t>
        </is>
      </c>
      <c r="X394" s="14" t="inlineStr">
        <is>
          <t>pass</t>
        </is>
      </c>
      <c r="Y394" s="15" t="inlineStr">
        <is>
          <t>not_checked</t>
        </is>
      </c>
      <c r="Z394" s="15" t="inlineStr">
        <is>
          <t>not_checked</t>
        </is>
      </c>
      <c r="AA394" s="15" t="inlineStr">
        <is>
          <t>not_checked</t>
        </is>
      </c>
      <c r="AB394" s="15" t="inlineStr">
        <is>
          <t>not_checked</t>
        </is>
      </c>
      <c r="AC394" s="15" t="inlineStr">
        <is>
          <t>not_checked</t>
        </is>
      </c>
      <c r="AD394" s="15" t="inlineStr">
        <is>
          <t>not_checked</t>
        </is>
      </c>
      <c r="AE394" s="15" t="inlineStr">
        <is>
          <t>not_checked</t>
        </is>
      </c>
      <c r="AF394" s="15" t="inlineStr">
        <is>
          <t>not_checked</t>
        </is>
      </c>
      <c r="AG394" s="15" t="inlineStr">
        <is>
          <t>not_checked</t>
        </is>
      </c>
      <c r="AH394" s="15" t="inlineStr">
        <is>
          <t>not_checked</t>
        </is>
      </c>
      <c r="AI394" s="15" t="inlineStr">
        <is>
          <t>n.a.</t>
        </is>
      </c>
      <c r="AJ394" s="15" t="inlineStr">
        <is>
          <t>n.a.</t>
        </is>
      </c>
      <c r="AK394" s="4" t="inlineStr">
        <is>
          <t>machine_metadata;persistent_id(warn)</t>
        </is>
      </c>
      <c r="AL394" s="17" t="inlineStr">
        <is>
          <t>https://statbel.fgov.be/en/open-data/statistical-sectors-2023</t>
        </is>
      </c>
      <c r="AM394" s="4" t="inlineStr">
        <is>
          <t>be_statbel_statistical_sectors</t>
        </is>
      </c>
    </row>
    <row r="395">
      <c r="A395" s="4" t="inlineStr">
        <is>
          <t>FCC Broadband Data Collection / National Broadband Map</t>
        </is>
      </c>
      <c r="B395" s="21" t="inlineStr">
        <is>
          <t>Browser needed</t>
        </is>
      </c>
      <c r="C395" s="4" t="n">
        <v>71</v>
      </c>
      <c r="D395" s="4" t="inlineStr">
        <is>
          <t>built_environment</t>
        </is>
      </c>
      <c r="E395" s="4" t="inlineStr">
        <is>
          <t>blocked</t>
        </is>
      </c>
      <c r="F395" s="4" t="inlineStr">
        <is>
          <t>public_domain_us_federal</t>
        </is>
      </c>
      <c r="G395" s="4" t="inlineStr">
        <is>
          <t>point</t>
        </is>
      </c>
      <c r="H395" s="4" t="inlineStr">
        <is>
          <t>Needs a count/distance step</t>
        </is>
      </c>
      <c r="I395" s="4" t="n">
        <v>3</v>
      </c>
      <c r="J395" s="4" t="inlineStr"/>
      <c r="K395" s="4" t="inlineStr">
        <is>
          <t>Curated</t>
        </is>
      </c>
      <c r="L395" s="4" t="n">
        <v>2024</v>
      </c>
      <c r="M395" s="4" t="inlineStr">
        <is>
          <t>open</t>
        </is>
      </c>
      <c r="N395" s="4" t="inlineStr">
        <is>
          <t>2026-10-29</t>
        </is>
      </c>
      <c r="O395" s="16" t="inlineStr">
        <is>
          <t>warn</t>
        </is>
      </c>
      <c r="P395" s="14" t="inlineStr">
        <is>
          <t>pass</t>
        </is>
      </c>
      <c r="Q395" s="14" t="inlineStr">
        <is>
          <t>pass</t>
        </is>
      </c>
      <c r="R395" s="15" t="inlineStr">
        <is>
          <t>not_checked</t>
        </is>
      </c>
      <c r="S395" s="15" t="inlineStr">
        <is>
          <t>not_checked</t>
        </is>
      </c>
      <c r="T395" s="16" t="inlineStr">
        <is>
          <t>warn</t>
        </is>
      </c>
      <c r="U395" s="15" t="inlineStr">
        <is>
          <t>n.a.</t>
        </is>
      </c>
      <c r="V395" s="15" t="inlineStr">
        <is>
          <t>not_checked</t>
        </is>
      </c>
      <c r="W395" s="15" t="inlineStr">
        <is>
          <t>not_checked</t>
        </is>
      </c>
      <c r="X395" s="14" t="inlineStr">
        <is>
          <t>pass</t>
        </is>
      </c>
      <c r="Y395" s="14" t="inlineStr">
        <is>
          <t>pass</t>
        </is>
      </c>
      <c r="Z395" s="15" t="inlineStr">
        <is>
          <t>not_checked</t>
        </is>
      </c>
      <c r="AA395" s="15" t="inlineStr">
        <is>
          <t>not_checked</t>
        </is>
      </c>
      <c r="AB395" s="15" t="inlineStr">
        <is>
          <t>not_checked</t>
        </is>
      </c>
      <c r="AC395" s="15" t="inlineStr">
        <is>
          <t>not_checked</t>
        </is>
      </c>
      <c r="AD395" s="15" t="inlineStr">
        <is>
          <t>not_checked</t>
        </is>
      </c>
      <c r="AE395" s="15" t="inlineStr">
        <is>
          <t>not_checked</t>
        </is>
      </c>
      <c r="AF395" s="15" t="inlineStr">
        <is>
          <t>not_checked</t>
        </is>
      </c>
      <c r="AG395" s="15" t="inlineStr">
        <is>
          <t>not_checked</t>
        </is>
      </c>
      <c r="AH395" s="15" t="inlineStr">
        <is>
          <t>not_checked</t>
        </is>
      </c>
      <c r="AI395" s="15" t="inlineStr">
        <is>
          <t>n.a.</t>
        </is>
      </c>
      <c r="AJ395" s="15" t="inlineStr">
        <is>
          <t>n.a.</t>
        </is>
      </c>
      <c r="AK395" s="4" t="inlineStr">
        <is>
          <t>link_live(warn);access_url(warn)</t>
        </is>
      </c>
      <c r="AL395" s="17" t="inlineStr">
        <is>
          <t>https://broadbandmap.fcc.gov/</t>
        </is>
      </c>
      <c r="AM395" s="4" t="inlineStr">
        <is>
          <t>us_fcc_broadband_data_collection</t>
        </is>
      </c>
    </row>
    <row r="396">
      <c r="A396" s="4" t="inlineStr">
        <is>
          <t>GRID3 settlement extents (v3, 52 sub-Saharan African countries) and GRID3 health facilities, boundaries, population datasets</t>
        </is>
      </c>
      <c r="B396" s="20" t="inlineStr">
        <is>
          <t>Bronze</t>
        </is>
      </c>
      <c r="C396" s="4" t="n">
        <v>79</v>
      </c>
      <c r="D396" s="4" t="inlineStr">
        <is>
          <t>built_environment</t>
        </is>
      </c>
      <c r="E396" s="4" t="inlineStr">
        <is>
          <t>blocked</t>
        </is>
      </c>
      <c r="F396" s="4" t="inlineStr">
        <is>
          <t>unknown</t>
        </is>
      </c>
      <c r="G396" s="4" t="inlineStr">
        <is>
          <t>points (health facilities), polygons (settlements)</t>
        </is>
      </c>
      <c r="H396" s="4" t="inlineStr">
        <is>
          <t>Needs a count/distance step</t>
        </is>
      </c>
      <c r="I396" s="4" t="n">
        <v>3</v>
      </c>
      <c r="J396" s="4" t="inlineStr"/>
      <c r="K396" s="4" t="inlineStr">
        <is>
          <t>Curated</t>
        </is>
      </c>
      <c r="L396" s="4" t="n">
        <v>2024</v>
      </c>
      <c r="M396" s="4" t="inlineStr">
        <is>
          <t>open</t>
        </is>
      </c>
      <c r="N396" s="4" t="inlineStr">
        <is>
          <t>2026-10-29</t>
        </is>
      </c>
      <c r="O396" s="14" t="inlineStr">
        <is>
          <t>pass</t>
        </is>
      </c>
      <c r="P396" s="14" t="inlineStr">
        <is>
          <t>pass</t>
        </is>
      </c>
      <c r="Q396" s="14" t="inlineStr">
        <is>
          <t>pass</t>
        </is>
      </c>
      <c r="R396" s="16" t="inlineStr">
        <is>
          <t>warn</t>
        </is>
      </c>
      <c r="S396" s="15" t="inlineStr">
        <is>
          <t>not_checked</t>
        </is>
      </c>
      <c r="T396" s="18" t="inlineStr">
        <is>
          <t>fail</t>
        </is>
      </c>
      <c r="U396" s="15" t="inlineStr">
        <is>
          <t>n.a.</t>
        </is>
      </c>
      <c r="V396" s="16" t="inlineStr">
        <is>
          <t>warn</t>
        </is>
      </c>
      <c r="W396" s="16" t="inlineStr">
        <is>
          <t>warn</t>
        </is>
      </c>
      <c r="X396" s="14" t="inlineStr">
        <is>
          <t>pass</t>
        </is>
      </c>
      <c r="Y396" s="15" t="inlineStr">
        <is>
          <t>not_checked</t>
        </is>
      </c>
      <c r="Z396" s="15" t="inlineStr">
        <is>
          <t>not_checked</t>
        </is>
      </c>
      <c r="AA396" s="15" t="inlineStr">
        <is>
          <t>not_checked</t>
        </is>
      </c>
      <c r="AB396" s="15" t="inlineStr">
        <is>
          <t>not_checked</t>
        </is>
      </c>
      <c r="AC396" s="15" t="inlineStr">
        <is>
          <t>not_checked</t>
        </is>
      </c>
      <c r="AD396" s="15" t="inlineStr">
        <is>
          <t>not_checked</t>
        </is>
      </c>
      <c r="AE396" s="15" t="inlineStr">
        <is>
          <t>not_checked</t>
        </is>
      </c>
      <c r="AF396" s="15" t="inlineStr">
        <is>
          <t>not_checked</t>
        </is>
      </c>
      <c r="AG396" s="15" t="inlineStr">
        <is>
          <t>not_checked</t>
        </is>
      </c>
      <c r="AH396" s="15" t="inlineStr">
        <is>
          <t>not_checked</t>
        </is>
      </c>
      <c r="AI396" s="15" t="inlineStr">
        <is>
          <t>n.a.</t>
        </is>
      </c>
      <c r="AJ396" s="15" t="inlineStr">
        <is>
          <t>n.a.</t>
        </is>
      </c>
      <c r="AK396" s="4" t="inlineStr">
        <is>
          <t>access_url;soft404(warn);machine_metadata(warn);persistent_id(warn)</t>
        </is>
      </c>
      <c r="AL396" s="17" t="inlineStr">
        <is>
          <t>https://data.grid3.org/</t>
        </is>
      </c>
      <c r="AM396" s="4" t="inlineStr">
        <is>
          <t>af_grid3_settlement_extents</t>
        </is>
      </c>
    </row>
    <row r="397">
      <c r="A397" s="4" t="inlineStr">
        <is>
          <t>Miami-Dade County Municipal Park Boundaries</t>
        </is>
      </c>
      <c r="B397" s="21" t="inlineStr">
        <is>
          <t>Browser needed</t>
        </is>
      </c>
      <c r="C397" s="4" t="n">
        <v>86</v>
      </c>
      <c r="D397" s="4" t="inlineStr">
        <is>
          <t>built_environment</t>
        </is>
      </c>
      <c r="E397" s="4" t="inlineStr">
        <is>
          <t>blocked</t>
        </is>
      </c>
      <c r="F397" s="4" t="inlineStr">
        <is>
          <t>unknown</t>
        </is>
      </c>
      <c r="G397" s="4" t="inlineStr">
        <is>
          <t>unknown</t>
        </is>
      </c>
      <c r="H397" s="4" t="inlineStr">
        <is>
          <t>Unknown</t>
        </is>
      </c>
      <c r="I397" s="4" t="n">
        <v>3</v>
      </c>
      <c r="J397" s="4" t="inlineStr">
        <is>
          <t>mdc_municipal_park_boundaries</t>
        </is>
      </c>
      <c r="K397" s="4" t="inlineStr">
        <is>
          <t>Curated</t>
        </is>
      </c>
      <c r="L397" s="4" t="n">
        <v>2025</v>
      </c>
      <c r="M397" s="4" t="inlineStr">
        <is>
          <t>unknown</t>
        </is>
      </c>
      <c r="N397" s="4" t="inlineStr">
        <is>
          <t>2026-10-28</t>
        </is>
      </c>
      <c r="O397" s="14" t="inlineStr">
        <is>
          <t>pass</t>
        </is>
      </c>
      <c r="P397" s="14" t="inlineStr">
        <is>
          <t>pass</t>
        </is>
      </c>
      <c r="Q397" s="14" t="inlineStr">
        <is>
          <t>pass</t>
        </is>
      </c>
      <c r="R397" s="16" t="inlineStr">
        <is>
          <t>warn</t>
        </is>
      </c>
      <c r="S397" s="15" t="inlineStr">
        <is>
          <t>not_checked</t>
        </is>
      </c>
      <c r="T397" s="15" t="inlineStr">
        <is>
          <t>n.a.</t>
        </is>
      </c>
      <c r="U397" s="15" t="inlineStr">
        <is>
          <t>n.a.</t>
        </is>
      </c>
      <c r="V397" s="14" t="inlineStr">
        <is>
          <t>pass</t>
        </is>
      </c>
      <c r="W397" s="16" t="inlineStr">
        <is>
          <t>warn</t>
        </is>
      </c>
      <c r="X397" s="14" t="inlineStr">
        <is>
          <t>pass</t>
        </is>
      </c>
      <c r="Y397" s="15" t="inlineStr">
        <is>
          <t>not_checked</t>
        </is>
      </c>
      <c r="Z397" s="15" t="inlineStr">
        <is>
          <t>not_checked</t>
        </is>
      </c>
      <c r="AA397" s="15" t="inlineStr">
        <is>
          <t>not_checked</t>
        </is>
      </c>
      <c r="AB397" s="15" t="inlineStr">
        <is>
          <t>not_checked</t>
        </is>
      </c>
      <c r="AC397" s="15" t="inlineStr">
        <is>
          <t>not_checked</t>
        </is>
      </c>
      <c r="AD397" s="15" t="inlineStr">
        <is>
          <t>not_checked</t>
        </is>
      </c>
      <c r="AE397" s="15" t="inlineStr">
        <is>
          <t>not_checked</t>
        </is>
      </c>
      <c r="AF397" s="15" t="inlineStr">
        <is>
          <t>not_checked</t>
        </is>
      </c>
      <c r="AG397" s="15" t="inlineStr">
        <is>
          <t>not_checked</t>
        </is>
      </c>
      <c r="AH397" s="15" t="inlineStr">
        <is>
          <t>not_checked</t>
        </is>
      </c>
      <c r="AI397" s="14" t="inlineStr">
        <is>
          <t>pass</t>
        </is>
      </c>
      <c r="AJ397" s="15" t="inlineStr">
        <is>
          <t>not_checked</t>
        </is>
      </c>
      <c r="AK397" s="4" t="inlineStr">
        <is>
          <t>soft404(warn);persistent_id(warn)</t>
        </is>
      </c>
      <c r="AL397" s="17" t="inlineStr">
        <is>
          <t>https://gis-mdc.opendata.arcgis.com/datasets/MDC::municipal-park-boundary/about</t>
        </is>
      </c>
      <c r="AM397" s="4" t="inlineStr">
        <is>
          <t>us_mdc_municipal_park_boundaries</t>
        </is>
      </c>
    </row>
    <row r="398">
      <c r="A398" s="4" t="inlineStr">
        <is>
          <t>Miami-Dade County Park Boundaries</t>
        </is>
      </c>
      <c r="B398" s="21" t="inlineStr">
        <is>
          <t>Browser needed</t>
        </is>
      </c>
      <c r="C398" s="4" t="n">
        <v>86</v>
      </c>
      <c r="D398" s="4" t="inlineStr">
        <is>
          <t>built_environment</t>
        </is>
      </c>
      <c r="E398" s="4" t="inlineStr">
        <is>
          <t>blocked</t>
        </is>
      </c>
      <c r="F398" s="4" t="inlineStr">
        <is>
          <t>unknown</t>
        </is>
      </c>
      <c r="G398" s="4" t="inlineStr">
        <is>
          <t>unknown</t>
        </is>
      </c>
      <c r="H398" s="4" t="inlineStr">
        <is>
          <t>Unknown</t>
        </is>
      </c>
      <c r="I398" s="4" t="n">
        <v>3</v>
      </c>
      <c r="J398" s="4" t="inlineStr">
        <is>
          <t>mdc_county_park_boundaries</t>
        </is>
      </c>
      <c r="K398" s="4" t="inlineStr">
        <is>
          <t>Curated</t>
        </is>
      </c>
      <c r="L398" s="4" t="n">
        <v>2025</v>
      </c>
      <c r="M398" s="4" t="inlineStr">
        <is>
          <t>unknown</t>
        </is>
      </c>
      <c r="N398" s="4" t="inlineStr">
        <is>
          <t>2026-10-28</t>
        </is>
      </c>
      <c r="O398" s="14" t="inlineStr">
        <is>
          <t>pass</t>
        </is>
      </c>
      <c r="P398" s="14" t="inlineStr">
        <is>
          <t>pass</t>
        </is>
      </c>
      <c r="Q398" s="14" t="inlineStr">
        <is>
          <t>pass</t>
        </is>
      </c>
      <c r="R398" s="16" t="inlineStr">
        <is>
          <t>warn</t>
        </is>
      </c>
      <c r="S398" s="15" t="inlineStr">
        <is>
          <t>not_checked</t>
        </is>
      </c>
      <c r="T398" s="15" t="inlineStr">
        <is>
          <t>n.a.</t>
        </is>
      </c>
      <c r="U398" s="15" t="inlineStr">
        <is>
          <t>n.a.</t>
        </is>
      </c>
      <c r="V398" s="14" t="inlineStr">
        <is>
          <t>pass</t>
        </is>
      </c>
      <c r="W398" s="16" t="inlineStr">
        <is>
          <t>warn</t>
        </is>
      </c>
      <c r="X398" s="14" t="inlineStr">
        <is>
          <t>pass</t>
        </is>
      </c>
      <c r="Y398" s="15" t="inlineStr">
        <is>
          <t>not_checked</t>
        </is>
      </c>
      <c r="Z398" s="15" t="inlineStr">
        <is>
          <t>not_checked</t>
        </is>
      </c>
      <c r="AA398" s="15" t="inlineStr">
        <is>
          <t>not_checked</t>
        </is>
      </c>
      <c r="AB398" s="15" t="inlineStr">
        <is>
          <t>not_checked</t>
        </is>
      </c>
      <c r="AC398" s="15" t="inlineStr">
        <is>
          <t>not_checked</t>
        </is>
      </c>
      <c r="AD398" s="15" t="inlineStr">
        <is>
          <t>not_checked</t>
        </is>
      </c>
      <c r="AE398" s="15" t="inlineStr">
        <is>
          <t>not_checked</t>
        </is>
      </c>
      <c r="AF398" s="15" t="inlineStr">
        <is>
          <t>not_checked</t>
        </is>
      </c>
      <c r="AG398" s="15" t="inlineStr">
        <is>
          <t>not_checked</t>
        </is>
      </c>
      <c r="AH398" s="15" t="inlineStr">
        <is>
          <t>not_checked</t>
        </is>
      </c>
      <c r="AI398" s="14" t="inlineStr">
        <is>
          <t>pass</t>
        </is>
      </c>
      <c r="AJ398" s="15" t="inlineStr">
        <is>
          <t>not_checked</t>
        </is>
      </c>
      <c r="AK398" s="4" t="inlineStr">
        <is>
          <t>soft404(warn);persistent_id(warn)</t>
        </is>
      </c>
      <c r="AL398" s="17" t="inlineStr">
        <is>
          <t>https://gis-mdc.opendata.arcgis.com/datasets/MDC::county-park-boundary-view/about</t>
        </is>
      </c>
      <c r="AM398" s="4" t="inlineStr">
        <is>
          <t>us_mdc_county_park_boundaries</t>
        </is>
      </c>
    </row>
    <row r="399">
      <c r="A399" s="4" t="inlineStr">
        <is>
          <t>ParkServe (Complete U.S. ParkServe Dataset) and ParkScore</t>
        </is>
      </c>
      <c r="B399" s="21" t="inlineStr">
        <is>
          <t>Browser needed</t>
        </is>
      </c>
      <c r="C399" s="4" t="n">
        <v>94</v>
      </c>
      <c r="D399" s="4" t="inlineStr">
        <is>
          <t>built_environment</t>
        </is>
      </c>
      <c r="E399" s="4" t="inlineStr">
        <is>
          <t>blocked</t>
        </is>
      </c>
      <c r="F399" s="4" t="inlineStr">
        <is>
          <t>unknown</t>
        </is>
      </c>
      <c r="G399" s="4" t="inlineStr">
        <is>
          <t>postcode_small_area</t>
        </is>
      </c>
      <c r="H399" s="4" t="inlineStr">
        <is>
          <t>Joins today</t>
        </is>
      </c>
      <c r="I399" s="4" t="n">
        <v>3</v>
      </c>
      <c r="J399" s="4" t="inlineStr"/>
      <c r="K399" s="4" t="inlineStr">
        <is>
          <t>Curated</t>
        </is>
      </c>
      <c r="L399" s="4" t="n">
        <v>2026</v>
      </c>
      <c r="M399" s="4" t="inlineStr">
        <is>
          <t>open</t>
        </is>
      </c>
      <c r="N399" s="4" t="inlineStr">
        <is>
          <t>2026-10-22</t>
        </is>
      </c>
      <c r="O399" s="14" t="inlineStr">
        <is>
          <t>pass</t>
        </is>
      </c>
      <c r="P399" s="14" t="inlineStr">
        <is>
          <t>pass</t>
        </is>
      </c>
      <c r="Q399" s="14" t="inlineStr">
        <is>
          <t>pass</t>
        </is>
      </c>
      <c r="R399" s="14" t="inlineStr">
        <is>
          <t>pass</t>
        </is>
      </c>
      <c r="S399" s="14" t="inlineStr">
        <is>
          <t>pass</t>
        </is>
      </c>
      <c r="T399" s="14" t="inlineStr">
        <is>
          <t>pass</t>
        </is>
      </c>
      <c r="U399" s="18" t="inlineStr">
        <is>
          <t>fail</t>
        </is>
      </c>
      <c r="V399" s="16" t="inlineStr">
        <is>
          <t>warn</t>
        </is>
      </c>
      <c r="W399" s="16" t="inlineStr">
        <is>
          <t>warn</t>
        </is>
      </c>
      <c r="X399" s="14" t="inlineStr">
        <is>
          <t>pass</t>
        </is>
      </c>
      <c r="Y399" s="15" t="inlineStr">
        <is>
          <t>not_checked</t>
        </is>
      </c>
      <c r="Z399" s="15" t="inlineStr">
        <is>
          <t>not_checked</t>
        </is>
      </c>
      <c r="AA399" s="15" t="inlineStr">
        <is>
          <t>not_checked</t>
        </is>
      </c>
      <c r="AB399" s="15" t="inlineStr">
        <is>
          <t>not_checked</t>
        </is>
      </c>
      <c r="AC399" s="15" t="inlineStr">
        <is>
          <t>not_checked</t>
        </is>
      </c>
      <c r="AD399" s="15" t="inlineStr">
        <is>
          <t>not_checked</t>
        </is>
      </c>
      <c r="AE399" s="15" t="inlineStr">
        <is>
          <t>not_checked</t>
        </is>
      </c>
      <c r="AF399" s="15" t="inlineStr">
        <is>
          <t>not_checked</t>
        </is>
      </c>
      <c r="AG399" s="15" t="inlineStr">
        <is>
          <t>not_checked</t>
        </is>
      </c>
      <c r="AH399" s="15" t="inlineStr">
        <is>
          <t>not_checked</t>
        </is>
      </c>
      <c r="AI399" s="15" t="inlineStr">
        <is>
          <t>n.a.</t>
        </is>
      </c>
      <c r="AJ399" s="15" t="inlineStr">
        <is>
          <t>n.a.</t>
        </is>
      </c>
      <c r="AK399" s="4" t="inlineStr">
        <is>
          <t>format_match;machine_metadata(warn);persistent_id(warn)</t>
        </is>
      </c>
      <c r="AL399" s="17" t="inlineStr">
        <is>
          <t>https://www.tpl.org/park-data-downloads</t>
        </is>
      </c>
      <c r="AM399" s="4" t="inlineStr">
        <is>
          <t>us_tpl_parkserve</t>
        </is>
      </c>
    </row>
    <row r="400">
      <c r="A400" s="4" t="inlineStr">
        <is>
          <t>Africa Infrastructure Country Diagnostic (AICD) spatial database</t>
        </is>
      </c>
      <c r="B400" s="21" t="inlineStr">
        <is>
          <t>Browser needed</t>
        </is>
      </c>
      <c r="C400" s="4" t="n">
        <v>50</v>
      </c>
      <c r="D400" s="4" t="inlineStr">
        <is>
          <t>built_environment</t>
        </is>
      </c>
      <c r="E400" s="4" t="inlineStr">
        <is>
          <t>blocked</t>
        </is>
      </c>
      <c r="F400" s="4" t="inlineStr">
        <is>
          <t>not checked</t>
        </is>
      </c>
      <c r="G400" s="4" t="inlineStr">
        <is>
          <t>point</t>
        </is>
      </c>
      <c r="H400" s="4" t="inlineStr">
        <is>
          <t>Needs a count/distance step</t>
        </is>
      </c>
      <c r="I400" s="4" t="n">
        <v>2</v>
      </c>
      <c r="J400" s="4" t="inlineStr"/>
      <c r="K400" s="4" t="inlineStr">
        <is>
          <t>Curated</t>
        </is>
      </c>
      <c r="L400" s="4" t="n">
        <v>2010</v>
      </c>
      <c r="M400" s="4" t="inlineStr">
        <is>
          <t>open</t>
        </is>
      </c>
      <c r="N400" s="4" t="inlineStr">
        <is>
          <t>2026-10-22</t>
        </is>
      </c>
      <c r="O400" s="16" t="inlineStr">
        <is>
          <t>warn</t>
        </is>
      </c>
      <c r="P400" s="14" t="inlineStr">
        <is>
          <t>pass</t>
        </is>
      </c>
      <c r="Q400" s="14" t="inlineStr">
        <is>
          <t>pass</t>
        </is>
      </c>
      <c r="R400" s="15" t="inlineStr">
        <is>
          <t>not_checked</t>
        </is>
      </c>
      <c r="S400" s="15" t="inlineStr">
        <is>
          <t>not_checked</t>
        </is>
      </c>
      <c r="T400" s="15" t="inlineStr">
        <is>
          <t>n.a.</t>
        </is>
      </c>
      <c r="U400" s="15" t="inlineStr">
        <is>
          <t>n.a.</t>
        </is>
      </c>
      <c r="V400" s="15" t="inlineStr">
        <is>
          <t>not_checked</t>
        </is>
      </c>
      <c r="W400" s="15" t="inlineStr">
        <is>
          <t>not_checked</t>
        </is>
      </c>
      <c r="X400" s="18" t="inlineStr">
        <is>
          <t>fail</t>
        </is>
      </c>
      <c r="Y400" s="15" t="inlineStr">
        <is>
          <t>not_checked</t>
        </is>
      </c>
      <c r="Z400" s="15" t="inlineStr">
        <is>
          <t>not_checked</t>
        </is>
      </c>
      <c r="AA400" s="15" t="inlineStr">
        <is>
          <t>not_checked</t>
        </is>
      </c>
      <c r="AB400" s="15" t="inlineStr">
        <is>
          <t>not_checked</t>
        </is>
      </c>
      <c r="AC400" s="15" t="inlineStr">
        <is>
          <t>not_checked</t>
        </is>
      </c>
      <c r="AD400" s="15" t="inlineStr">
        <is>
          <t>not_checked</t>
        </is>
      </c>
      <c r="AE400" s="15" t="inlineStr">
        <is>
          <t>not_checked</t>
        </is>
      </c>
      <c r="AF400" s="15" t="inlineStr">
        <is>
          <t>not_checked</t>
        </is>
      </c>
      <c r="AG400" s="15" t="inlineStr">
        <is>
          <t>not_checked</t>
        </is>
      </c>
      <c r="AH400" s="15" t="inlineStr">
        <is>
          <t>not_checked</t>
        </is>
      </c>
      <c r="AI400" s="15" t="inlineStr">
        <is>
          <t>n.a.</t>
        </is>
      </c>
      <c r="AJ400" s="15" t="inlineStr">
        <is>
          <t>n.a.</t>
        </is>
      </c>
      <c r="AK400" s="4" t="inlineStr">
        <is>
          <t>archived;link_live(warn)</t>
        </is>
      </c>
      <c r="AL400" s="17" t="inlineStr">
        <is>
          <t>https://energydata.info/dataset?tags=AICD</t>
        </is>
      </c>
      <c r="AM400" s="4" t="inlineStr">
        <is>
          <t>global_worldbank_aicd_spatial</t>
        </is>
      </c>
    </row>
    <row r="401">
      <c r="A401" s="4" t="inlineStr">
        <is>
          <t>Catastro Minero Huayhuash (INGEMMET)</t>
        </is>
      </c>
      <c r="B401" s="21" t="inlineStr">
        <is>
          <t>Browser needed</t>
        </is>
      </c>
      <c r="C401" s="4" t="n">
        <v>0</v>
      </c>
      <c r="D401" s="4" t="inlineStr">
        <is>
          <t>built_environment</t>
        </is>
      </c>
      <c r="E401" s="4" t="inlineStr">
        <is>
          <t>blocked</t>
        </is>
      </c>
      <c r="F401" s="4" t="inlineStr">
        <is>
          <t>not checked</t>
        </is>
      </c>
      <c r="G401" s="4" t="inlineStr">
        <is>
          <t>unknown</t>
        </is>
      </c>
      <c r="H401" s="4" t="inlineStr">
        <is>
          <t>Unknown</t>
        </is>
      </c>
      <c r="I401" s="4" t="n">
        <v>2</v>
      </c>
      <c r="J401" s="4" t="inlineStr"/>
      <c r="K401" s="4" t="inlineStr">
        <is>
          <t>Curated</t>
        </is>
      </c>
      <c r="L401" s="4" t="inlineStr"/>
      <c r="M401" s="4" t="inlineStr">
        <is>
          <t>unknown</t>
        </is>
      </c>
      <c r="N401" s="4" t="inlineStr">
        <is>
          <t>2026-10-22</t>
        </is>
      </c>
      <c r="O401" s="18" t="inlineStr">
        <is>
          <t>fail</t>
        </is>
      </c>
      <c r="P401" s="15" t="inlineStr">
        <is>
          <t>n.a.</t>
        </is>
      </c>
      <c r="Q401" s="18" t="inlineStr">
        <is>
          <t>fail</t>
        </is>
      </c>
      <c r="R401" s="15" t="inlineStr">
        <is>
          <t>n.a.</t>
        </is>
      </c>
      <c r="S401" s="15" t="inlineStr">
        <is>
          <t>n.a.</t>
        </is>
      </c>
      <c r="T401" s="15" t="inlineStr">
        <is>
          <t>n.a.</t>
        </is>
      </c>
      <c r="U401" s="15" t="inlineStr">
        <is>
          <t>n.a.</t>
        </is>
      </c>
      <c r="V401" s="15" t="inlineStr">
        <is>
          <t>n.a.</t>
        </is>
      </c>
      <c r="W401" s="15" t="inlineStr">
        <is>
          <t>not_checked</t>
        </is>
      </c>
      <c r="X401" s="14" t="inlineStr">
        <is>
          <t>pass</t>
        </is>
      </c>
      <c r="Y401" s="15" t="inlineStr">
        <is>
          <t>not_checked</t>
        </is>
      </c>
      <c r="Z401" s="15" t="inlineStr">
        <is>
          <t>not_checked</t>
        </is>
      </c>
      <c r="AA401" s="15" t="inlineStr">
        <is>
          <t>not_checked</t>
        </is>
      </c>
      <c r="AB401" s="15" t="inlineStr">
        <is>
          <t>not_checked</t>
        </is>
      </c>
      <c r="AC401" s="15" t="inlineStr">
        <is>
          <t>not_checked</t>
        </is>
      </c>
      <c r="AD401" s="15" t="inlineStr">
        <is>
          <t>not_checked</t>
        </is>
      </c>
      <c r="AE401" s="15" t="inlineStr">
        <is>
          <t>not_checked</t>
        </is>
      </c>
      <c r="AF401" s="15" t="inlineStr">
        <is>
          <t>not_checked</t>
        </is>
      </c>
      <c r="AG401" s="15" t="inlineStr">
        <is>
          <t>not_checked</t>
        </is>
      </c>
      <c r="AH401" s="15" t="inlineStr">
        <is>
          <t>not_checked</t>
        </is>
      </c>
      <c r="AI401" s="15" t="inlineStr">
        <is>
          <t>n.a.</t>
        </is>
      </c>
      <c r="AJ401" s="15" t="inlineStr">
        <is>
          <t>n.a.</t>
        </is>
      </c>
      <c r="AK401" s="4" t="inlineStr">
        <is>
          <t>link_live;tls</t>
        </is>
      </c>
      <c r="AL401" s="17" t="inlineStr">
        <is>
          <t>https://geocatmin.ingemmet.gob.pe/arcgis/rest/services/SERV_CATASTRO_MINERO_WGS84/MapServer/0</t>
        </is>
      </c>
      <c r="AM401" s="4" t="inlineStr">
        <is>
          <t>pe_catastrominero_ingemmet</t>
        </is>
      </c>
    </row>
    <row r="402">
      <c r="A402" s="4" t="inlineStr">
        <is>
          <t>Catastro Rural and Comunidades Campesinas (MIDAGRI)</t>
        </is>
      </c>
      <c r="B402" s="21" t="inlineStr">
        <is>
          <t>Browser needed</t>
        </is>
      </c>
      <c r="C402" s="4" t="n">
        <v>0</v>
      </c>
      <c r="D402" s="4" t="inlineStr">
        <is>
          <t>built_environment</t>
        </is>
      </c>
      <c r="E402" s="4" t="inlineStr">
        <is>
          <t>blocked</t>
        </is>
      </c>
      <c r="F402" s="4" t="inlineStr">
        <is>
          <t>not checked</t>
        </is>
      </c>
      <c r="G402" s="4" t="inlineStr">
        <is>
          <t>unknown</t>
        </is>
      </c>
      <c r="H402" s="4" t="inlineStr">
        <is>
          <t>Unknown</t>
        </is>
      </c>
      <c r="I402" s="4" t="n">
        <v>2</v>
      </c>
      <c r="J402" s="4" t="inlineStr"/>
      <c r="K402" s="4" t="inlineStr">
        <is>
          <t>Curated</t>
        </is>
      </c>
      <c r="L402" s="4" t="inlineStr"/>
      <c r="M402" s="4" t="inlineStr">
        <is>
          <t>unknown</t>
        </is>
      </c>
      <c r="N402" s="4" t="inlineStr">
        <is>
          <t>2026-10-22</t>
        </is>
      </c>
      <c r="O402" s="18" t="inlineStr">
        <is>
          <t>fail</t>
        </is>
      </c>
      <c r="P402" s="15" t="inlineStr">
        <is>
          <t>n.a.</t>
        </is>
      </c>
      <c r="Q402" s="18" t="inlineStr">
        <is>
          <t>fail</t>
        </is>
      </c>
      <c r="R402" s="15" t="inlineStr">
        <is>
          <t>n.a.</t>
        </is>
      </c>
      <c r="S402" s="15" t="inlineStr">
        <is>
          <t>n.a.</t>
        </is>
      </c>
      <c r="T402" s="15" t="inlineStr">
        <is>
          <t>n.a.</t>
        </is>
      </c>
      <c r="U402" s="15" t="inlineStr">
        <is>
          <t>n.a.</t>
        </is>
      </c>
      <c r="V402" s="15" t="inlineStr">
        <is>
          <t>n.a.</t>
        </is>
      </c>
      <c r="W402" s="15" t="inlineStr">
        <is>
          <t>not_checked</t>
        </is>
      </c>
      <c r="X402" s="18" t="inlineStr">
        <is>
          <t>fail</t>
        </is>
      </c>
      <c r="Y402" s="15" t="inlineStr">
        <is>
          <t>not_checked</t>
        </is>
      </c>
      <c r="Z402" s="15" t="inlineStr">
        <is>
          <t>not_checked</t>
        </is>
      </c>
      <c r="AA402" s="15" t="inlineStr">
        <is>
          <t>not_checked</t>
        </is>
      </c>
      <c r="AB402" s="15" t="inlineStr">
        <is>
          <t>not_checked</t>
        </is>
      </c>
      <c r="AC402" s="15" t="inlineStr">
        <is>
          <t>not_checked</t>
        </is>
      </c>
      <c r="AD402" s="15" t="inlineStr">
        <is>
          <t>not_checked</t>
        </is>
      </c>
      <c r="AE402" s="15" t="inlineStr">
        <is>
          <t>not_checked</t>
        </is>
      </c>
      <c r="AF402" s="15" t="inlineStr">
        <is>
          <t>not_checked</t>
        </is>
      </c>
      <c r="AG402" s="15" t="inlineStr">
        <is>
          <t>not_checked</t>
        </is>
      </c>
      <c r="AH402" s="15" t="inlineStr">
        <is>
          <t>not_checked</t>
        </is>
      </c>
      <c r="AI402" s="15" t="inlineStr">
        <is>
          <t>n.a.</t>
        </is>
      </c>
      <c r="AJ402" s="15" t="inlineStr">
        <is>
          <t>n.a.</t>
        </is>
      </c>
      <c r="AK402" s="4" t="inlineStr">
        <is>
          <t>link_live;tls;archived</t>
        </is>
      </c>
      <c r="AL402" s="17" t="inlineStr">
        <is>
          <t>https://georural.midagri.gob.pe/geoservicios/rest/services/public/Catastro_Rural/MapServer/0</t>
        </is>
      </c>
      <c r="AM402" s="4" t="inlineStr">
        <is>
          <t>pe_midagri_catastro_rural</t>
        </is>
      </c>
    </row>
    <row r="403">
      <c r="A403" s="4" t="inlineStr">
        <is>
          <t>NaNDA: Recreation and Arts Establishments by Census Tract and ZCTA</t>
        </is>
      </c>
      <c r="B403" s="21" t="inlineStr">
        <is>
          <t>Browser needed</t>
        </is>
      </c>
      <c r="C403" s="4" t="n">
        <v>50</v>
      </c>
      <c r="D403" s="4" t="inlineStr">
        <is>
          <t>built_environment</t>
        </is>
      </c>
      <c r="E403" s="4" t="inlineStr">
        <is>
          <t>blocked</t>
        </is>
      </c>
      <c r="F403" s="4" t="inlineStr">
        <is>
          <t>not checked</t>
        </is>
      </c>
      <c r="G403" s="4" t="inlineStr">
        <is>
          <t>tract</t>
        </is>
      </c>
      <c r="H403" s="4" t="inlineStr">
        <is>
          <t>Joins today</t>
        </is>
      </c>
      <c r="I403" s="4" t="n">
        <v>2</v>
      </c>
      <c r="J403" s="4" t="inlineStr"/>
      <c r="K403" s="4" t="inlineStr">
        <is>
          <t>Curated</t>
        </is>
      </c>
      <c r="L403" s="4" t="n">
        <v>2026</v>
      </c>
      <c r="M403" s="4" t="inlineStr">
        <is>
          <t>open</t>
        </is>
      </c>
      <c r="N403" s="4" t="inlineStr">
        <is>
          <t>2026-10-22</t>
        </is>
      </c>
      <c r="O403" s="16" t="inlineStr">
        <is>
          <t>warn</t>
        </is>
      </c>
      <c r="P403" s="14" t="inlineStr">
        <is>
          <t>pass</t>
        </is>
      </c>
      <c r="Q403" s="14" t="inlineStr">
        <is>
          <t>pass</t>
        </is>
      </c>
      <c r="R403" s="15" t="inlineStr">
        <is>
          <t>not_checked</t>
        </is>
      </c>
      <c r="S403" s="15" t="inlineStr">
        <is>
          <t>not_checked</t>
        </is>
      </c>
      <c r="T403" s="14" t="inlineStr">
        <is>
          <t>pass</t>
        </is>
      </c>
      <c r="U403" s="16" t="inlineStr">
        <is>
          <t>warn</t>
        </is>
      </c>
      <c r="V403" s="15" t="inlineStr">
        <is>
          <t>not_checked</t>
        </is>
      </c>
      <c r="W403" s="15" t="inlineStr">
        <is>
          <t>not_checked</t>
        </is>
      </c>
      <c r="X403" s="18" t="inlineStr">
        <is>
          <t>fail</t>
        </is>
      </c>
      <c r="Y403" s="15" t="inlineStr">
        <is>
          <t>not_checked</t>
        </is>
      </c>
      <c r="Z403" s="15" t="inlineStr">
        <is>
          <t>not_checked</t>
        </is>
      </c>
      <c r="AA403" s="15" t="inlineStr">
        <is>
          <t>not_checked</t>
        </is>
      </c>
      <c r="AB403" s="15" t="inlineStr">
        <is>
          <t>not_checked</t>
        </is>
      </c>
      <c r="AC403" s="15" t="inlineStr">
        <is>
          <t>not_checked</t>
        </is>
      </c>
      <c r="AD403" s="15" t="inlineStr">
        <is>
          <t>not_checked</t>
        </is>
      </c>
      <c r="AE403" s="15" t="inlineStr">
        <is>
          <t>not_checked</t>
        </is>
      </c>
      <c r="AF403" s="15" t="inlineStr">
        <is>
          <t>not_checked</t>
        </is>
      </c>
      <c r="AG403" s="15" t="inlineStr">
        <is>
          <t>not_checked</t>
        </is>
      </c>
      <c r="AH403" s="15" t="inlineStr">
        <is>
          <t>not_checked</t>
        </is>
      </c>
      <c r="AI403" s="15" t="inlineStr">
        <is>
          <t>n.a.</t>
        </is>
      </c>
      <c r="AJ403" s="15" t="inlineStr">
        <is>
          <t>n.a.</t>
        </is>
      </c>
      <c r="AK403" s="4" t="inlineStr">
        <is>
          <t>archived;link_live(warn);format_match(warn)</t>
        </is>
      </c>
      <c r="AL403" s="17" t="inlineStr">
        <is>
          <t>https://nanda.isr.umich.edu/2026/04/09/12-nanda-datasets-updated-through-2022/</t>
        </is>
      </c>
      <c r="AM403" s="4" t="inlineStr">
        <is>
          <t>us_umich_nanda_recreation</t>
        </is>
      </c>
    </row>
    <row r="404">
      <c r="A404" s="4" t="inlineStr">
        <is>
          <t>NaNDA: Traffic Volume by Census Tract and ZCTA</t>
        </is>
      </c>
      <c r="B404" s="21" t="inlineStr">
        <is>
          <t>Browser needed</t>
        </is>
      </c>
      <c r="C404" s="4" t="n">
        <v>50</v>
      </c>
      <c r="D404" s="4" t="inlineStr">
        <is>
          <t>built_environment</t>
        </is>
      </c>
      <c r="E404" s="4" t="inlineStr">
        <is>
          <t>blocked</t>
        </is>
      </c>
      <c r="F404" s="4" t="inlineStr">
        <is>
          <t>not checked</t>
        </is>
      </c>
      <c r="G404" s="4" t="inlineStr">
        <is>
          <t>tract</t>
        </is>
      </c>
      <c r="H404" s="4" t="inlineStr">
        <is>
          <t>Joins today</t>
        </is>
      </c>
      <c r="I404" s="4" t="n">
        <v>2</v>
      </c>
      <c r="J404" s="4" t="inlineStr"/>
      <c r="K404" s="4" t="inlineStr">
        <is>
          <t>Curated</t>
        </is>
      </c>
      <c r="L404" s="4" t="n">
        <v>2019</v>
      </c>
      <c r="M404" s="4" t="inlineStr">
        <is>
          <t>open</t>
        </is>
      </c>
      <c r="N404" s="4" t="inlineStr">
        <is>
          <t>2026-10-22</t>
        </is>
      </c>
      <c r="O404" s="16" t="inlineStr">
        <is>
          <t>warn</t>
        </is>
      </c>
      <c r="P404" s="14" t="inlineStr">
        <is>
          <t>pass</t>
        </is>
      </c>
      <c r="Q404" s="14" t="inlineStr">
        <is>
          <t>pass</t>
        </is>
      </c>
      <c r="R404" s="15" t="inlineStr">
        <is>
          <t>not_checked</t>
        </is>
      </c>
      <c r="S404" s="15" t="inlineStr">
        <is>
          <t>not_checked</t>
        </is>
      </c>
      <c r="T404" s="16" t="inlineStr">
        <is>
          <t>warn</t>
        </is>
      </c>
      <c r="U404" s="15" t="inlineStr">
        <is>
          <t>n.a.</t>
        </is>
      </c>
      <c r="V404" s="15" t="inlineStr">
        <is>
          <t>not_checked</t>
        </is>
      </c>
      <c r="W404" s="15" t="inlineStr">
        <is>
          <t>not_checked</t>
        </is>
      </c>
      <c r="X404" s="14" t="inlineStr">
        <is>
          <t>pass</t>
        </is>
      </c>
      <c r="Y404" s="15" t="inlineStr">
        <is>
          <t>not_checked</t>
        </is>
      </c>
      <c r="Z404" s="15" t="inlineStr">
        <is>
          <t>not_checked</t>
        </is>
      </c>
      <c r="AA404" s="15" t="inlineStr">
        <is>
          <t>not_checked</t>
        </is>
      </c>
      <c r="AB404" s="15" t="inlineStr">
        <is>
          <t>not_checked</t>
        </is>
      </c>
      <c r="AC404" s="15" t="inlineStr">
        <is>
          <t>not_checked</t>
        </is>
      </c>
      <c r="AD404" s="15" t="inlineStr">
        <is>
          <t>not_checked</t>
        </is>
      </c>
      <c r="AE404" s="15" t="inlineStr">
        <is>
          <t>not_checked</t>
        </is>
      </c>
      <c r="AF404" s="15" t="inlineStr">
        <is>
          <t>not_checked</t>
        </is>
      </c>
      <c r="AG404" s="15" t="inlineStr">
        <is>
          <t>not_checked</t>
        </is>
      </c>
      <c r="AH404" s="15" t="inlineStr">
        <is>
          <t>not_checked</t>
        </is>
      </c>
      <c r="AI404" s="15" t="inlineStr">
        <is>
          <t>n.a.</t>
        </is>
      </c>
      <c r="AJ404" s="15" t="inlineStr">
        <is>
          <t>n.a.</t>
        </is>
      </c>
      <c r="AK404" s="4" t="inlineStr">
        <is>
          <t>link_live(warn);access_url(warn)</t>
        </is>
      </c>
      <c r="AL404" s="17" t="inlineStr">
        <is>
          <t>https://www.icpsr.umich.edu/web/ICPSR/studies/38584</t>
        </is>
      </c>
      <c r="AM404" s="4" t="inlineStr">
        <is>
          <t>us_umich_nanda_traffic</t>
        </is>
      </c>
    </row>
    <row r="405">
      <c r="A405" s="4" t="inlineStr">
        <is>
          <t>National Transit Database (NTD)</t>
        </is>
      </c>
      <c r="B405" s="21" t="inlineStr">
        <is>
          <t>Browser needed</t>
        </is>
      </c>
      <c r="C405" s="4" t="n">
        <v>71</v>
      </c>
      <c r="D405" s="4" t="inlineStr">
        <is>
          <t>built_environment</t>
        </is>
      </c>
      <c r="E405" s="4" t="inlineStr">
        <is>
          <t>blocked</t>
        </is>
      </c>
      <c r="F405" s="4" t="inlineStr">
        <is>
          <t>public_domain_us_federal</t>
        </is>
      </c>
      <c r="G405" s="4" t="inlineStr">
        <is>
          <t>unknown</t>
        </is>
      </c>
      <c r="H405" s="4" t="inlineStr">
        <is>
          <t>Unknown</t>
        </is>
      </c>
      <c r="I405" s="4" t="n">
        <v>2</v>
      </c>
      <c r="J405" s="4" t="inlineStr"/>
      <c r="K405" s="4" t="inlineStr">
        <is>
          <t>Curated</t>
        </is>
      </c>
      <c r="L405" s="4" t="inlineStr">
        <is>
          <t>current</t>
        </is>
      </c>
      <c r="M405" s="4" t="inlineStr">
        <is>
          <t>open</t>
        </is>
      </c>
      <c r="N405" s="4" t="inlineStr">
        <is>
          <t>2026-10-29</t>
        </is>
      </c>
      <c r="O405" s="16" t="inlineStr">
        <is>
          <t>warn</t>
        </is>
      </c>
      <c r="P405" s="14" t="inlineStr">
        <is>
          <t>pass</t>
        </is>
      </c>
      <c r="Q405" s="14" t="inlineStr">
        <is>
          <t>pass</t>
        </is>
      </c>
      <c r="R405" s="15" t="inlineStr">
        <is>
          <t>not_checked</t>
        </is>
      </c>
      <c r="S405" s="15" t="inlineStr">
        <is>
          <t>not_checked</t>
        </is>
      </c>
      <c r="T405" s="14" t="inlineStr">
        <is>
          <t>pass</t>
        </is>
      </c>
      <c r="U405" s="14" t="inlineStr">
        <is>
          <t>pass</t>
        </is>
      </c>
      <c r="V405" s="15" t="inlineStr">
        <is>
          <t>not_checked</t>
        </is>
      </c>
      <c r="W405" s="15" t="inlineStr">
        <is>
          <t>not_checked</t>
        </is>
      </c>
      <c r="X405" s="14" t="inlineStr">
        <is>
          <t>pass</t>
        </is>
      </c>
      <c r="Y405" s="14" t="inlineStr">
        <is>
          <t>pass</t>
        </is>
      </c>
      <c r="Z405" s="15" t="inlineStr">
        <is>
          <t>not_checked</t>
        </is>
      </c>
      <c r="AA405" s="15" t="inlineStr">
        <is>
          <t>not_checked</t>
        </is>
      </c>
      <c r="AB405" s="15" t="inlineStr">
        <is>
          <t>not_checked</t>
        </is>
      </c>
      <c r="AC405" s="15" t="inlineStr">
        <is>
          <t>not_checked</t>
        </is>
      </c>
      <c r="AD405" s="15" t="inlineStr">
        <is>
          <t>not_checked</t>
        </is>
      </c>
      <c r="AE405" s="15" t="inlineStr">
        <is>
          <t>not_checked</t>
        </is>
      </c>
      <c r="AF405" s="15" t="inlineStr">
        <is>
          <t>not_checked</t>
        </is>
      </c>
      <c r="AG405" s="15" t="inlineStr">
        <is>
          <t>not_checked</t>
        </is>
      </c>
      <c r="AH405" s="15" t="inlineStr">
        <is>
          <t>not_checked</t>
        </is>
      </c>
      <c r="AI405" s="15" t="inlineStr">
        <is>
          <t>n.a.</t>
        </is>
      </c>
      <c r="AJ405" s="15" t="inlineStr">
        <is>
          <t>n.a.</t>
        </is>
      </c>
      <c r="AK405" s="4" t="inlineStr">
        <is>
          <t>link_live(warn)</t>
        </is>
      </c>
      <c r="AL405" s="17" t="inlineStr">
        <is>
          <t>https://transit.dot.gov/ntd</t>
        </is>
      </c>
      <c r="AM405" s="4" t="inlineStr">
        <is>
          <t>us_fta_national_transit_database</t>
        </is>
      </c>
    </row>
    <row r="406">
      <c r="A406" s="4" t="inlineStr">
        <is>
          <t>National Transportation Atlas Database (NTAD)</t>
        </is>
      </c>
      <c r="B406" s="21" t="inlineStr">
        <is>
          <t>Browser needed</t>
        </is>
      </c>
      <c r="C406" s="4" t="n">
        <v>85</v>
      </c>
      <c r="D406" s="4" t="inlineStr">
        <is>
          <t>built_environment</t>
        </is>
      </c>
      <c r="E406" s="4" t="inlineStr">
        <is>
          <t>blocked</t>
        </is>
      </c>
      <c r="F406" s="4" t="inlineStr">
        <is>
          <t>public_domain_us_federal</t>
        </is>
      </c>
      <c r="G406" s="4" t="inlineStr">
        <is>
          <t>point</t>
        </is>
      </c>
      <c r="H406" s="4" t="inlineStr">
        <is>
          <t>Needs a count/distance step</t>
        </is>
      </c>
      <c r="I406" s="4" t="n">
        <v>2</v>
      </c>
      <c r="J406" s="4" t="inlineStr"/>
      <c r="K406" s="4" t="inlineStr">
        <is>
          <t>Curated</t>
        </is>
      </c>
      <c r="L406" s="4" t="inlineStr">
        <is>
          <t>current</t>
        </is>
      </c>
      <c r="M406" s="4" t="inlineStr">
        <is>
          <t>open</t>
        </is>
      </c>
      <c r="N406" s="4" t="inlineStr">
        <is>
          <t>2026-10-29</t>
        </is>
      </c>
      <c r="O406" s="14" t="inlineStr">
        <is>
          <t>pass</t>
        </is>
      </c>
      <c r="P406" s="14" t="inlineStr">
        <is>
          <t>pass</t>
        </is>
      </c>
      <c r="Q406" s="14" t="inlineStr">
        <is>
          <t>pass</t>
        </is>
      </c>
      <c r="R406" s="16" t="inlineStr">
        <is>
          <t>warn</t>
        </is>
      </c>
      <c r="S406" s="15" t="inlineStr">
        <is>
          <t>not_checked</t>
        </is>
      </c>
      <c r="T406" s="14" t="inlineStr">
        <is>
          <t>pass</t>
        </is>
      </c>
      <c r="U406" s="14" t="inlineStr">
        <is>
          <t>pass</t>
        </is>
      </c>
      <c r="V406" s="16" t="inlineStr">
        <is>
          <t>warn</t>
        </is>
      </c>
      <c r="W406" s="16" t="inlineStr">
        <is>
          <t>warn</t>
        </is>
      </c>
      <c r="X406" s="14" t="inlineStr">
        <is>
          <t>pass</t>
        </is>
      </c>
      <c r="Y406" s="14" t="inlineStr">
        <is>
          <t>pass</t>
        </is>
      </c>
      <c r="Z406" s="15" t="inlineStr">
        <is>
          <t>not_checked</t>
        </is>
      </c>
      <c r="AA406" s="15" t="inlineStr">
        <is>
          <t>not_checked</t>
        </is>
      </c>
      <c r="AB406" s="15" t="inlineStr">
        <is>
          <t>not_checked</t>
        </is>
      </c>
      <c r="AC406" s="15" t="inlineStr">
        <is>
          <t>not_checked</t>
        </is>
      </c>
      <c r="AD406" s="15" t="inlineStr">
        <is>
          <t>not_checked</t>
        </is>
      </c>
      <c r="AE406" s="15" t="inlineStr">
        <is>
          <t>not_checked</t>
        </is>
      </c>
      <c r="AF406" s="15" t="inlineStr">
        <is>
          <t>not_checked</t>
        </is>
      </c>
      <c r="AG406" s="15" t="inlineStr">
        <is>
          <t>not_checked</t>
        </is>
      </c>
      <c r="AH406" s="15" t="inlineStr">
        <is>
          <t>not_checked</t>
        </is>
      </c>
      <c r="AI406" s="15" t="inlineStr">
        <is>
          <t>n.a.</t>
        </is>
      </c>
      <c r="AJ406" s="15" t="inlineStr">
        <is>
          <t>n.a.</t>
        </is>
      </c>
      <c r="AK406" s="4" t="inlineStr">
        <is>
          <t>soft404(warn);machine_metadata(warn);persistent_id(warn)</t>
        </is>
      </c>
      <c r="AL406" s="17" t="inlineStr">
        <is>
          <t>https://geodata.bts.gov/</t>
        </is>
      </c>
      <c r="AM406" s="4" t="inlineStr">
        <is>
          <t>us_bts_ntad</t>
        </is>
      </c>
    </row>
    <row r="407">
      <c r="A407" s="4" t="inlineStr">
        <is>
          <t>NatureScore</t>
        </is>
      </c>
      <c r="B407" s="21" t="inlineStr">
        <is>
          <t>Browser needed</t>
        </is>
      </c>
      <c r="C407" s="4" t="n">
        <v>94</v>
      </c>
      <c r="D407" s="4" t="inlineStr">
        <is>
          <t>built_environment</t>
        </is>
      </c>
      <c r="E407" s="4" t="inlineStr">
        <is>
          <t>blocked</t>
        </is>
      </c>
      <c r="F407" s="4" t="inlineStr">
        <is>
          <t>unknown</t>
        </is>
      </c>
      <c r="G407" s="4" t="inlineStr">
        <is>
          <t>point</t>
        </is>
      </c>
      <c r="H407" s="4" t="inlineStr">
        <is>
          <t>Needs a count/distance step</t>
        </is>
      </c>
      <c r="I407" s="4" t="n">
        <v>2</v>
      </c>
      <c r="J407" s="4" t="inlineStr"/>
      <c r="K407" s="4" t="inlineStr">
        <is>
          <t>Curated</t>
        </is>
      </c>
      <c r="L407" s="4" t="inlineStr"/>
      <c r="M407" s="4" t="inlineStr">
        <is>
          <t>restricted</t>
        </is>
      </c>
      <c r="N407" s="4" t="inlineStr">
        <is>
          <t>2026-10-28</t>
        </is>
      </c>
      <c r="O407" s="14" t="inlineStr">
        <is>
          <t>pass</t>
        </is>
      </c>
      <c r="P407" s="14" t="inlineStr">
        <is>
          <t>pass</t>
        </is>
      </c>
      <c r="Q407" s="14" t="inlineStr">
        <is>
          <t>pass</t>
        </is>
      </c>
      <c r="R407" s="14" t="inlineStr">
        <is>
          <t>pass</t>
        </is>
      </c>
      <c r="S407" s="14" t="inlineStr">
        <is>
          <t>pass</t>
        </is>
      </c>
      <c r="T407" s="15" t="inlineStr">
        <is>
          <t>n.a.</t>
        </is>
      </c>
      <c r="U407" s="15" t="inlineStr">
        <is>
          <t>n.a.</t>
        </is>
      </c>
      <c r="V407" s="16" t="inlineStr">
        <is>
          <t>warn</t>
        </is>
      </c>
      <c r="W407" s="16" t="inlineStr">
        <is>
          <t>warn</t>
        </is>
      </c>
      <c r="X407" s="14" t="inlineStr">
        <is>
          <t>pass</t>
        </is>
      </c>
      <c r="Y407" s="15" t="inlineStr">
        <is>
          <t>not_checked</t>
        </is>
      </c>
      <c r="Z407" s="15" t="inlineStr">
        <is>
          <t>not_checked</t>
        </is>
      </c>
      <c r="AA407" s="15" t="inlineStr">
        <is>
          <t>not_checked</t>
        </is>
      </c>
      <c r="AB407" s="15" t="inlineStr">
        <is>
          <t>not_checked</t>
        </is>
      </c>
      <c r="AC407" s="15" t="inlineStr">
        <is>
          <t>not_checked</t>
        </is>
      </c>
      <c r="AD407" s="15" t="inlineStr">
        <is>
          <t>not_checked</t>
        </is>
      </c>
      <c r="AE407" s="15" t="inlineStr">
        <is>
          <t>not_checked</t>
        </is>
      </c>
      <c r="AF407" s="15" t="inlineStr">
        <is>
          <t>not_checked</t>
        </is>
      </c>
      <c r="AG407" s="15" t="inlineStr">
        <is>
          <t>not_checked</t>
        </is>
      </c>
      <c r="AH407" s="15" t="inlineStr">
        <is>
          <t>not_checked</t>
        </is>
      </c>
      <c r="AI407" s="15" t="inlineStr">
        <is>
          <t>n.a.</t>
        </is>
      </c>
      <c r="AJ407" s="15" t="inlineStr">
        <is>
          <t>n.a.</t>
        </is>
      </c>
      <c r="AK407" s="4" t="inlineStr">
        <is>
          <t>machine_metadata(warn);persistent_id(warn)</t>
        </is>
      </c>
      <c r="AL407" s="17" t="inlineStr">
        <is>
          <t>https://www.naturequant.com/naturescore/</t>
        </is>
      </c>
      <c r="AM407" s="4" t="inlineStr">
        <is>
          <t>us_naturequant_naturescore</t>
        </is>
      </c>
    </row>
    <row r="408">
      <c r="A408" s="4" t="inlineStr">
        <is>
          <t>Potensi Desa (Podes) 2024 - village potential statistics</t>
        </is>
      </c>
      <c r="B408" s="21" t="inlineStr">
        <is>
          <t>Browser needed</t>
        </is>
      </c>
      <c r="C408" s="4" t="n">
        <v>50</v>
      </c>
      <c r="D408" s="4" t="inlineStr">
        <is>
          <t>built_environment</t>
        </is>
      </c>
      <c r="E408" s="4" t="inlineStr">
        <is>
          <t>blocked</t>
        </is>
      </c>
      <c r="F408" s="4" t="inlineStr">
        <is>
          <t>not checked</t>
        </is>
      </c>
      <c r="G408" s="4" t="inlineStr">
        <is>
          <t>unknown</t>
        </is>
      </c>
      <c r="H408" s="4" t="inlineStr">
        <is>
          <t>Unknown</t>
        </is>
      </c>
      <c r="I408" s="4" t="n">
        <v>2</v>
      </c>
      <c r="J408" s="4" t="inlineStr"/>
      <c r="K408" s="4" t="inlineStr">
        <is>
          <t>Curated</t>
        </is>
      </c>
      <c r="L408" s="4" t="n">
        <v>2024</v>
      </c>
      <c r="M408" s="4" t="inlineStr">
        <is>
          <t>registration</t>
        </is>
      </c>
      <c r="N408" s="4" t="inlineStr">
        <is>
          <t>2026-10-22</t>
        </is>
      </c>
      <c r="O408" s="16" t="inlineStr">
        <is>
          <t>warn</t>
        </is>
      </c>
      <c r="P408" s="14" t="inlineStr">
        <is>
          <t>pass</t>
        </is>
      </c>
      <c r="Q408" s="14" t="inlineStr">
        <is>
          <t>pass</t>
        </is>
      </c>
      <c r="R408" s="15" t="inlineStr">
        <is>
          <t>not_checked</t>
        </is>
      </c>
      <c r="S408" s="15" t="inlineStr">
        <is>
          <t>not_checked</t>
        </is>
      </c>
      <c r="T408" s="16" t="inlineStr">
        <is>
          <t>warn</t>
        </is>
      </c>
      <c r="U408" s="15" t="inlineStr">
        <is>
          <t>n.a.</t>
        </is>
      </c>
      <c r="V408" s="15" t="inlineStr">
        <is>
          <t>not_checked</t>
        </is>
      </c>
      <c r="W408" s="15" t="inlineStr">
        <is>
          <t>not_checked</t>
        </is>
      </c>
      <c r="X408" s="14" t="inlineStr">
        <is>
          <t>pass</t>
        </is>
      </c>
      <c r="Y408" s="15" t="inlineStr">
        <is>
          <t>not_checked</t>
        </is>
      </c>
      <c r="Z408" s="15" t="inlineStr">
        <is>
          <t>not_checked</t>
        </is>
      </c>
      <c r="AA408" s="15" t="inlineStr">
        <is>
          <t>not_checked</t>
        </is>
      </c>
      <c r="AB408" s="15" t="inlineStr">
        <is>
          <t>not_checked</t>
        </is>
      </c>
      <c r="AC408" s="15" t="inlineStr">
        <is>
          <t>not_checked</t>
        </is>
      </c>
      <c r="AD408" s="15" t="inlineStr">
        <is>
          <t>not_checked</t>
        </is>
      </c>
      <c r="AE408" s="15" t="inlineStr">
        <is>
          <t>not_checked</t>
        </is>
      </c>
      <c r="AF408" s="15" t="inlineStr">
        <is>
          <t>not_checked</t>
        </is>
      </c>
      <c r="AG408" s="15" t="inlineStr">
        <is>
          <t>not_checked</t>
        </is>
      </c>
      <c r="AH408" s="15" t="inlineStr">
        <is>
          <t>not_checked</t>
        </is>
      </c>
      <c r="AI408" s="15" t="inlineStr">
        <is>
          <t>n.a.</t>
        </is>
      </c>
      <c r="AJ408" s="15" t="inlineStr">
        <is>
          <t>n.a.</t>
        </is>
      </c>
      <c r="AK408" s="4" t="inlineStr">
        <is>
          <t>link_live(warn);access_url(warn)</t>
        </is>
      </c>
      <c r="AL408" s="17" t="inlineStr">
        <is>
          <t>https://www.bps.go.id/en/publication/2024/12/10/2f5217e2d6a695a0830290a7/statistik-potensi-desa-indonesia-2024.html</t>
        </is>
      </c>
      <c r="AM408" s="4" t="inlineStr">
        <is>
          <t>id_bps_podes_2024</t>
        </is>
      </c>
    </row>
    <row r="409">
      <c r="A409" s="4" t="inlineStr">
        <is>
          <t>U.S. Energy Atlas (EIA energy infrastructure map layers)</t>
        </is>
      </c>
      <c r="B409" s="21" t="inlineStr">
        <is>
          <t>Browser needed</t>
        </is>
      </c>
      <c r="C409" s="4" t="n">
        <v>85</v>
      </c>
      <c r="D409" s="4" t="inlineStr">
        <is>
          <t>built_environment</t>
        </is>
      </c>
      <c r="E409" s="4" t="inlineStr">
        <is>
          <t>blocked</t>
        </is>
      </c>
      <c r="F409" s="4" t="inlineStr">
        <is>
          <t>public_domain_us_federal</t>
        </is>
      </c>
      <c r="G409" s="4" t="inlineStr">
        <is>
          <t>point</t>
        </is>
      </c>
      <c r="H409" s="4" t="inlineStr">
        <is>
          <t>Needs a count/distance step</t>
        </is>
      </c>
      <c r="I409" s="4" t="n">
        <v>2</v>
      </c>
      <c r="J409" s="4" t="inlineStr"/>
      <c r="K409" s="4" t="inlineStr">
        <is>
          <t>Curated</t>
        </is>
      </c>
      <c r="L409" s="4" t="inlineStr">
        <is>
          <t>current</t>
        </is>
      </c>
      <c r="M409" s="4" t="inlineStr">
        <is>
          <t>open</t>
        </is>
      </c>
      <c r="N409" s="4" t="inlineStr">
        <is>
          <t>2026-10-29</t>
        </is>
      </c>
      <c r="O409" s="14" t="inlineStr">
        <is>
          <t>pass</t>
        </is>
      </c>
      <c r="P409" s="14" t="inlineStr">
        <is>
          <t>pass</t>
        </is>
      </c>
      <c r="Q409" s="14" t="inlineStr">
        <is>
          <t>pass</t>
        </is>
      </c>
      <c r="R409" s="16" t="inlineStr">
        <is>
          <t>warn</t>
        </is>
      </c>
      <c r="S409" s="15" t="inlineStr">
        <is>
          <t>not_checked</t>
        </is>
      </c>
      <c r="T409" s="14" t="inlineStr">
        <is>
          <t>pass</t>
        </is>
      </c>
      <c r="U409" s="14" t="inlineStr">
        <is>
          <t>pass</t>
        </is>
      </c>
      <c r="V409" s="16" t="inlineStr">
        <is>
          <t>warn</t>
        </is>
      </c>
      <c r="W409" s="16" t="inlineStr">
        <is>
          <t>warn</t>
        </is>
      </c>
      <c r="X409" s="14" t="inlineStr">
        <is>
          <t>pass</t>
        </is>
      </c>
      <c r="Y409" s="14" t="inlineStr">
        <is>
          <t>pass</t>
        </is>
      </c>
      <c r="Z409" s="15" t="inlineStr">
        <is>
          <t>not_checked</t>
        </is>
      </c>
      <c r="AA409" s="15" t="inlineStr">
        <is>
          <t>not_checked</t>
        </is>
      </c>
      <c r="AB409" s="15" t="inlineStr">
        <is>
          <t>not_checked</t>
        </is>
      </c>
      <c r="AC409" s="15" t="inlineStr">
        <is>
          <t>not_checked</t>
        </is>
      </c>
      <c r="AD409" s="15" t="inlineStr">
        <is>
          <t>not_checked</t>
        </is>
      </c>
      <c r="AE409" s="15" t="inlineStr">
        <is>
          <t>not_checked</t>
        </is>
      </c>
      <c r="AF409" s="15" t="inlineStr">
        <is>
          <t>not_checked</t>
        </is>
      </c>
      <c r="AG409" s="15" t="inlineStr">
        <is>
          <t>not_checked</t>
        </is>
      </c>
      <c r="AH409" s="15" t="inlineStr">
        <is>
          <t>not_checked</t>
        </is>
      </c>
      <c r="AI409" s="15" t="inlineStr">
        <is>
          <t>n.a.</t>
        </is>
      </c>
      <c r="AJ409" s="15" t="inlineStr">
        <is>
          <t>n.a.</t>
        </is>
      </c>
      <c r="AK409" s="4" t="inlineStr">
        <is>
          <t>soft404(warn);machine_metadata(warn);persistent_id(warn)</t>
        </is>
      </c>
      <c r="AL409" s="17" t="inlineStr">
        <is>
          <t>https://atlas.eia.gov/</t>
        </is>
      </c>
      <c r="AM409" s="4" t="inlineStr">
        <is>
          <t>us_eia_energy_atlas</t>
        </is>
      </c>
    </row>
    <row r="410">
      <c r="A410" s="4" t="inlineStr">
        <is>
          <t>Urban Atlas (Functional Urban Areas land use/land cover)</t>
        </is>
      </c>
      <c r="B410" s="21" t="inlineStr">
        <is>
          <t>Browser needed</t>
        </is>
      </c>
      <c r="C410" s="4" t="n">
        <v>94</v>
      </c>
      <c r="D410" s="4" t="inlineStr">
        <is>
          <t>built_environment</t>
        </is>
      </c>
      <c r="E410" s="4" t="inlineStr">
        <is>
          <t>blocked</t>
        </is>
      </c>
      <c r="F410" s="4" t="inlineStr">
        <is>
          <t>unknown</t>
        </is>
      </c>
      <c r="G410" s="4" t="inlineStr">
        <is>
          <t>postcode_small_area</t>
        </is>
      </c>
      <c r="H410" s="4" t="inlineStr">
        <is>
          <t>Joins today</t>
        </is>
      </c>
      <c r="I410" s="4" t="n">
        <v>2</v>
      </c>
      <c r="J410" s="4" t="inlineStr"/>
      <c r="K410" s="4" t="inlineStr">
        <is>
          <t>Curated</t>
        </is>
      </c>
      <c r="L410" s="4" t="n">
        <v>2021</v>
      </c>
      <c r="M410" s="4" t="inlineStr">
        <is>
          <t>registration</t>
        </is>
      </c>
      <c r="N410" s="4" t="inlineStr">
        <is>
          <t>2026-10-22</t>
        </is>
      </c>
      <c r="O410" s="14" t="inlineStr">
        <is>
          <t>pass</t>
        </is>
      </c>
      <c r="P410" s="14" t="inlineStr">
        <is>
          <t>pass</t>
        </is>
      </c>
      <c r="Q410" s="14" t="inlineStr">
        <is>
          <t>pass</t>
        </is>
      </c>
      <c r="R410" s="14" t="inlineStr">
        <is>
          <t>pass</t>
        </is>
      </c>
      <c r="S410" s="14" t="inlineStr">
        <is>
          <t>pass</t>
        </is>
      </c>
      <c r="T410" s="18" t="inlineStr">
        <is>
          <t>fail</t>
        </is>
      </c>
      <c r="U410" s="15" t="inlineStr">
        <is>
          <t>n.a.</t>
        </is>
      </c>
      <c r="V410" s="16" t="inlineStr">
        <is>
          <t>warn</t>
        </is>
      </c>
      <c r="W410" s="16" t="inlineStr">
        <is>
          <t>warn</t>
        </is>
      </c>
      <c r="X410" s="14" t="inlineStr">
        <is>
          <t>pass</t>
        </is>
      </c>
      <c r="Y410" s="15" t="inlineStr">
        <is>
          <t>not_checked</t>
        </is>
      </c>
      <c r="Z410" s="15" t="inlineStr">
        <is>
          <t>not_checked</t>
        </is>
      </c>
      <c r="AA410" s="15" t="inlineStr">
        <is>
          <t>not_checked</t>
        </is>
      </c>
      <c r="AB410" s="15" t="inlineStr">
        <is>
          <t>not_checked</t>
        </is>
      </c>
      <c r="AC410" s="15" t="inlineStr">
        <is>
          <t>not_checked</t>
        </is>
      </c>
      <c r="AD410" s="15" t="inlineStr">
        <is>
          <t>not_checked</t>
        </is>
      </c>
      <c r="AE410" s="15" t="inlineStr">
        <is>
          <t>not_checked</t>
        </is>
      </c>
      <c r="AF410" s="15" t="inlineStr">
        <is>
          <t>not_checked</t>
        </is>
      </c>
      <c r="AG410" s="15" t="inlineStr">
        <is>
          <t>not_checked</t>
        </is>
      </c>
      <c r="AH410" s="15" t="inlineStr">
        <is>
          <t>not_checked</t>
        </is>
      </c>
      <c r="AI410" s="15" t="inlineStr">
        <is>
          <t>n.a.</t>
        </is>
      </c>
      <c r="AJ410" s="15" t="inlineStr">
        <is>
          <t>n.a.</t>
        </is>
      </c>
      <c r="AK410" s="4" t="inlineStr">
        <is>
          <t>access_url;machine_metadata(warn);persistent_id(warn)</t>
        </is>
      </c>
      <c r="AL410" s="17" t="inlineStr">
        <is>
          <t>https://land.copernicus.eu/en/products/urban-atlas</t>
        </is>
      </c>
      <c r="AM410" s="4" t="inlineStr">
        <is>
          <t>eu_copernicus_urban_atlas</t>
        </is>
      </c>
    </row>
    <row r="411">
      <c r="A411" s="4" t="inlineStr">
        <is>
          <t>First Street climate risk models (Flood Factor, Fire Factor, Heat Factor, Wind Factor, Air Factor)</t>
        </is>
      </c>
      <c r="B411" s="21" t="inlineStr">
        <is>
          <t>Browser needed</t>
        </is>
      </c>
      <c r="C411" s="4" t="n">
        <v>79</v>
      </c>
      <c r="D411" s="4" t="inlineStr">
        <is>
          <t>climate_hazard</t>
        </is>
      </c>
      <c r="E411" s="4" t="inlineStr">
        <is>
          <t>blocked</t>
        </is>
      </c>
      <c r="F411" s="4" t="inlineStr">
        <is>
          <t>unknown</t>
        </is>
      </c>
      <c r="G411" s="4" t="inlineStr">
        <is>
          <t>point</t>
        </is>
      </c>
      <c r="H411" s="4" t="inlineStr">
        <is>
          <t>Needs a count/distance step</t>
        </is>
      </c>
      <c r="I411" s="4" t="n">
        <v>3</v>
      </c>
      <c r="J411" s="4" t="inlineStr"/>
      <c r="K411" s="4" t="inlineStr">
        <is>
          <t>Curated</t>
        </is>
      </c>
      <c r="L411" s="4" t="inlineStr">
        <is>
          <t>current</t>
        </is>
      </c>
      <c r="M411" s="4" t="inlineStr">
        <is>
          <t>restricted</t>
        </is>
      </c>
      <c r="N411" s="4" t="inlineStr">
        <is>
          <t>2026-10-22</t>
        </is>
      </c>
      <c r="O411" s="14" t="inlineStr">
        <is>
          <t>pass</t>
        </is>
      </c>
      <c r="P411" s="14" t="inlineStr">
        <is>
          <t>pass</t>
        </is>
      </c>
      <c r="Q411" s="14" t="inlineStr">
        <is>
          <t>pass</t>
        </is>
      </c>
      <c r="R411" s="16" t="inlineStr">
        <is>
          <t>warn</t>
        </is>
      </c>
      <c r="S411" s="15" t="inlineStr">
        <is>
          <t>not_checked</t>
        </is>
      </c>
      <c r="T411" s="14" t="inlineStr">
        <is>
          <t>pass</t>
        </is>
      </c>
      <c r="U411" s="14" t="inlineStr">
        <is>
          <t>pass</t>
        </is>
      </c>
      <c r="V411" s="16" t="inlineStr">
        <is>
          <t>warn</t>
        </is>
      </c>
      <c r="W411" s="16" t="inlineStr">
        <is>
          <t>warn</t>
        </is>
      </c>
      <c r="X411" s="14" t="inlineStr">
        <is>
          <t>pass</t>
        </is>
      </c>
      <c r="Y411" s="15" t="inlineStr">
        <is>
          <t>not_checked</t>
        </is>
      </c>
      <c r="Z411" s="15" t="inlineStr">
        <is>
          <t>not_checked</t>
        </is>
      </c>
      <c r="AA411" s="15" t="inlineStr">
        <is>
          <t>not_checked</t>
        </is>
      </c>
      <c r="AB411" s="15" t="inlineStr">
        <is>
          <t>not_checked</t>
        </is>
      </c>
      <c r="AC411" s="15" t="inlineStr">
        <is>
          <t>not_checked</t>
        </is>
      </c>
      <c r="AD411" s="15" t="inlineStr">
        <is>
          <t>not_checked</t>
        </is>
      </c>
      <c r="AE411" s="15" t="inlineStr">
        <is>
          <t>not_checked</t>
        </is>
      </c>
      <c r="AF411" s="15" t="inlineStr">
        <is>
          <t>not_checked</t>
        </is>
      </c>
      <c r="AG411" s="15" t="inlineStr">
        <is>
          <t>not_checked</t>
        </is>
      </c>
      <c r="AH411" s="15" t="inlineStr">
        <is>
          <t>not_checked</t>
        </is>
      </c>
      <c r="AI411" s="15" t="inlineStr">
        <is>
          <t>n.a.</t>
        </is>
      </c>
      <c r="AJ411" s="15" t="inlineStr">
        <is>
          <t>n.a.</t>
        </is>
      </c>
      <c r="AK411" s="4" t="inlineStr">
        <is>
          <t>soft404(warn);machine_metadata(warn);persistent_id(warn)</t>
        </is>
      </c>
      <c r="AL411" s="17" t="inlineStr">
        <is>
          <t>https://firststreet.org/</t>
        </is>
      </c>
      <c r="AM411" s="4" t="inlineStr">
        <is>
          <t>us_firststreet_risk_factors</t>
        </is>
      </c>
    </row>
    <row r="412">
      <c r="A412" s="4" t="inlineStr">
        <is>
          <t>NIHHIS heat.gov</t>
        </is>
      </c>
      <c r="B412" s="21" t="inlineStr">
        <is>
          <t>Browser needed</t>
        </is>
      </c>
      <c r="C412" s="4" t="n">
        <v>71</v>
      </c>
      <c r="D412" s="4" t="inlineStr">
        <is>
          <t>climate_hazard</t>
        </is>
      </c>
      <c r="E412" s="4" t="inlineStr">
        <is>
          <t>blocked</t>
        </is>
      </c>
      <c r="F412" s="4" t="inlineStr">
        <is>
          <t>public_domain_us_federal</t>
        </is>
      </c>
      <c r="G412" s="4" t="inlineStr">
        <is>
          <t>unknown</t>
        </is>
      </c>
      <c r="H412" s="4" t="inlineStr">
        <is>
          <t>Unknown</t>
        </is>
      </c>
      <c r="I412" s="4" t="n">
        <v>3</v>
      </c>
      <c r="J412" s="4" t="inlineStr"/>
      <c r="K412" s="4" t="inlineStr">
        <is>
          <t>Curated</t>
        </is>
      </c>
      <c r="L412" s="4" t="inlineStr"/>
      <c r="M412" s="4" t="inlineStr">
        <is>
          <t>open</t>
        </is>
      </c>
      <c r="N412" s="4" t="inlineStr">
        <is>
          <t>2026-10-29</t>
        </is>
      </c>
      <c r="O412" s="16" t="inlineStr">
        <is>
          <t>warn</t>
        </is>
      </c>
      <c r="P412" s="14" t="inlineStr">
        <is>
          <t>pass</t>
        </is>
      </c>
      <c r="Q412" s="14" t="inlineStr">
        <is>
          <t>pass</t>
        </is>
      </c>
      <c r="R412" s="15" t="inlineStr">
        <is>
          <t>not_checked</t>
        </is>
      </c>
      <c r="S412" s="15" t="inlineStr">
        <is>
          <t>not_checked</t>
        </is>
      </c>
      <c r="T412" s="15" t="inlineStr">
        <is>
          <t>n.a.</t>
        </is>
      </c>
      <c r="U412" s="15" t="inlineStr">
        <is>
          <t>n.a.</t>
        </is>
      </c>
      <c r="V412" s="15" t="inlineStr">
        <is>
          <t>not_checked</t>
        </is>
      </c>
      <c r="W412" s="15" t="inlineStr">
        <is>
          <t>not_checked</t>
        </is>
      </c>
      <c r="X412" s="14" t="inlineStr">
        <is>
          <t>pass</t>
        </is>
      </c>
      <c r="Y412" s="14" t="inlineStr">
        <is>
          <t>pass</t>
        </is>
      </c>
      <c r="Z412" s="15" t="inlineStr">
        <is>
          <t>not_checked</t>
        </is>
      </c>
      <c r="AA412" s="15" t="inlineStr">
        <is>
          <t>not_checked</t>
        </is>
      </c>
      <c r="AB412" s="15" t="inlineStr">
        <is>
          <t>not_checked</t>
        </is>
      </c>
      <c r="AC412" s="15" t="inlineStr">
        <is>
          <t>not_checked</t>
        </is>
      </c>
      <c r="AD412" s="15" t="inlineStr">
        <is>
          <t>not_checked</t>
        </is>
      </c>
      <c r="AE412" s="15" t="inlineStr">
        <is>
          <t>not_checked</t>
        </is>
      </c>
      <c r="AF412" s="15" t="inlineStr">
        <is>
          <t>not_checked</t>
        </is>
      </c>
      <c r="AG412" s="15" t="inlineStr">
        <is>
          <t>not_checked</t>
        </is>
      </c>
      <c r="AH412" s="15" t="inlineStr">
        <is>
          <t>not_checked</t>
        </is>
      </c>
      <c r="AI412" s="15" t="inlineStr">
        <is>
          <t>n.a.</t>
        </is>
      </c>
      <c r="AJ412" s="15" t="inlineStr">
        <is>
          <t>n.a.</t>
        </is>
      </c>
      <c r="AK412" s="4" t="inlineStr">
        <is>
          <t>link_live(warn)</t>
        </is>
      </c>
      <c r="AL412" s="17" t="inlineStr">
        <is>
          <t>https://www.heat.gov/</t>
        </is>
      </c>
      <c r="AM412" s="4" t="inlineStr">
        <is>
          <t>us_noaa_nihhis_heat_gov</t>
        </is>
      </c>
    </row>
    <row r="413">
      <c r="A413" s="4" t="inlineStr">
        <is>
          <t>Venezuela - Earthquake Hazardous Facilities</t>
        </is>
      </c>
      <c r="B413" s="21" t="inlineStr">
        <is>
          <t>Browser needed</t>
        </is>
      </c>
      <c r="C413" s="4" t="n">
        <v>50</v>
      </c>
      <c r="D413" s="4" t="inlineStr">
        <is>
          <t>climate_hazard</t>
        </is>
      </c>
      <c r="E413" s="4" t="inlineStr">
        <is>
          <t>blocked</t>
        </is>
      </c>
      <c r="F413" s="4" t="inlineStr">
        <is>
          <t>not checked</t>
        </is>
      </c>
      <c r="G413" s="4" t="inlineStr">
        <is>
          <t>point</t>
        </is>
      </c>
      <c r="H413" s="4" t="inlineStr">
        <is>
          <t>Needs a count/distance step</t>
        </is>
      </c>
      <c r="I413" s="4" t="n">
        <v>3</v>
      </c>
      <c r="J413" s="4" t="inlineStr"/>
      <c r="K413" s="4" t="inlineStr">
        <is>
          <t>Catalog lead</t>
        </is>
      </c>
      <c r="L413" s="4" t="n">
        <v>2026</v>
      </c>
      <c r="M413" s="4" t="inlineStr">
        <is>
          <t>open</t>
        </is>
      </c>
      <c r="N413" s="4" t="inlineStr">
        <is>
          <t>2026-10-22</t>
        </is>
      </c>
      <c r="O413" s="16" t="inlineStr">
        <is>
          <t>warn</t>
        </is>
      </c>
      <c r="P413" s="14" t="inlineStr">
        <is>
          <t>pass</t>
        </is>
      </c>
      <c r="Q413" s="14" t="inlineStr">
        <is>
          <t>pass</t>
        </is>
      </c>
      <c r="R413" s="15" t="inlineStr">
        <is>
          <t>not_checked</t>
        </is>
      </c>
      <c r="S413" s="15" t="inlineStr">
        <is>
          <t>not_checked</t>
        </is>
      </c>
      <c r="T413" s="14" t="inlineStr">
        <is>
          <t>pass</t>
        </is>
      </c>
      <c r="U413" s="14" t="inlineStr">
        <is>
          <t>pass</t>
        </is>
      </c>
      <c r="V413" s="15" t="inlineStr">
        <is>
          <t>not_checked</t>
        </is>
      </c>
      <c r="W413" s="15" t="inlineStr">
        <is>
          <t>not_checked</t>
        </is>
      </c>
      <c r="X413" s="14" t="inlineStr">
        <is>
          <t>pass</t>
        </is>
      </c>
      <c r="Y413" s="15" t="inlineStr">
        <is>
          <t>not_checked</t>
        </is>
      </c>
      <c r="Z413" s="15" t="inlineStr">
        <is>
          <t>not_checked</t>
        </is>
      </c>
      <c r="AA413" s="15" t="inlineStr">
        <is>
          <t>not_checked</t>
        </is>
      </c>
      <c r="AB413" s="15" t="inlineStr">
        <is>
          <t>not_checked</t>
        </is>
      </c>
      <c r="AC413" s="15" t="inlineStr">
        <is>
          <t>not_checked</t>
        </is>
      </c>
      <c r="AD413" s="15" t="inlineStr">
        <is>
          <t>not_checked</t>
        </is>
      </c>
      <c r="AE413" s="15" t="inlineStr">
        <is>
          <t>not_checked</t>
        </is>
      </c>
      <c r="AF413" s="15" t="inlineStr">
        <is>
          <t>not_checked</t>
        </is>
      </c>
      <c r="AG413" s="15" t="inlineStr">
        <is>
          <t>not_checked</t>
        </is>
      </c>
      <c r="AH413" s="15" t="inlineStr">
        <is>
          <t>not_checked</t>
        </is>
      </c>
      <c r="AI413" s="15" t="inlineStr">
        <is>
          <t>n.a.</t>
        </is>
      </c>
      <c r="AJ413" s="15" t="inlineStr">
        <is>
          <t>n.a.</t>
        </is>
      </c>
      <c r="AK413" s="4" t="inlineStr">
        <is>
          <t>link_live(warn)</t>
        </is>
      </c>
      <c r="AL413" s="17" t="inlineStr">
        <is>
          <t>https://data.humdata.org/dataset/venezuela-earthquake-hazardous-facilities</t>
        </is>
      </c>
      <c r="AM413" s="4" t="inlineStr">
        <is>
          <t>hdx_venezuela_earthquake_hazardous_facilities</t>
        </is>
      </c>
    </row>
    <row r="414">
      <c r="A414" s="4" t="inlineStr">
        <is>
          <t>European Flood Awareness System (EFAS) river discharge forecasts and historical simulations</t>
        </is>
      </c>
      <c r="B414" s="21" t="inlineStr">
        <is>
          <t>Browser needed</t>
        </is>
      </c>
      <c r="C414" s="4" t="n">
        <v>71</v>
      </c>
      <c r="D414" s="4" t="inlineStr">
        <is>
          <t>climate_hazard</t>
        </is>
      </c>
      <c r="E414" s="4" t="inlineStr">
        <is>
          <t>blocked</t>
        </is>
      </c>
      <c r="F414" s="4" t="inlineStr">
        <is>
          <t>unknown</t>
        </is>
      </c>
      <c r="G414" s="4" t="inlineStr">
        <is>
          <t>grid_1.67km</t>
        </is>
      </c>
      <c r="H414" s="4" t="inlineStr">
        <is>
          <t>Needs raster support</t>
        </is>
      </c>
      <c r="I414" s="4" t="n">
        <v>2</v>
      </c>
      <c r="J414" s="4" t="inlineStr"/>
      <c r="K414" s="4" t="inlineStr">
        <is>
          <t>Curated</t>
        </is>
      </c>
      <c r="L414" s="4" t="inlineStr">
        <is>
          <t>current</t>
        </is>
      </c>
      <c r="M414" s="4" t="inlineStr">
        <is>
          <t>registration</t>
        </is>
      </c>
      <c r="N414" s="4" t="inlineStr">
        <is>
          <t>2026-10-28</t>
        </is>
      </c>
      <c r="O414" s="14" t="inlineStr">
        <is>
          <t>pass</t>
        </is>
      </c>
      <c r="P414" s="14" t="inlineStr">
        <is>
          <t>pass</t>
        </is>
      </c>
      <c r="Q414" s="14" t="inlineStr">
        <is>
          <t>pass</t>
        </is>
      </c>
      <c r="R414" s="16" t="inlineStr">
        <is>
          <t>warn</t>
        </is>
      </c>
      <c r="S414" s="15" t="inlineStr">
        <is>
          <t>not_checked</t>
        </is>
      </c>
      <c r="T414" s="14" t="inlineStr">
        <is>
          <t>pass</t>
        </is>
      </c>
      <c r="U414" s="16" t="inlineStr">
        <is>
          <t>warn</t>
        </is>
      </c>
      <c r="V414" s="18" t="inlineStr">
        <is>
          <t>fail</t>
        </is>
      </c>
      <c r="W414" s="16" t="inlineStr">
        <is>
          <t>warn</t>
        </is>
      </c>
      <c r="X414" s="18" t="inlineStr">
        <is>
          <t>fail</t>
        </is>
      </c>
      <c r="Y414" s="15" t="inlineStr">
        <is>
          <t>not_checked</t>
        </is>
      </c>
      <c r="Z414" s="15" t="inlineStr">
        <is>
          <t>not_checked</t>
        </is>
      </c>
      <c r="AA414" s="15" t="inlineStr">
        <is>
          <t>not_checked</t>
        </is>
      </c>
      <c r="AB414" s="15" t="inlineStr">
        <is>
          <t>not_checked</t>
        </is>
      </c>
      <c r="AC414" s="15" t="inlineStr">
        <is>
          <t>not_checked</t>
        </is>
      </c>
      <c r="AD414" s="15" t="inlineStr">
        <is>
          <t>not_checked</t>
        </is>
      </c>
      <c r="AE414" s="15" t="inlineStr">
        <is>
          <t>not_checked</t>
        </is>
      </c>
      <c r="AF414" s="15" t="inlineStr">
        <is>
          <t>not_checked</t>
        </is>
      </c>
      <c r="AG414" s="15" t="inlineStr">
        <is>
          <t>not_checked</t>
        </is>
      </c>
      <c r="AH414" s="15" t="inlineStr">
        <is>
          <t>not_checked</t>
        </is>
      </c>
      <c r="AI414" s="15" t="inlineStr">
        <is>
          <t>n.a.</t>
        </is>
      </c>
      <c r="AJ414" s="15" t="inlineStr">
        <is>
          <t>n.a.</t>
        </is>
      </c>
      <c r="AK414" s="4" t="inlineStr">
        <is>
          <t>machine_metadata;archived;soft404(warn);format_match(warn);persistent_id(warn)</t>
        </is>
      </c>
      <c r="AL414" s="17" t="inlineStr">
        <is>
          <t>https://european-flood.emergency.copernicus.eu/en/about-efas</t>
        </is>
      </c>
      <c r="AM414" s="4" t="inlineStr">
        <is>
          <t>eu_copernicus_efas</t>
        </is>
      </c>
    </row>
    <row r="415">
      <c r="A415" s="4" t="inlineStr">
        <is>
          <t>Global Flood Awareness System (GloFAS) river discharge forecasts and historical reanalysis</t>
        </is>
      </c>
      <c r="B415" s="21" t="inlineStr">
        <is>
          <t>Browser needed</t>
        </is>
      </c>
      <c r="C415" s="4" t="n">
        <v>71</v>
      </c>
      <c r="D415" s="4" t="inlineStr">
        <is>
          <t>climate_hazard</t>
        </is>
      </c>
      <c r="E415" s="4" t="inlineStr">
        <is>
          <t>blocked</t>
        </is>
      </c>
      <c r="F415" s="4" t="inlineStr">
        <is>
          <t>unknown</t>
        </is>
      </c>
      <c r="G415" s="4" t="inlineStr">
        <is>
          <t>grid_0.05deg</t>
        </is>
      </c>
      <c r="H415" s="4" t="inlineStr">
        <is>
          <t>Needs raster support</t>
        </is>
      </c>
      <c r="I415" s="4" t="n">
        <v>2</v>
      </c>
      <c r="J415" s="4" t="inlineStr"/>
      <c r="K415" s="4" t="inlineStr">
        <is>
          <t>Curated</t>
        </is>
      </c>
      <c r="L415" s="4" t="inlineStr">
        <is>
          <t>current</t>
        </is>
      </c>
      <c r="M415" s="4" t="inlineStr">
        <is>
          <t>registration</t>
        </is>
      </c>
      <c r="N415" s="4" t="inlineStr">
        <is>
          <t>2026-10-28</t>
        </is>
      </c>
      <c r="O415" s="14" t="inlineStr">
        <is>
          <t>pass</t>
        </is>
      </c>
      <c r="P415" s="14" t="inlineStr">
        <is>
          <t>pass</t>
        </is>
      </c>
      <c r="Q415" s="14" t="inlineStr">
        <is>
          <t>pass</t>
        </is>
      </c>
      <c r="R415" s="16" t="inlineStr">
        <is>
          <t>warn</t>
        </is>
      </c>
      <c r="S415" s="15" t="inlineStr">
        <is>
          <t>not_checked</t>
        </is>
      </c>
      <c r="T415" s="14" t="inlineStr">
        <is>
          <t>pass</t>
        </is>
      </c>
      <c r="U415" s="16" t="inlineStr">
        <is>
          <t>warn</t>
        </is>
      </c>
      <c r="V415" s="18" t="inlineStr">
        <is>
          <t>fail</t>
        </is>
      </c>
      <c r="W415" s="16" t="inlineStr">
        <is>
          <t>warn</t>
        </is>
      </c>
      <c r="X415" s="14" t="inlineStr">
        <is>
          <t>pass</t>
        </is>
      </c>
      <c r="Y415" s="15" t="inlineStr">
        <is>
          <t>not_checked</t>
        </is>
      </c>
      <c r="Z415" s="15" t="inlineStr">
        <is>
          <t>not_checked</t>
        </is>
      </c>
      <c r="AA415" s="15" t="inlineStr">
        <is>
          <t>not_checked</t>
        </is>
      </c>
      <c r="AB415" s="15" t="inlineStr">
        <is>
          <t>not_checked</t>
        </is>
      </c>
      <c r="AC415" s="15" t="inlineStr">
        <is>
          <t>not_checked</t>
        </is>
      </c>
      <c r="AD415" s="15" t="inlineStr">
        <is>
          <t>not_checked</t>
        </is>
      </c>
      <c r="AE415" s="15" t="inlineStr">
        <is>
          <t>not_checked</t>
        </is>
      </c>
      <c r="AF415" s="15" t="inlineStr">
        <is>
          <t>not_checked</t>
        </is>
      </c>
      <c r="AG415" s="15" t="inlineStr">
        <is>
          <t>not_checked</t>
        </is>
      </c>
      <c r="AH415" s="15" t="inlineStr">
        <is>
          <t>not_checked</t>
        </is>
      </c>
      <c r="AI415" s="15" t="inlineStr">
        <is>
          <t>n.a.</t>
        </is>
      </c>
      <c r="AJ415" s="15" t="inlineStr">
        <is>
          <t>n.a.</t>
        </is>
      </c>
      <c r="AK415" s="4" t="inlineStr">
        <is>
          <t>machine_metadata;soft404(warn);format_match(warn);persistent_id(warn)</t>
        </is>
      </c>
      <c r="AL415" s="17" t="inlineStr">
        <is>
          <t>https://global-flood.emergency.copernicus.eu/</t>
        </is>
      </c>
      <c r="AM415" s="4" t="inlineStr">
        <is>
          <t>global_copernicus_glofas</t>
        </is>
      </c>
    </row>
    <row r="416">
      <c r="A416" s="4" t="inlineStr">
        <is>
          <t>Global Flood Database (Cloud to Street / Tellman et al. 2021): satellite-observed flood extents for 913 events, 2000-2018</t>
        </is>
      </c>
      <c r="B416" s="21" t="inlineStr">
        <is>
          <t>Browser needed</t>
        </is>
      </c>
      <c r="C416" s="4" t="n">
        <v>71</v>
      </c>
      <c r="D416" s="4" t="inlineStr">
        <is>
          <t>climate_hazard</t>
        </is>
      </c>
      <c r="E416" s="4" t="inlineStr">
        <is>
          <t>blocked</t>
        </is>
      </c>
      <c r="F416" s="4" t="inlineStr">
        <is>
          <t>unknown</t>
        </is>
      </c>
      <c r="G416" s="4" t="inlineStr">
        <is>
          <t>grid_250m</t>
        </is>
      </c>
      <c r="H416" s="4" t="inlineStr">
        <is>
          <t>Needs raster support</t>
        </is>
      </c>
      <c r="I416" s="4" t="n">
        <v>2</v>
      </c>
      <c r="J416" s="4" t="inlineStr"/>
      <c r="K416" s="4" t="inlineStr">
        <is>
          <t>Curated</t>
        </is>
      </c>
      <c r="L416" s="4" t="n">
        <v>2021</v>
      </c>
      <c r="M416" s="4" t="inlineStr">
        <is>
          <t>open</t>
        </is>
      </c>
      <c r="N416" s="4" t="inlineStr">
        <is>
          <t>2026-10-28</t>
        </is>
      </c>
      <c r="O416" s="14" t="inlineStr">
        <is>
          <t>pass</t>
        </is>
      </c>
      <c r="P416" s="14" t="inlineStr">
        <is>
          <t>pass</t>
        </is>
      </c>
      <c r="Q416" s="14" t="inlineStr">
        <is>
          <t>pass</t>
        </is>
      </c>
      <c r="R416" s="16" t="inlineStr">
        <is>
          <t>warn</t>
        </is>
      </c>
      <c r="S416" s="15" t="inlineStr">
        <is>
          <t>not_checked</t>
        </is>
      </c>
      <c r="T416" s="15" t="inlineStr">
        <is>
          <t>n.a.</t>
        </is>
      </c>
      <c r="U416" s="15" t="inlineStr">
        <is>
          <t>n.a.</t>
        </is>
      </c>
      <c r="V416" s="18" t="inlineStr">
        <is>
          <t>fail</t>
        </is>
      </c>
      <c r="W416" s="16" t="inlineStr">
        <is>
          <t>warn</t>
        </is>
      </c>
      <c r="X416" s="14" t="inlineStr">
        <is>
          <t>pass</t>
        </is>
      </c>
      <c r="Y416" s="15" t="inlineStr">
        <is>
          <t>not_checked</t>
        </is>
      </c>
      <c r="Z416" s="15" t="inlineStr">
        <is>
          <t>not_checked</t>
        </is>
      </c>
      <c r="AA416" s="15" t="inlineStr">
        <is>
          <t>not_checked</t>
        </is>
      </c>
      <c r="AB416" s="15" t="inlineStr">
        <is>
          <t>not_checked</t>
        </is>
      </c>
      <c r="AC416" s="15" t="inlineStr">
        <is>
          <t>not_checked</t>
        </is>
      </c>
      <c r="AD416" s="15" t="inlineStr">
        <is>
          <t>not_checked</t>
        </is>
      </c>
      <c r="AE416" s="15" t="inlineStr">
        <is>
          <t>not_checked</t>
        </is>
      </c>
      <c r="AF416" s="15" t="inlineStr">
        <is>
          <t>not_checked</t>
        </is>
      </c>
      <c r="AG416" s="15" t="inlineStr">
        <is>
          <t>not_checked</t>
        </is>
      </c>
      <c r="AH416" s="15" t="inlineStr">
        <is>
          <t>not_checked</t>
        </is>
      </c>
      <c r="AI416" s="15" t="inlineStr">
        <is>
          <t>n.a.</t>
        </is>
      </c>
      <c r="AJ416" s="15" t="inlineStr">
        <is>
          <t>n.a.</t>
        </is>
      </c>
      <c r="AK416" s="4" t="inlineStr">
        <is>
          <t>machine_metadata;soft404(warn);persistent_id(warn)</t>
        </is>
      </c>
      <c r="AL416" s="17" t="inlineStr">
        <is>
          <t>https://global-flood-database.cloudtostreet.ai/</t>
        </is>
      </c>
      <c r="AM416" s="4" t="inlineStr">
        <is>
          <t>global_cloudtostreet_global_flood_database</t>
        </is>
      </c>
    </row>
    <row r="417">
      <c r="A417" s="4" t="inlineStr">
        <is>
          <t>GPCC Global Precipitation Climatology Centre gridded precipitation (Full Data Monthly/Daily, Monitoring, First Guess, Climatology, Drought Index)</t>
        </is>
      </c>
      <c r="B417" s="21" t="inlineStr">
        <is>
          <t>Browser needed</t>
        </is>
      </c>
      <c r="C417" s="4" t="n">
        <v>50</v>
      </c>
      <c r="D417" s="4" t="inlineStr">
        <is>
          <t>climate_hazard</t>
        </is>
      </c>
      <c r="E417" s="4" t="inlineStr">
        <is>
          <t>blocked</t>
        </is>
      </c>
      <c r="F417" s="4" t="inlineStr">
        <is>
          <t>not checked</t>
        </is>
      </c>
      <c r="G417" s="4" t="inlineStr">
        <is>
          <t>grid_0.25deg</t>
        </is>
      </c>
      <c r="H417" s="4" t="inlineStr">
        <is>
          <t>Needs raster support</t>
        </is>
      </c>
      <c r="I417" s="4" t="n">
        <v>2</v>
      </c>
      <c r="J417" s="4" t="inlineStr"/>
      <c r="K417" s="4" t="inlineStr">
        <is>
          <t>Curated</t>
        </is>
      </c>
      <c r="L417" s="4" t="inlineStr">
        <is>
          <t>current</t>
        </is>
      </c>
      <c r="M417" s="4" t="inlineStr">
        <is>
          <t>open</t>
        </is>
      </c>
      <c r="N417" s="4" t="inlineStr">
        <is>
          <t>2026-10-22</t>
        </is>
      </c>
      <c r="O417" s="16" t="inlineStr">
        <is>
          <t>warn</t>
        </is>
      </c>
      <c r="P417" s="15" t="inlineStr">
        <is>
          <t>not_checked</t>
        </is>
      </c>
      <c r="Q417" s="15" t="inlineStr">
        <is>
          <t>not_checked</t>
        </is>
      </c>
      <c r="R417" s="15" t="inlineStr">
        <is>
          <t>not_checked</t>
        </is>
      </c>
      <c r="S417" s="15" t="inlineStr">
        <is>
          <t>not_checked</t>
        </is>
      </c>
      <c r="T417" s="18" t="inlineStr">
        <is>
          <t>fail</t>
        </is>
      </c>
      <c r="U417" s="15" t="inlineStr">
        <is>
          <t>n.a.</t>
        </is>
      </c>
      <c r="V417" s="15" t="inlineStr">
        <is>
          <t>not_checked</t>
        </is>
      </c>
      <c r="W417" s="15" t="inlineStr">
        <is>
          <t>not_checked</t>
        </is>
      </c>
      <c r="X417" s="14" t="inlineStr">
        <is>
          <t>pass</t>
        </is>
      </c>
      <c r="Y417" s="15" t="inlineStr">
        <is>
          <t>not_checked</t>
        </is>
      </c>
      <c r="Z417" s="15" t="inlineStr">
        <is>
          <t>not_checked</t>
        </is>
      </c>
      <c r="AA417" s="15" t="inlineStr">
        <is>
          <t>not_checked</t>
        </is>
      </c>
      <c r="AB417" s="15" t="inlineStr">
        <is>
          <t>not_checked</t>
        </is>
      </c>
      <c r="AC417" s="15" t="inlineStr">
        <is>
          <t>not_checked</t>
        </is>
      </c>
      <c r="AD417" s="15" t="inlineStr">
        <is>
          <t>not_checked</t>
        </is>
      </c>
      <c r="AE417" s="15" t="inlineStr">
        <is>
          <t>not_checked</t>
        </is>
      </c>
      <c r="AF417" s="15" t="inlineStr">
        <is>
          <t>not_checked</t>
        </is>
      </c>
      <c r="AG417" s="15" t="inlineStr">
        <is>
          <t>not_checked</t>
        </is>
      </c>
      <c r="AH417" s="15" t="inlineStr">
        <is>
          <t>not_checked</t>
        </is>
      </c>
      <c r="AI417" s="15" t="inlineStr">
        <is>
          <t>n.a.</t>
        </is>
      </c>
      <c r="AJ417" s="15" t="inlineStr">
        <is>
          <t>n.a.</t>
        </is>
      </c>
      <c r="AK417" s="4" t="inlineStr">
        <is>
          <t>access_url;link_live(warn)</t>
        </is>
      </c>
      <c r="AL417" s="17" t="inlineStr">
        <is>
          <t>https://www.dwd.de/EN/ourservices/gpcc/gpcc.html</t>
        </is>
      </c>
      <c r="AM417" s="4" t="inlineStr">
        <is>
          <t>global_dwd_gpcc</t>
        </is>
      </c>
    </row>
    <row r="418">
      <c r="A418" s="4" t="inlineStr">
        <is>
          <t>JRC Global River Flood Hazard Maps (return periods 10-500 yr)</t>
        </is>
      </c>
      <c r="B418" s="21" t="inlineStr">
        <is>
          <t>Browser needed</t>
        </is>
      </c>
      <c r="C418" s="4" t="n">
        <v>100</v>
      </c>
      <c r="D418" s="4" t="inlineStr">
        <is>
          <t>climate_hazard</t>
        </is>
      </c>
      <c r="E418" s="4" t="inlineStr">
        <is>
          <t>blocked</t>
        </is>
      </c>
      <c r="F418" s="4" t="inlineStr">
        <is>
          <t>unknown</t>
        </is>
      </c>
      <c r="G418" s="4" t="inlineStr">
        <is>
          <t>grid_30arcsec</t>
        </is>
      </c>
      <c r="H418" s="4" t="inlineStr">
        <is>
          <t>Needs raster support</t>
        </is>
      </c>
      <c r="I418" s="4" t="n">
        <v>2</v>
      </c>
      <c r="J418" s="4" t="inlineStr"/>
      <c r="K418" s="4" t="inlineStr">
        <is>
          <t>Curated</t>
        </is>
      </c>
      <c r="L418" s="4" t="n">
        <v>2024</v>
      </c>
      <c r="M418" s="4" t="inlineStr">
        <is>
          <t>open</t>
        </is>
      </c>
      <c r="N418" s="4" t="inlineStr">
        <is>
          <t>2026-10-28</t>
        </is>
      </c>
      <c r="O418" s="14" t="inlineStr">
        <is>
          <t>pass</t>
        </is>
      </c>
      <c r="P418" s="14" t="inlineStr">
        <is>
          <t>pass</t>
        </is>
      </c>
      <c r="Q418" s="14" t="inlineStr">
        <is>
          <t>pass</t>
        </is>
      </c>
      <c r="R418" s="14" t="inlineStr">
        <is>
          <t>pass</t>
        </is>
      </c>
      <c r="S418" s="14" t="inlineStr">
        <is>
          <t>pass</t>
        </is>
      </c>
      <c r="T418" s="14" t="inlineStr">
        <is>
          <t>pass</t>
        </is>
      </c>
      <c r="U418" s="16" t="inlineStr">
        <is>
          <t>warn</t>
        </is>
      </c>
      <c r="V418" s="14" t="inlineStr">
        <is>
          <t>pass</t>
        </is>
      </c>
      <c r="W418" s="16" t="inlineStr">
        <is>
          <t>warn</t>
        </is>
      </c>
      <c r="X418" s="14" t="inlineStr">
        <is>
          <t>pass</t>
        </is>
      </c>
      <c r="Y418" s="15" t="inlineStr">
        <is>
          <t>not_checked</t>
        </is>
      </c>
      <c r="Z418" s="15" t="inlineStr">
        <is>
          <t>not_checked</t>
        </is>
      </c>
      <c r="AA418" s="15" t="inlineStr">
        <is>
          <t>not_checked</t>
        </is>
      </c>
      <c r="AB418" s="15" t="inlineStr">
        <is>
          <t>not_checked</t>
        </is>
      </c>
      <c r="AC418" s="15" t="inlineStr">
        <is>
          <t>not_checked</t>
        </is>
      </c>
      <c r="AD418" s="15" t="inlineStr">
        <is>
          <t>not_checked</t>
        </is>
      </c>
      <c r="AE418" s="15" t="inlineStr">
        <is>
          <t>not_checked</t>
        </is>
      </c>
      <c r="AF418" s="15" t="inlineStr">
        <is>
          <t>not_checked</t>
        </is>
      </c>
      <c r="AG418" s="15" t="inlineStr">
        <is>
          <t>not_checked</t>
        </is>
      </c>
      <c r="AH418" s="15" t="inlineStr">
        <is>
          <t>not_checked</t>
        </is>
      </c>
      <c r="AI418" s="15" t="inlineStr">
        <is>
          <t>n.a.</t>
        </is>
      </c>
      <c r="AJ418" s="15" t="inlineStr">
        <is>
          <t>n.a.</t>
        </is>
      </c>
      <c r="AK418" s="4" t="inlineStr">
        <is>
          <t>format_match(warn);persistent_id(warn)</t>
        </is>
      </c>
      <c r="AL418" s="17" t="inlineStr">
        <is>
          <t>https://data.jrc.ec.europa.eu/collection/id-0054</t>
        </is>
      </c>
      <c r="AM418" s="4" t="inlineStr">
        <is>
          <t>global_jrc_global_flood_hazard_maps</t>
        </is>
      </c>
    </row>
    <row r="419">
      <c r="A419" s="4" t="inlineStr">
        <is>
          <t>PRISM Climate Data</t>
        </is>
      </c>
      <c r="B419" s="21" t="inlineStr">
        <is>
          <t>Browser needed</t>
        </is>
      </c>
      <c r="C419" s="4" t="n">
        <v>89</v>
      </c>
      <c r="D419" s="4" t="inlineStr">
        <is>
          <t>climate_hazard</t>
        </is>
      </c>
      <c r="E419" s="4" t="inlineStr">
        <is>
          <t>blocked</t>
        </is>
      </c>
      <c r="F419" s="4" t="inlineStr">
        <is>
          <t>unknown</t>
        </is>
      </c>
      <c r="G419" s="4" t="inlineStr">
        <is>
          <t>grid_4km</t>
        </is>
      </c>
      <c r="H419" s="4" t="inlineStr">
        <is>
          <t>Needs raster support</t>
        </is>
      </c>
      <c r="I419" s="4" t="n">
        <v>2</v>
      </c>
      <c r="J419" s="4" t="inlineStr"/>
      <c r="K419" s="4" t="inlineStr">
        <is>
          <t>Curated</t>
        </is>
      </c>
      <c r="L419" s="4" t="inlineStr">
        <is>
          <t>current</t>
        </is>
      </c>
      <c r="M419" s="4" t="inlineStr">
        <is>
          <t>open</t>
        </is>
      </c>
      <c r="N419" s="4" t="inlineStr">
        <is>
          <t>2026-10-28</t>
        </is>
      </c>
      <c r="O419" s="14" t="inlineStr">
        <is>
          <t>pass</t>
        </is>
      </c>
      <c r="P419" s="14" t="inlineStr">
        <is>
          <t>pass</t>
        </is>
      </c>
      <c r="Q419" s="14" t="inlineStr">
        <is>
          <t>pass</t>
        </is>
      </c>
      <c r="R419" s="14" t="inlineStr">
        <is>
          <t>pass</t>
        </is>
      </c>
      <c r="S419" s="14" t="inlineStr">
        <is>
          <t>pass</t>
        </is>
      </c>
      <c r="T419" s="14" t="inlineStr">
        <is>
          <t>pass</t>
        </is>
      </c>
      <c r="U419" s="16" t="inlineStr">
        <is>
          <t>warn</t>
        </is>
      </c>
      <c r="V419" s="18" t="inlineStr">
        <is>
          <t>fail</t>
        </is>
      </c>
      <c r="W419" s="16" t="inlineStr">
        <is>
          <t>warn</t>
        </is>
      </c>
      <c r="X419" s="14" t="inlineStr">
        <is>
          <t>pass</t>
        </is>
      </c>
      <c r="Y419" s="15" t="inlineStr">
        <is>
          <t>not_checked</t>
        </is>
      </c>
      <c r="Z419" s="15" t="inlineStr">
        <is>
          <t>not_checked</t>
        </is>
      </c>
      <c r="AA419" s="15" t="inlineStr">
        <is>
          <t>not_checked</t>
        </is>
      </c>
      <c r="AB419" s="15" t="inlineStr">
        <is>
          <t>not_checked</t>
        </is>
      </c>
      <c r="AC419" s="15" t="inlineStr">
        <is>
          <t>not_checked</t>
        </is>
      </c>
      <c r="AD419" s="15" t="inlineStr">
        <is>
          <t>not_checked</t>
        </is>
      </c>
      <c r="AE419" s="15" t="inlineStr">
        <is>
          <t>not_checked</t>
        </is>
      </c>
      <c r="AF419" s="15" t="inlineStr">
        <is>
          <t>not_checked</t>
        </is>
      </c>
      <c r="AG419" s="15" t="inlineStr">
        <is>
          <t>not_checked</t>
        </is>
      </c>
      <c r="AH419" s="15" t="inlineStr">
        <is>
          <t>not_checked</t>
        </is>
      </c>
      <c r="AI419" s="15" t="inlineStr">
        <is>
          <t>n.a.</t>
        </is>
      </c>
      <c r="AJ419" s="15" t="inlineStr">
        <is>
          <t>n.a.</t>
        </is>
      </c>
      <c r="AK419" s="4" t="inlineStr">
        <is>
          <t>machine_metadata;format_match(warn);persistent_id(warn)</t>
        </is>
      </c>
      <c r="AL419" s="17" t="inlineStr">
        <is>
          <t>https://prism.oregonstate.edu/</t>
        </is>
      </c>
      <c r="AM419" s="4" t="inlineStr">
        <is>
          <t>us_prism_climate</t>
        </is>
      </c>
    </row>
    <row r="420">
      <c r="A420" s="4" t="inlineStr">
        <is>
          <t>Smithsonian Global Volcanism Program Volcanoes of the World database (v5.x): Holocene volcanoes and eruptions</t>
        </is>
      </c>
      <c r="B420" s="21" t="inlineStr">
        <is>
          <t>Browser needed</t>
        </is>
      </c>
      <c r="C420" s="4" t="n">
        <v>50</v>
      </c>
      <c r="D420" s="4" t="inlineStr">
        <is>
          <t>climate_hazard</t>
        </is>
      </c>
      <c r="E420" s="4" t="inlineStr">
        <is>
          <t>blocked</t>
        </is>
      </c>
      <c r="F420" s="4" t="inlineStr">
        <is>
          <t>not checked</t>
        </is>
      </c>
      <c r="G420" s="4" t="inlineStr">
        <is>
          <t>point</t>
        </is>
      </c>
      <c r="H420" s="4" t="inlineStr">
        <is>
          <t>Needs a count/distance step</t>
        </is>
      </c>
      <c r="I420" s="4" t="n">
        <v>2</v>
      </c>
      <c r="J420" s="4" t="inlineStr"/>
      <c r="K420" s="4" t="inlineStr">
        <is>
          <t>Curated</t>
        </is>
      </c>
      <c r="L420" s="4" t="inlineStr">
        <is>
          <t>current</t>
        </is>
      </c>
      <c r="M420" s="4" t="inlineStr">
        <is>
          <t>open</t>
        </is>
      </c>
      <c r="N420" s="4" t="inlineStr">
        <is>
          <t>2026-10-22</t>
        </is>
      </c>
      <c r="O420" s="16" t="inlineStr">
        <is>
          <t>warn</t>
        </is>
      </c>
      <c r="P420" s="14" t="inlineStr">
        <is>
          <t>pass</t>
        </is>
      </c>
      <c r="Q420" s="14" t="inlineStr">
        <is>
          <t>pass</t>
        </is>
      </c>
      <c r="R420" s="15" t="inlineStr">
        <is>
          <t>not_checked</t>
        </is>
      </c>
      <c r="S420" s="15" t="inlineStr">
        <is>
          <t>not_checked</t>
        </is>
      </c>
      <c r="T420" s="16" t="inlineStr">
        <is>
          <t>warn</t>
        </is>
      </c>
      <c r="U420" s="15" t="inlineStr">
        <is>
          <t>n.a.</t>
        </is>
      </c>
      <c r="V420" s="15" t="inlineStr">
        <is>
          <t>not_checked</t>
        </is>
      </c>
      <c r="W420" s="15" t="inlineStr">
        <is>
          <t>not_checked</t>
        </is>
      </c>
      <c r="X420" s="14" t="inlineStr">
        <is>
          <t>pass</t>
        </is>
      </c>
      <c r="Y420" s="15" t="inlineStr">
        <is>
          <t>not_checked</t>
        </is>
      </c>
      <c r="Z420" s="15" t="inlineStr">
        <is>
          <t>not_checked</t>
        </is>
      </c>
      <c r="AA420" s="15" t="inlineStr">
        <is>
          <t>not_checked</t>
        </is>
      </c>
      <c r="AB420" s="15" t="inlineStr">
        <is>
          <t>not_checked</t>
        </is>
      </c>
      <c r="AC420" s="15" t="inlineStr">
        <is>
          <t>not_checked</t>
        </is>
      </c>
      <c r="AD420" s="15" t="inlineStr">
        <is>
          <t>not_checked</t>
        </is>
      </c>
      <c r="AE420" s="15" t="inlineStr">
        <is>
          <t>not_checked</t>
        </is>
      </c>
      <c r="AF420" s="15" t="inlineStr">
        <is>
          <t>not_checked</t>
        </is>
      </c>
      <c r="AG420" s="15" t="inlineStr">
        <is>
          <t>not_checked</t>
        </is>
      </c>
      <c r="AH420" s="15" t="inlineStr">
        <is>
          <t>not_checked</t>
        </is>
      </c>
      <c r="AI420" s="15" t="inlineStr">
        <is>
          <t>n.a.</t>
        </is>
      </c>
      <c r="AJ420" s="15" t="inlineStr">
        <is>
          <t>n.a.</t>
        </is>
      </c>
      <c r="AK420" s="4" t="inlineStr">
        <is>
          <t>link_live(warn);access_url(warn)</t>
        </is>
      </c>
      <c r="AL420" s="17" t="inlineStr">
        <is>
          <t>https://volcano.si.edu/gvp_votw.cfm</t>
        </is>
      </c>
      <c r="AM420" s="4" t="inlineStr">
        <is>
          <t>global_smithsonian_global_volcanism</t>
        </is>
      </c>
    </row>
    <row r="421">
      <c r="A421" s="4" t="inlineStr">
        <is>
          <t>WFIGS Interagency Fire Perimeters (current and full history)</t>
        </is>
      </c>
      <c r="B421" s="21" t="inlineStr">
        <is>
          <t>Browser needed</t>
        </is>
      </c>
      <c r="C421" s="4" t="n">
        <v>85</v>
      </c>
      <c r="D421" s="4" t="inlineStr">
        <is>
          <t>climate_hazard</t>
        </is>
      </c>
      <c r="E421" s="4" t="inlineStr">
        <is>
          <t>blocked</t>
        </is>
      </c>
      <c r="F421" s="4" t="inlineStr">
        <is>
          <t>public_domain_us_federal</t>
        </is>
      </c>
      <c r="G421" s="4" t="inlineStr">
        <is>
          <t>polygon</t>
        </is>
      </c>
      <c r="H421" s="4" t="inlineStr">
        <is>
          <t>Joins today</t>
        </is>
      </c>
      <c r="I421" s="4" t="n">
        <v>2</v>
      </c>
      <c r="J421" s="4" t="inlineStr"/>
      <c r="K421" s="4" t="inlineStr">
        <is>
          <t>Curated</t>
        </is>
      </c>
      <c r="L421" s="4" t="inlineStr">
        <is>
          <t>current</t>
        </is>
      </c>
      <c r="M421" s="4" t="inlineStr">
        <is>
          <t>open</t>
        </is>
      </c>
      <c r="N421" s="4" t="inlineStr">
        <is>
          <t>2026-10-29</t>
        </is>
      </c>
      <c r="O421" s="14" t="inlineStr">
        <is>
          <t>pass</t>
        </is>
      </c>
      <c r="P421" s="14" t="inlineStr">
        <is>
          <t>pass</t>
        </is>
      </c>
      <c r="Q421" s="14" t="inlineStr">
        <is>
          <t>pass</t>
        </is>
      </c>
      <c r="R421" s="16" t="inlineStr">
        <is>
          <t>warn</t>
        </is>
      </c>
      <c r="S421" s="15" t="inlineStr">
        <is>
          <t>not_checked</t>
        </is>
      </c>
      <c r="T421" s="14" t="inlineStr">
        <is>
          <t>pass</t>
        </is>
      </c>
      <c r="U421" s="14" t="inlineStr">
        <is>
          <t>pass</t>
        </is>
      </c>
      <c r="V421" s="16" t="inlineStr">
        <is>
          <t>warn</t>
        </is>
      </c>
      <c r="W421" s="16" t="inlineStr">
        <is>
          <t>warn</t>
        </is>
      </c>
      <c r="X421" s="14" t="inlineStr">
        <is>
          <t>pass</t>
        </is>
      </c>
      <c r="Y421" s="14" t="inlineStr">
        <is>
          <t>pass</t>
        </is>
      </c>
      <c r="Z421" s="15" t="inlineStr">
        <is>
          <t>not_checked</t>
        </is>
      </c>
      <c r="AA421" s="15" t="inlineStr">
        <is>
          <t>not_checked</t>
        </is>
      </c>
      <c r="AB421" s="15" t="inlineStr">
        <is>
          <t>not_checked</t>
        </is>
      </c>
      <c r="AC421" s="15" t="inlineStr">
        <is>
          <t>not_checked</t>
        </is>
      </c>
      <c r="AD421" s="15" t="inlineStr">
        <is>
          <t>not_checked</t>
        </is>
      </c>
      <c r="AE421" s="15" t="inlineStr">
        <is>
          <t>not_checked</t>
        </is>
      </c>
      <c r="AF421" s="15" t="inlineStr">
        <is>
          <t>not_checked</t>
        </is>
      </c>
      <c r="AG421" s="15" t="inlineStr">
        <is>
          <t>not_checked</t>
        </is>
      </c>
      <c r="AH421" s="15" t="inlineStr">
        <is>
          <t>not_checked</t>
        </is>
      </c>
      <c r="AI421" s="15" t="inlineStr">
        <is>
          <t>n.a.</t>
        </is>
      </c>
      <c r="AJ421" s="15" t="inlineStr">
        <is>
          <t>n.a.</t>
        </is>
      </c>
      <c r="AK421" s="4" t="inlineStr">
        <is>
          <t>soft404(warn);machine_metadata(warn);persistent_id(warn)</t>
        </is>
      </c>
      <c r="AL421" s="17" t="inlineStr">
        <is>
          <t>https://data-nifc.opendata.arcgis.com/</t>
        </is>
      </c>
      <c r="AM421" s="4" t="inlineStr">
        <is>
          <t>us_nifc_wfigs_fire_perimeters</t>
        </is>
      </c>
    </row>
    <row r="422">
      <c r="A422" s="4" t="inlineStr">
        <is>
          <t>World Population Prospects (WPP)</t>
        </is>
      </c>
      <c r="B422" s="21" t="inlineStr">
        <is>
          <t>Browser needed</t>
        </is>
      </c>
      <c r="C422" s="4" t="n">
        <v>89</v>
      </c>
      <c r="D422" s="4" t="inlineStr">
        <is>
          <t>demographics</t>
        </is>
      </c>
      <c r="E422" s="4" t="inlineStr">
        <is>
          <t>blocked</t>
        </is>
      </c>
      <c r="F422" s="4" t="inlineStr">
        <is>
          <t>unknown</t>
        </is>
      </c>
      <c r="G422" s="4" t="inlineStr">
        <is>
          <t>country</t>
        </is>
      </c>
      <c r="H422" s="4" t="inlineStr">
        <is>
          <t>Not linkable as listed</t>
        </is>
      </c>
      <c r="I422" s="4" t="n">
        <v>3</v>
      </c>
      <c r="J422" s="4" t="inlineStr"/>
      <c r="K422" s="4" t="inlineStr">
        <is>
          <t>Curated</t>
        </is>
      </c>
      <c r="L422" s="4" t="n">
        <v>2024</v>
      </c>
      <c r="M422" s="4" t="inlineStr">
        <is>
          <t>open</t>
        </is>
      </c>
      <c r="N422" s="4" t="inlineStr">
        <is>
          <t>2026-10-28</t>
        </is>
      </c>
      <c r="O422" s="14" t="inlineStr">
        <is>
          <t>pass</t>
        </is>
      </c>
      <c r="P422" s="14" t="inlineStr">
        <is>
          <t>pass</t>
        </is>
      </c>
      <c r="Q422" s="14" t="inlineStr">
        <is>
          <t>pass</t>
        </is>
      </c>
      <c r="R422" s="14" t="inlineStr">
        <is>
          <t>pass</t>
        </is>
      </c>
      <c r="S422" s="14" t="inlineStr">
        <is>
          <t>pass</t>
        </is>
      </c>
      <c r="T422" s="15" t="inlineStr">
        <is>
          <t>n.a.</t>
        </is>
      </c>
      <c r="U422" s="15" t="inlineStr">
        <is>
          <t>n.a.</t>
        </is>
      </c>
      <c r="V422" s="18" t="inlineStr">
        <is>
          <t>fail</t>
        </is>
      </c>
      <c r="W422" s="16" t="inlineStr">
        <is>
          <t>warn</t>
        </is>
      </c>
      <c r="X422" s="14" t="inlineStr">
        <is>
          <t>pass</t>
        </is>
      </c>
      <c r="Y422" s="15" t="inlineStr">
        <is>
          <t>not_checked</t>
        </is>
      </c>
      <c r="Z422" s="15" t="inlineStr">
        <is>
          <t>not_checked</t>
        </is>
      </c>
      <c r="AA422" s="15" t="inlineStr">
        <is>
          <t>not_checked</t>
        </is>
      </c>
      <c r="AB422" s="15" t="inlineStr">
        <is>
          <t>not_checked</t>
        </is>
      </c>
      <c r="AC422" s="15" t="inlineStr">
        <is>
          <t>not_checked</t>
        </is>
      </c>
      <c r="AD422" s="15" t="inlineStr">
        <is>
          <t>not_checked</t>
        </is>
      </c>
      <c r="AE422" s="15" t="inlineStr">
        <is>
          <t>not_checked</t>
        </is>
      </c>
      <c r="AF422" s="15" t="inlineStr">
        <is>
          <t>not_checked</t>
        </is>
      </c>
      <c r="AG422" s="15" t="inlineStr">
        <is>
          <t>not_checked</t>
        </is>
      </c>
      <c r="AH422" s="15" t="inlineStr">
        <is>
          <t>not_checked</t>
        </is>
      </c>
      <c r="AI422" s="15" t="inlineStr">
        <is>
          <t>n.a.</t>
        </is>
      </c>
      <c r="AJ422" s="15" t="inlineStr">
        <is>
          <t>n.a.</t>
        </is>
      </c>
      <c r="AK422" s="4" t="inlineStr">
        <is>
          <t>machine_metadata;persistent_id(warn)</t>
        </is>
      </c>
      <c r="AL422" s="17" t="inlineStr">
        <is>
          <t>https://population.un.org/wpp/</t>
        </is>
      </c>
      <c r="AM422" s="4" t="inlineStr">
        <is>
          <t>global_un_wpp</t>
        </is>
      </c>
    </row>
    <row r="423">
      <c r="A423" s="4" t="inlineStr">
        <is>
          <t>WorldPop Population Counts, individual countries 2015-2030, 100 m (R2025A v1, constrained and unconstrained)</t>
        </is>
      </c>
      <c r="B423" s="21" t="inlineStr">
        <is>
          <t>Browser needed</t>
        </is>
      </c>
      <c r="C423" s="4" t="n">
        <v>50</v>
      </c>
      <c r="D423" s="4" t="inlineStr">
        <is>
          <t>demographics</t>
        </is>
      </c>
      <c r="E423" s="4" t="inlineStr">
        <is>
          <t>blocked</t>
        </is>
      </c>
      <c r="F423" s="4" t="inlineStr">
        <is>
          <t>not checked</t>
        </is>
      </c>
      <c r="G423" s="4" t="inlineStr">
        <is>
          <t>grid_100m</t>
        </is>
      </c>
      <c r="H423" s="4" t="inlineStr">
        <is>
          <t>Needs raster support</t>
        </is>
      </c>
      <c r="I423" s="4" t="n">
        <v>3</v>
      </c>
      <c r="J423" s="4" t="inlineStr"/>
      <c r="K423" s="4" t="inlineStr">
        <is>
          <t>Curated</t>
        </is>
      </c>
      <c r="L423" s="4" t="n">
        <v>2030</v>
      </c>
      <c r="M423" s="4" t="inlineStr">
        <is>
          <t>open</t>
        </is>
      </c>
      <c r="N423" s="4" t="inlineStr">
        <is>
          <t>2026-10-22</t>
        </is>
      </c>
      <c r="O423" s="16" t="inlineStr">
        <is>
          <t>warn</t>
        </is>
      </c>
      <c r="P423" s="15" t="inlineStr">
        <is>
          <t>n.a.</t>
        </is>
      </c>
      <c r="Q423" s="15" t="inlineStr">
        <is>
          <t>n.a.</t>
        </is>
      </c>
      <c r="R423" s="15" t="inlineStr">
        <is>
          <t>n.a.</t>
        </is>
      </c>
      <c r="S423" s="15" t="inlineStr">
        <is>
          <t>n.a.</t>
        </is>
      </c>
      <c r="T423" s="16" t="inlineStr">
        <is>
          <t>warn</t>
        </is>
      </c>
      <c r="U423" s="15" t="inlineStr">
        <is>
          <t>n.a.</t>
        </is>
      </c>
      <c r="V423" s="15" t="inlineStr">
        <is>
          <t>n.a.</t>
        </is>
      </c>
      <c r="W423" s="15" t="inlineStr">
        <is>
          <t>not_checked</t>
        </is>
      </c>
      <c r="X423" s="14" t="inlineStr">
        <is>
          <t>pass</t>
        </is>
      </c>
      <c r="Y423" s="15" t="inlineStr">
        <is>
          <t>not_checked</t>
        </is>
      </c>
      <c r="Z423" s="15" t="inlineStr">
        <is>
          <t>not_checked</t>
        </is>
      </c>
      <c r="AA423" s="15" t="inlineStr">
        <is>
          <t>not_checked</t>
        </is>
      </c>
      <c r="AB423" s="15" t="inlineStr">
        <is>
          <t>not_checked</t>
        </is>
      </c>
      <c r="AC423" s="15" t="inlineStr">
        <is>
          <t>not_checked</t>
        </is>
      </c>
      <c r="AD423" s="15" t="inlineStr">
        <is>
          <t>not_checked</t>
        </is>
      </c>
      <c r="AE423" s="15" t="inlineStr">
        <is>
          <t>not_checked</t>
        </is>
      </c>
      <c r="AF423" s="15" t="inlineStr">
        <is>
          <t>not_checked</t>
        </is>
      </c>
      <c r="AG423" s="15" t="inlineStr">
        <is>
          <t>not_checked</t>
        </is>
      </c>
      <c r="AH423" s="15" t="inlineStr">
        <is>
          <t>not_checked</t>
        </is>
      </c>
      <c r="AI423" s="15" t="inlineStr">
        <is>
          <t>n.a.</t>
        </is>
      </c>
      <c r="AJ423" s="15" t="inlineStr">
        <is>
          <t>n.a.</t>
        </is>
      </c>
      <c r="AK423" s="4" t="inlineStr">
        <is>
          <t>link_live(warn);access_url(warn)</t>
        </is>
      </c>
      <c r="AL423" s="17" t="inlineStr">
        <is>
          <t>https://hub.worldpop.org/project/categories?id=3</t>
        </is>
      </c>
      <c r="AM423" s="4" t="inlineStr">
        <is>
          <t>global_worldpop_population_100m</t>
        </is>
      </c>
    </row>
    <row r="424">
      <c r="A424" s="4" t="inlineStr">
        <is>
          <t>2019 Kenya Population and Housing Census (KPHC) results</t>
        </is>
      </c>
      <c r="B424" s="21" t="inlineStr">
        <is>
          <t>Browser needed</t>
        </is>
      </c>
      <c r="C424" s="4" t="n">
        <v>0</v>
      </c>
      <c r="D424" s="4" t="inlineStr">
        <is>
          <t>demographics</t>
        </is>
      </c>
      <c r="E424" s="4" t="inlineStr">
        <is>
          <t>blocked</t>
        </is>
      </c>
      <c r="F424" s="4" t="inlineStr">
        <is>
          <t>not checked</t>
        </is>
      </c>
      <c r="G424" s="4" t="inlineStr">
        <is>
          <t>postcode_small_area</t>
        </is>
      </c>
      <c r="H424" s="4" t="inlineStr">
        <is>
          <t>Joins today</t>
        </is>
      </c>
      <c r="I424" s="4" t="n">
        <v>2</v>
      </c>
      <c r="J424" s="4" t="inlineStr"/>
      <c r="K424" s="4" t="inlineStr">
        <is>
          <t>Curated</t>
        </is>
      </c>
      <c r="L424" s="4" t="n">
        <v>2019</v>
      </c>
      <c r="M424" s="4" t="inlineStr">
        <is>
          <t>open</t>
        </is>
      </c>
      <c r="N424" s="4" t="inlineStr">
        <is>
          <t>2026-10-22</t>
        </is>
      </c>
      <c r="O424" s="18" t="inlineStr">
        <is>
          <t>fail</t>
        </is>
      </c>
      <c r="P424" s="15" t="inlineStr">
        <is>
          <t>n.a.</t>
        </is>
      </c>
      <c r="Q424" s="18" t="inlineStr">
        <is>
          <t>fail</t>
        </is>
      </c>
      <c r="R424" s="15" t="inlineStr">
        <is>
          <t>n.a.</t>
        </is>
      </c>
      <c r="S424" s="15" t="inlineStr">
        <is>
          <t>n.a.</t>
        </is>
      </c>
      <c r="T424" s="18" t="inlineStr">
        <is>
          <t>fail</t>
        </is>
      </c>
      <c r="U424" s="15" t="inlineStr">
        <is>
          <t>n.a.</t>
        </is>
      </c>
      <c r="V424" s="15" t="inlineStr">
        <is>
          <t>n.a.</t>
        </is>
      </c>
      <c r="W424" s="15" t="inlineStr">
        <is>
          <t>not_checked</t>
        </is>
      </c>
      <c r="X424" s="14" t="inlineStr">
        <is>
          <t>pass</t>
        </is>
      </c>
      <c r="Y424" s="15" t="inlineStr">
        <is>
          <t>not_checked</t>
        </is>
      </c>
      <c r="Z424" s="15" t="inlineStr">
        <is>
          <t>not_checked</t>
        </is>
      </c>
      <c r="AA424" s="15" t="inlineStr">
        <is>
          <t>not_checked</t>
        </is>
      </c>
      <c r="AB424" s="15" t="inlineStr">
        <is>
          <t>not_checked</t>
        </is>
      </c>
      <c r="AC424" s="15" t="inlineStr">
        <is>
          <t>not_checked</t>
        </is>
      </c>
      <c r="AD424" s="15" t="inlineStr">
        <is>
          <t>not_checked</t>
        </is>
      </c>
      <c r="AE424" s="15" t="inlineStr">
        <is>
          <t>not_checked</t>
        </is>
      </c>
      <c r="AF424" s="15" t="inlineStr">
        <is>
          <t>not_checked</t>
        </is>
      </c>
      <c r="AG424" s="15" t="inlineStr">
        <is>
          <t>not_checked</t>
        </is>
      </c>
      <c r="AH424" s="15" t="inlineStr">
        <is>
          <t>not_checked</t>
        </is>
      </c>
      <c r="AI424" s="15" t="inlineStr">
        <is>
          <t>n.a.</t>
        </is>
      </c>
      <c r="AJ424" s="15" t="inlineStr">
        <is>
          <t>n.a.</t>
        </is>
      </c>
      <c r="AK424" s="4" t="inlineStr">
        <is>
          <t>link_live;tls;access_url</t>
        </is>
      </c>
      <c r="AL424" s="17" t="inlineStr">
        <is>
          <t>https://www.knbs.or.ke/2019-kenya-population-and-housing-census-results/</t>
        </is>
      </c>
      <c r="AM424" s="4" t="inlineStr">
        <is>
          <t>ke_knbs_census_2019</t>
        </is>
      </c>
    </row>
    <row r="425">
      <c r="A425" s="4" t="inlineStr">
        <is>
          <t>2020 Census of Population and Housing (2020 CPH) - population counts</t>
        </is>
      </c>
      <c r="B425" s="21" t="inlineStr">
        <is>
          <t>Browser needed</t>
        </is>
      </c>
      <c r="C425" s="4" t="n">
        <v>50</v>
      </c>
      <c r="D425" s="4" t="inlineStr">
        <is>
          <t>demographics</t>
        </is>
      </c>
      <c r="E425" s="4" t="inlineStr">
        <is>
          <t>blocked</t>
        </is>
      </c>
      <c r="F425" s="4" t="inlineStr">
        <is>
          <t>not checked</t>
        </is>
      </c>
      <c r="G425" s="4" t="inlineStr">
        <is>
          <t>postcode_small_area</t>
        </is>
      </c>
      <c r="H425" s="4" t="inlineStr">
        <is>
          <t>Joins today</t>
        </is>
      </c>
      <c r="I425" s="4" t="n">
        <v>2</v>
      </c>
      <c r="J425" s="4" t="inlineStr"/>
      <c r="K425" s="4" t="inlineStr">
        <is>
          <t>Curated</t>
        </is>
      </c>
      <c r="L425" s="4" t="n">
        <v>2021</v>
      </c>
      <c r="M425" s="4" t="inlineStr">
        <is>
          <t>open</t>
        </is>
      </c>
      <c r="N425" s="4" t="inlineStr">
        <is>
          <t>2026-10-22</t>
        </is>
      </c>
      <c r="O425" s="16" t="inlineStr">
        <is>
          <t>warn</t>
        </is>
      </c>
      <c r="P425" s="14" t="inlineStr">
        <is>
          <t>pass</t>
        </is>
      </c>
      <c r="Q425" s="14" t="inlineStr">
        <is>
          <t>pass</t>
        </is>
      </c>
      <c r="R425" s="15" t="inlineStr">
        <is>
          <t>not_checked</t>
        </is>
      </c>
      <c r="S425" s="15" t="inlineStr">
        <is>
          <t>not_checked</t>
        </is>
      </c>
      <c r="T425" s="16" t="inlineStr">
        <is>
          <t>warn</t>
        </is>
      </c>
      <c r="U425" s="15" t="inlineStr">
        <is>
          <t>n.a.</t>
        </is>
      </c>
      <c r="V425" s="15" t="inlineStr">
        <is>
          <t>not_checked</t>
        </is>
      </c>
      <c r="W425" s="15" t="inlineStr">
        <is>
          <t>not_checked</t>
        </is>
      </c>
      <c r="X425" s="14" t="inlineStr">
        <is>
          <t>pass</t>
        </is>
      </c>
      <c r="Y425" s="15" t="inlineStr">
        <is>
          <t>not_checked</t>
        </is>
      </c>
      <c r="Z425" s="15" t="inlineStr">
        <is>
          <t>not_checked</t>
        </is>
      </c>
      <c r="AA425" s="15" t="inlineStr">
        <is>
          <t>not_checked</t>
        </is>
      </c>
      <c r="AB425" s="15" t="inlineStr">
        <is>
          <t>not_checked</t>
        </is>
      </c>
      <c r="AC425" s="15" t="inlineStr">
        <is>
          <t>not_checked</t>
        </is>
      </c>
      <c r="AD425" s="15" t="inlineStr">
        <is>
          <t>not_checked</t>
        </is>
      </c>
      <c r="AE425" s="15" t="inlineStr">
        <is>
          <t>not_checked</t>
        </is>
      </c>
      <c r="AF425" s="15" t="inlineStr">
        <is>
          <t>not_checked</t>
        </is>
      </c>
      <c r="AG425" s="15" t="inlineStr">
        <is>
          <t>not_checked</t>
        </is>
      </c>
      <c r="AH425" s="15" t="inlineStr">
        <is>
          <t>not_checked</t>
        </is>
      </c>
      <c r="AI425" s="15" t="inlineStr">
        <is>
          <t>n.a.</t>
        </is>
      </c>
      <c r="AJ425" s="15" t="inlineStr">
        <is>
          <t>n.a.</t>
        </is>
      </c>
      <c r="AK425" s="4" t="inlineStr">
        <is>
          <t>link_live(warn);access_url(warn)</t>
        </is>
      </c>
      <c r="AL425" s="17" t="inlineStr">
        <is>
          <t>https://psa.gov.ph/population-and-housing</t>
        </is>
      </c>
      <c r="AM425" s="4" t="inlineStr">
        <is>
          <t>ph_psa_cph_2020</t>
        </is>
      </c>
    </row>
    <row r="426">
      <c r="A426" s="4" t="inlineStr">
        <is>
          <t>2022 Population and Housing Census (Tanzania) results and profiles</t>
        </is>
      </c>
      <c r="B426" s="21" t="inlineStr">
        <is>
          <t>Browser needed</t>
        </is>
      </c>
      <c r="C426" s="4" t="n">
        <v>71</v>
      </c>
      <c r="D426" s="4" t="inlineStr">
        <is>
          <t>demographics</t>
        </is>
      </c>
      <c r="E426" s="4" t="inlineStr">
        <is>
          <t>blocked</t>
        </is>
      </c>
      <c r="F426" s="4" t="inlineStr">
        <is>
          <t>unknown</t>
        </is>
      </c>
      <c r="G426" s="4" t="inlineStr">
        <is>
          <t>postcode_small_area</t>
        </is>
      </c>
      <c r="H426" s="4" t="inlineStr">
        <is>
          <t>Joins today</t>
        </is>
      </c>
      <c r="I426" s="4" t="n">
        <v>2</v>
      </c>
      <c r="J426" s="4" t="inlineStr"/>
      <c r="K426" s="4" t="inlineStr">
        <is>
          <t>Curated</t>
        </is>
      </c>
      <c r="L426" s="4" t="n">
        <v>2025</v>
      </c>
      <c r="M426" s="4" t="inlineStr">
        <is>
          <t>open</t>
        </is>
      </c>
      <c r="N426" s="4" t="inlineStr">
        <is>
          <t>2026-10-22</t>
        </is>
      </c>
      <c r="O426" s="14" t="inlineStr">
        <is>
          <t>pass</t>
        </is>
      </c>
      <c r="P426" s="14" t="inlineStr">
        <is>
          <t>pass</t>
        </is>
      </c>
      <c r="Q426" s="14" t="inlineStr">
        <is>
          <t>pass</t>
        </is>
      </c>
      <c r="R426" s="16" t="inlineStr">
        <is>
          <t>warn</t>
        </is>
      </c>
      <c r="S426" s="15" t="inlineStr">
        <is>
          <t>not_checked</t>
        </is>
      </c>
      <c r="T426" s="14" t="inlineStr">
        <is>
          <t>pass</t>
        </is>
      </c>
      <c r="U426" s="16" t="inlineStr">
        <is>
          <t>warn</t>
        </is>
      </c>
      <c r="V426" s="18" t="inlineStr">
        <is>
          <t>fail</t>
        </is>
      </c>
      <c r="W426" s="16" t="inlineStr">
        <is>
          <t>warn</t>
        </is>
      </c>
      <c r="X426" s="14" t="inlineStr">
        <is>
          <t>pass</t>
        </is>
      </c>
      <c r="Y426" s="15" t="inlineStr">
        <is>
          <t>not_checked</t>
        </is>
      </c>
      <c r="Z426" s="15" t="inlineStr">
        <is>
          <t>not_checked</t>
        </is>
      </c>
      <c r="AA426" s="15" t="inlineStr">
        <is>
          <t>not_checked</t>
        </is>
      </c>
      <c r="AB426" s="15" t="inlineStr">
        <is>
          <t>not_checked</t>
        </is>
      </c>
      <c r="AC426" s="15" t="inlineStr">
        <is>
          <t>not_checked</t>
        </is>
      </c>
      <c r="AD426" s="15" t="inlineStr">
        <is>
          <t>not_checked</t>
        </is>
      </c>
      <c r="AE426" s="15" t="inlineStr">
        <is>
          <t>not_checked</t>
        </is>
      </c>
      <c r="AF426" s="15" t="inlineStr">
        <is>
          <t>not_checked</t>
        </is>
      </c>
      <c r="AG426" s="15" t="inlineStr">
        <is>
          <t>not_checked</t>
        </is>
      </c>
      <c r="AH426" s="15" t="inlineStr">
        <is>
          <t>not_checked</t>
        </is>
      </c>
      <c r="AI426" s="15" t="inlineStr">
        <is>
          <t>n.a.</t>
        </is>
      </c>
      <c r="AJ426" s="15" t="inlineStr">
        <is>
          <t>n.a.</t>
        </is>
      </c>
      <c r="AK426" s="4" t="inlineStr">
        <is>
          <t>machine_metadata;soft404(warn);format_match(warn);persistent_id(warn)</t>
        </is>
      </c>
      <c r="AL426" s="17" t="inlineStr">
        <is>
          <t>https://sensa.nbs.go.tz/</t>
        </is>
      </c>
      <c r="AM426" s="4" t="inlineStr">
        <is>
          <t>tz_nbs_census_2022</t>
        </is>
      </c>
    </row>
    <row r="427">
      <c r="A427" s="4" t="inlineStr">
        <is>
          <t>2023 Census</t>
        </is>
      </c>
      <c r="B427" s="21" t="inlineStr">
        <is>
          <t>Browser needed</t>
        </is>
      </c>
      <c r="C427" s="4" t="n">
        <v>89</v>
      </c>
      <c r="D427" s="4" t="inlineStr">
        <is>
          <t>demographics</t>
        </is>
      </c>
      <c r="E427" s="4" t="inlineStr">
        <is>
          <t>blocked</t>
        </is>
      </c>
      <c r="F427" s="4" t="inlineStr">
        <is>
          <t>unknown</t>
        </is>
      </c>
      <c r="G427" s="4" t="inlineStr">
        <is>
          <t>postcode_small_area</t>
        </is>
      </c>
      <c r="H427" s="4" t="inlineStr">
        <is>
          <t>Joins today</t>
        </is>
      </c>
      <c r="I427" s="4" t="n">
        <v>2</v>
      </c>
      <c r="J427" s="4" t="inlineStr"/>
      <c r="K427" s="4" t="inlineStr">
        <is>
          <t>Curated</t>
        </is>
      </c>
      <c r="L427" s="4" t="n">
        <v>2023</v>
      </c>
      <c r="M427" s="4" t="inlineStr">
        <is>
          <t>open</t>
        </is>
      </c>
      <c r="N427" s="4" t="inlineStr">
        <is>
          <t>2026-10-22</t>
        </is>
      </c>
      <c r="O427" s="14" t="inlineStr">
        <is>
          <t>pass</t>
        </is>
      </c>
      <c r="P427" s="14" t="inlineStr">
        <is>
          <t>pass</t>
        </is>
      </c>
      <c r="Q427" s="14" t="inlineStr">
        <is>
          <t>pass</t>
        </is>
      </c>
      <c r="R427" s="14" t="inlineStr">
        <is>
          <t>pass</t>
        </is>
      </c>
      <c r="S427" s="14" t="inlineStr">
        <is>
          <t>pass</t>
        </is>
      </c>
      <c r="T427" s="14" t="inlineStr">
        <is>
          <t>pass</t>
        </is>
      </c>
      <c r="U427" s="15" t="inlineStr">
        <is>
          <t>n.a.</t>
        </is>
      </c>
      <c r="V427" s="18" t="inlineStr">
        <is>
          <t>fail</t>
        </is>
      </c>
      <c r="W427" s="16" t="inlineStr">
        <is>
          <t>warn</t>
        </is>
      </c>
      <c r="X427" s="14" t="inlineStr">
        <is>
          <t>pass</t>
        </is>
      </c>
      <c r="Y427" s="15" t="inlineStr">
        <is>
          <t>not_checked</t>
        </is>
      </c>
      <c r="Z427" s="15" t="inlineStr">
        <is>
          <t>not_checked</t>
        </is>
      </c>
      <c r="AA427" s="15" t="inlineStr">
        <is>
          <t>not_checked</t>
        </is>
      </c>
      <c r="AB427" s="15" t="inlineStr">
        <is>
          <t>not_checked</t>
        </is>
      </c>
      <c r="AC427" s="15" t="inlineStr">
        <is>
          <t>not_checked</t>
        </is>
      </c>
      <c r="AD427" s="15" t="inlineStr">
        <is>
          <t>not_checked</t>
        </is>
      </c>
      <c r="AE427" s="15" t="inlineStr">
        <is>
          <t>not_checked</t>
        </is>
      </c>
      <c r="AF427" s="15" t="inlineStr">
        <is>
          <t>not_checked</t>
        </is>
      </c>
      <c r="AG427" s="15" t="inlineStr">
        <is>
          <t>not_checked</t>
        </is>
      </c>
      <c r="AH427" s="15" t="inlineStr">
        <is>
          <t>not_checked</t>
        </is>
      </c>
      <c r="AI427" s="15" t="inlineStr">
        <is>
          <t>n.a.</t>
        </is>
      </c>
      <c r="AJ427" s="15" t="inlineStr">
        <is>
          <t>n.a.</t>
        </is>
      </c>
      <c r="AK427" s="4" t="inlineStr">
        <is>
          <t>machine_metadata;persistent_id(warn)</t>
        </is>
      </c>
      <c r="AL427" s="17" t="inlineStr">
        <is>
          <t>https://www.stats.govt.nz/2023-census/</t>
        </is>
      </c>
      <c r="AM427" s="4" t="inlineStr">
        <is>
          <t>nz_statsnz_census_2023</t>
        </is>
      </c>
    </row>
    <row r="428">
      <c r="A428" s="4" t="inlineStr">
        <is>
          <t>Address Based Population Registration System (ADNKS) results</t>
        </is>
      </c>
      <c r="B428" s="21" t="inlineStr">
        <is>
          <t>Browser needed</t>
        </is>
      </c>
      <c r="C428" s="4" t="n">
        <v>71</v>
      </c>
      <c r="D428" s="4" t="inlineStr">
        <is>
          <t>demographics</t>
        </is>
      </c>
      <c r="E428" s="4" t="inlineStr">
        <is>
          <t>blocked</t>
        </is>
      </c>
      <c r="F428" s="4" t="inlineStr">
        <is>
          <t>unknown</t>
        </is>
      </c>
      <c r="G428" s="4" t="inlineStr">
        <is>
          <t>postcode_small_area</t>
        </is>
      </c>
      <c r="H428" s="4" t="inlineStr">
        <is>
          <t>Joins today</t>
        </is>
      </c>
      <c r="I428" s="4" t="n">
        <v>2</v>
      </c>
      <c r="J428" s="4" t="inlineStr"/>
      <c r="K428" s="4" t="inlineStr">
        <is>
          <t>Curated</t>
        </is>
      </c>
      <c r="L428" s="4" t="n">
        <v>2007</v>
      </c>
      <c r="M428" s="4" t="inlineStr">
        <is>
          <t>open</t>
        </is>
      </c>
      <c r="N428" s="4" t="inlineStr">
        <is>
          <t>2026-10-22</t>
        </is>
      </c>
      <c r="O428" s="14" t="inlineStr">
        <is>
          <t>pass</t>
        </is>
      </c>
      <c r="P428" s="14" t="inlineStr">
        <is>
          <t>pass</t>
        </is>
      </c>
      <c r="Q428" s="14" t="inlineStr">
        <is>
          <t>pass</t>
        </is>
      </c>
      <c r="R428" s="16" t="inlineStr">
        <is>
          <t>warn</t>
        </is>
      </c>
      <c r="S428" s="15" t="inlineStr">
        <is>
          <t>not_checked</t>
        </is>
      </c>
      <c r="T428" s="14" t="inlineStr">
        <is>
          <t>pass</t>
        </is>
      </c>
      <c r="U428" s="14" t="inlineStr">
        <is>
          <t>pass</t>
        </is>
      </c>
      <c r="V428" s="18" t="inlineStr">
        <is>
          <t>fail</t>
        </is>
      </c>
      <c r="W428" s="16" t="inlineStr">
        <is>
          <t>warn</t>
        </is>
      </c>
      <c r="X428" s="14" t="inlineStr">
        <is>
          <t>pass</t>
        </is>
      </c>
      <c r="Y428" s="15" t="inlineStr">
        <is>
          <t>not_checked</t>
        </is>
      </c>
      <c r="Z428" s="15" t="inlineStr">
        <is>
          <t>not_checked</t>
        </is>
      </c>
      <c r="AA428" s="15" t="inlineStr">
        <is>
          <t>not_checked</t>
        </is>
      </c>
      <c r="AB428" s="15" t="inlineStr">
        <is>
          <t>not_checked</t>
        </is>
      </c>
      <c r="AC428" s="15" t="inlineStr">
        <is>
          <t>not_checked</t>
        </is>
      </c>
      <c r="AD428" s="15" t="inlineStr">
        <is>
          <t>not_checked</t>
        </is>
      </c>
      <c r="AE428" s="15" t="inlineStr">
        <is>
          <t>not_checked</t>
        </is>
      </c>
      <c r="AF428" s="15" t="inlineStr">
        <is>
          <t>not_checked</t>
        </is>
      </c>
      <c r="AG428" s="15" t="inlineStr">
        <is>
          <t>not_checked</t>
        </is>
      </c>
      <c r="AH428" s="15" t="inlineStr">
        <is>
          <t>not_checked</t>
        </is>
      </c>
      <c r="AI428" s="15" t="inlineStr">
        <is>
          <t>n.a.</t>
        </is>
      </c>
      <c r="AJ428" s="15" t="inlineStr">
        <is>
          <t>n.a.</t>
        </is>
      </c>
      <c r="AK428" s="4" t="inlineStr">
        <is>
          <t>machine_metadata;soft404(warn);persistent_id(warn)</t>
        </is>
      </c>
      <c r="AL428" s="17" t="inlineStr">
        <is>
          <t>https://veriportali.tuik.gov.tr/Kategori/GetKategori?p=nufus-ve-demografi-109</t>
        </is>
      </c>
      <c r="AM428" s="4" t="inlineStr">
        <is>
          <t>tr_tuik_adnks</t>
        </is>
      </c>
    </row>
    <row r="429">
      <c r="A429" s="4" t="inlineStr">
        <is>
          <t>Censo de Poblacion y Vivienda 2020 - Principales resultados por AGEB y manzana urbana</t>
        </is>
      </c>
      <c r="B429" s="21" t="inlineStr">
        <is>
          <t>Browser needed</t>
        </is>
      </c>
      <c r="C429" s="4" t="n">
        <v>86</v>
      </c>
      <c r="D429" s="4" t="inlineStr">
        <is>
          <t>demographics</t>
        </is>
      </c>
      <c r="E429" s="4" t="inlineStr">
        <is>
          <t>blocked</t>
        </is>
      </c>
      <c r="F429" s="4" t="inlineStr">
        <is>
          <t>unknown</t>
        </is>
      </c>
      <c r="G429" s="4" t="inlineStr">
        <is>
          <t>block</t>
        </is>
      </c>
      <c r="H429" s="4" t="inlineStr">
        <is>
          <t>Joins today</t>
        </is>
      </c>
      <c r="I429" s="4" t="n">
        <v>2</v>
      </c>
      <c r="J429" s="4" t="inlineStr"/>
      <c r="K429" s="4" t="inlineStr">
        <is>
          <t>Curated</t>
        </is>
      </c>
      <c r="L429" s="4" t="n">
        <v>2020</v>
      </c>
      <c r="M429" s="4" t="inlineStr">
        <is>
          <t>open</t>
        </is>
      </c>
      <c r="N429" s="4" t="inlineStr">
        <is>
          <t>2026-10-22</t>
        </is>
      </c>
      <c r="O429" s="14" t="inlineStr">
        <is>
          <t>pass</t>
        </is>
      </c>
      <c r="P429" s="14" t="inlineStr">
        <is>
          <t>pass</t>
        </is>
      </c>
      <c r="Q429" s="14" t="inlineStr">
        <is>
          <t>pass</t>
        </is>
      </c>
      <c r="R429" s="16" t="inlineStr">
        <is>
          <t>warn</t>
        </is>
      </c>
      <c r="S429" s="15" t="inlineStr">
        <is>
          <t>not_checked</t>
        </is>
      </c>
      <c r="T429" s="14" t="inlineStr">
        <is>
          <t>pass</t>
        </is>
      </c>
      <c r="U429" s="16" t="inlineStr">
        <is>
          <t>warn</t>
        </is>
      </c>
      <c r="V429" s="14" t="inlineStr">
        <is>
          <t>pass</t>
        </is>
      </c>
      <c r="W429" s="16" t="inlineStr">
        <is>
          <t>warn</t>
        </is>
      </c>
      <c r="X429" s="14" t="inlineStr">
        <is>
          <t>pass</t>
        </is>
      </c>
      <c r="Y429" s="15" t="inlineStr">
        <is>
          <t>not_checked</t>
        </is>
      </c>
      <c r="Z429" s="15" t="inlineStr">
        <is>
          <t>not_checked</t>
        </is>
      </c>
      <c r="AA429" s="15" t="inlineStr">
        <is>
          <t>not_checked</t>
        </is>
      </c>
      <c r="AB429" s="15" t="inlineStr">
        <is>
          <t>not_checked</t>
        </is>
      </c>
      <c r="AC429" s="15" t="inlineStr">
        <is>
          <t>not_checked</t>
        </is>
      </c>
      <c r="AD429" s="15" t="inlineStr">
        <is>
          <t>not_checked</t>
        </is>
      </c>
      <c r="AE429" s="15" t="inlineStr">
        <is>
          <t>not_checked</t>
        </is>
      </c>
      <c r="AF429" s="15" t="inlineStr">
        <is>
          <t>not_checked</t>
        </is>
      </c>
      <c r="AG429" s="15" t="inlineStr">
        <is>
          <t>not_checked</t>
        </is>
      </c>
      <c r="AH429" s="15" t="inlineStr">
        <is>
          <t>not_checked</t>
        </is>
      </c>
      <c r="AI429" s="15" t="inlineStr">
        <is>
          <t>n.a.</t>
        </is>
      </c>
      <c r="AJ429" s="15" t="inlineStr">
        <is>
          <t>n.a.</t>
        </is>
      </c>
      <c r="AK429" s="4" t="inlineStr">
        <is>
          <t>soft404(warn);format_match(warn);persistent_id(warn)</t>
        </is>
      </c>
      <c r="AL429" s="17" t="inlineStr">
        <is>
          <t>https://www.inegi.org.mx/programas/ccpv/2020/</t>
        </is>
      </c>
      <c r="AM429" s="4" t="inlineStr">
        <is>
          <t>mx_inegi_censo_2020_ageb_manzana</t>
        </is>
      </c>
    </row>
    <row r="430">
      <c r="A430" s="4" t="inlineStr">
        <is>
          <t>Censo Demografico 2022 - Agregados por setores censitarios</t>
        </is>
      </c>
      <c r="B430" s="21" t="inlineStr">
        <is>
          <t>Browser needed</t>
        </is>
      </c>
      <c r="C430" s="4" t="n">
        <v>50</v>
      </c>
      <c r="D430" s="4" t="inlineStr">
        <is>
          <t>demographics</t>
        </is>
      </c>
      <c r="E430" s="4" t="inlineStr">
        <is>
          <t>blocked</t>
        </is>
      </c>
      <c r="F430" s="4" t="inlineStr">
        <is>
          <t>not checked</t>
        </is>
      </c>
      <c r="G430" s="4" t="inlineStr">
        <is>
          <t>postcode_small_area</t>
        </is>
      </c>
      <c r="H430" s="4" t="inlineStr">
        <is>
          <t>Joins today</t>
        </is>
      </c>
      <c r="I430" s="4" t="n">
        <v>2</v>
      </c>
      <c r="J430" s="4" t="inlineStr"/>
      <c r="K430" s="4" t="inlineStr">
        <is>
          <t>Curated</t>
        </is>
      </c>
      <c r="L430" s="4" t="n">
        <v>2025</v>
      </c>
      <c r="M430" s="4" t="inlineStr">
        <is>
          <t>open</t>
        </is>
      </c>
      <c r="N430" s="4" t="inlineStr">
        <is>
          <t>2026-10-22</t>
        </is>
      </c>
      <c r="O430" s="16" t="inlineStr">
        <is>
          <t>warn</t>
        </is>
      </c>
      <c r="P430" s="14" t="inlineStr">
        <is>
          <t>pass</t>
        </is>
      </c>
      <c r="Q430" s="14" t="inlineStr">
        <is>
          <t>pass</t>
        </is>
      </c>
      <c r="R430" s="15" t="inlineStr">
        <is>
          <t>not_checked</t>
        </is>
      </c>
      <c r="S430" s="15" t="inlineStr">
        <is>
          <t>not_checked</t>
        </is>
      </c>
      <c r="T430" s="14" t="inlineStr">
        <is>
          <t>pass</t>
        </is>
      </c>
      <c r="U430" s="14" t="inlineStr">
        <is>
          <t>pass</t>
        </is>
      </c>
      <c r="V430" s="15" t="inlineStr">
        <is>
          <t>not_checked</t>
        </is>
      </c>
      <c r="W430" s="15" t="inlineStr">
        <is>
          <t>not_checked</t>
        </is>
      </c>
      <c r="X430" s="14" t="inlineStr">
        <is>
          <t>pass</t>
        </is>
      </c>
      <c r="Y430" s="15" t="inlineStr">
        <is>
          <t>not_checked</t>
        </is>
      </c>
      <c r="Z430" s="15" t="inlineStr">
        <is>
          <t>not_checked</t>
        </is>
      </c>
      <c r="AA430" s="15" t="inlineStr">
        <is>
          <t>not_checked</t>
        </is>
      </c>
      <c r="AB430" s="15" t="inlineStr">
        <is>
          <t>not_checked</t>
        </is>
      </c>
      <c r="AC430" s="15" t="inlineStr">
        <is>
          <t>not_checked</t>
        </is>
      </c>
      <c r="AD430" s="15" t="inlineStr">
        <is>
          <t>not_checked</t>
        </is>
      </c>
      <c r="AE430" s="15" t="inlineStr">
        <is>
          <t>not_checked</t>
        </is>
      </c>
      <c r="AF430" s="15" t="inlineStr">
        <is>
          <t>not_checked</t>
        </is>
      </c>
      <c r="AG430" s="15" t="inlineStr">
        <is>
          <t>not_checked</t>
        </is>
      </c>
      <c r="AH430" s="15" t="inlineStr">
        <is>
          <t>not_checked</t>
        </is>
      </c>
      <c r="AI430" s="15" t="inlineStr">
        <is>
          <t>n.a.</t>
        </is>
      </c>
      <c r="AJ430" s="15" t="inlineStr">
        <is>
          <t>n.a.</t>
        </is>
      </c>
      <c r="AK430" s="4" t="inlineStr">
        <is>
          <t>link_live(warn)</t>
        </is>
      </c>
      <c r="AL430" s="17" t="inlineStr">
        <is>
          <t>https://www.ibge.gov.br/estatisticas/sociais/populacao/22827-censo-demografico-2022.html</t>
        </is>
      </c>
      <c r="AM430" s="4" t="inlineStr">
        <is>
          <t>br_ibge_censo_2022_setores</t>
        </is>
      </c>
    </row>
    <row r="431">
      <c r="A431" s="4" t="inlineStr">
        <is>
          <t>Census 2022 (South Africa)</t>
        </is>
      </c>
      <c r="B431" s="21" t="inlineStr">
        <is>
          <t>Browser needed</t>
        </is>
      </c>
      <c r="C431" s="4" t="n">
        <v>89</v>
      </c>
      <c r="D431" s="4" t="inlineStr">
        <is>
          <t>demographics</t>
        </is>
      </c>
      <c r="E431" s="4" t="inlineStr">
        <is>
          <t>blocked</t>
        </is>
      </c>
      <c r="F431" s="4" t="inlineStr">
        <is>
          <t>unknown</t>
        </is>
      </c>
      <c r="G431" s="4" t="inlineStr">
        <is>
          <t>postcode_small_area</t>
        </is>
      </c>
      <c r="H431" s="4" t="inlineStr">
        <is>
          <t>Joins today</t>
        </is>
      </c>
      <c r="I431" s="4" t="n">
        <v>2</v>
      </c>
      <c r="J431" s="4" t="inlineStr"/>
      <c r="K431" s="4" t="inlineStr">
        <is>
          <t>Curated</t>
        </is>
      </c>
      <c r="L431" s="4" t="n">
        <v>2022</v>
      </c>
      <c r="M431" s="4" t="inlineStr">
        <is>
          <t>open</t>
        </is>
      </c>
      <c r="N431" s="4" t="inlineStr">
        <is>
          <t>2026-10-22</t>
        </is>
      </c>
      <c r="O431" s="14" t="inlineStr">
        <is>
          <t>pass</t>
        </is>
      </c>
      <c r="P431" s="14" t="inlineStr">
        <is>
          <t>pass</t>
        </is>
      </c>
      <c r="Q431" s="14" t="inlineStr">
        <is>
          <t>pass</t>
        </is>
      </c>
      <c r="R431" s="14" t="inlineStr">
        <is>
          <t>pass</t>
        </is>
      </c>
      <c r="S431" s="14" t="inlineStr">
        <is>
          <t>pass</t>
        </is>
      </c>
      <c r="T431" s="14" t="inlineStr">
        <is>
          <t>pass</t>
        </is>
      </c>
      <c r="U431" s="14" t="inlineStr">
        <is>
          <t>pass</t>
        </is>
      </c>
      <c r="V431" s="18" t="inlineStr">
        <is>
          <t>fail</t>
        </is>
      </c>
      <c r="W431" s="16" t="inlineStr">
        <is>
          <t>warn</t>
        </is>
      </c>
      <c r="X431" s="14" t="inlineStr">
        <is>
          <t>pass</t>
        </is>
      </c>
      <c r="Y431" s="15" t="inlineStr">
        <is>
          <t>not_checked</t>
        </is>
      </c>
      <c r="Z431" s="15" t="inlineStr">
        <is>
          <t>not_checked</t>
        </is>
      </c>
      <c r="AA431" s="15" t="inlineStr">
        <is>
          <t>not_checked</t>
        </is>
      </c>
      <c r="AB431" s="15" t="inlineStr">
        <is>
          <t>not_checked</t>
        </is>
      </c>
      <c r="AC431" s="15" t="inlineStr">
        <is>
          <t>not_checked</t>
        </is>
      </c>
      <c r="AD431" s="15" t="inlineStr">
        <is>
          <t>not_checked</t>
        </is>
      </c>
      <c r="AE431" s="15" t="inlineStr">
        <is>
          <t>not_checked</t>
        </is>
      </c>
      <c r="AF431" s="15" t="inlineStr">
        <is>
          <t>not_checked</t>
        </is>
      </c>
      <c r="AG431" s="15" t="inlineStr">
        <is>
          <t>not_checked</t>
        </is>
      </c>
      <c r="AH431" s="15" t="inlineStr">
        <is>
          <t>not_checked</t>
        </is>
      </c>
      <c r="AI431" s="15" t="inlineStr">
        <is>
          <t>n.a.</t>
        </is>
      </c>
      <c r="AJ431" s="15" t="inlineStr">
        <is>
          <t>n.a.</t>
        </is>
      </c>
      <c r="AK431" s="4" t="inlineStr">
        <is>
          <t>machine_metadata;persistent_id(warn)</t>
        </is>
      </c>
      <c r="AL431" s="17" t="inlineStr">
        <is>
          <t>https://census.statssa.gov.za/</t>
        </is>
      </c>
      <c r="AM431" s="4" t="inlineStr">
        <is>
          <t>za_statssa_census_2022</t>
        </is>
      </c>
    </row>
    <row r="432">
      <c r="A432" s="4" t="inlineStr">
        <is>
          <t>Census of India 2011 - Primary Census Abstract (village/town-wise)</t>
        </is>
      </c>
      <c r="B432" s="21" t="inlineStr">
        <is>
          <t>Browser needed</t>
        </is>
      </c>
      <c r="C432" s="4" t="n">
        <v>0</v>
      </c>
      <c r="D432" s="4" t="inlineStr">
        <is>
          <t>demographics</t>
        </is>
      </c>
      <c r="E432" s="4" t="inlineStr">
        <is>
          <t>blocked</t>
        </is>
      </c>
      <c r="F432" s="4" t="inlineStr">
        <is>
          <t>not checked</t>
        </is>
      </c>
      <c r="G432" s="4" t="inlineStr">
        <is>
          <t>postcode_small_area</t>
        </is>
      </c>
      <c r="H432" s="4" t="inlineStr">
        <is>
          <t>Joins today</t>
        </is>
      </c>
      <c r="I432" s="4" t="n">
        <v>2</v>
      </c>
      <c r="J432" s="4" t="inlineStr"/>
      <c r="K432" s="4" t="inlineStr">
        <is>
          <t>Curated</t>
        </is>
      </c>
      <c r="L432" s="4" t="n">
        <v>2027</v>
      </c>
      <c r="M432" s="4" t="inlineStr">
        <is>
          <t>open</t>
        </is>
      </c>
      <c r="N432" s="4" t="inlineStr">
        <is>
          <t>2026-10-22</t>
        </is>
      </c>
      <c r="O432" s="18" t="inlineStr">
        <is>
          <t>fail</t>
        </is>
      </c>
      <c r="P432" s="15" t="inlineStr">
        <is>
          <t>n.a.</t>
        </is>
      </c>
      <c r="Q432" s="18" t="inlineStr">
        <is>
          <t>fail</t>
        </is>
      </c>
      <c r="R432" s="15" t="inlineStr">
        <is>
          <t>n.a.</t>
        </is>
      </c>
      <c r="S432" s="15" t="inlineStr">
        <is>
          <t>n.a.</t>
        </is>
      </c>
      <c r="T432" s="16" t="inlineStr">
        <is>
          <t>warn</t>
        </is>
      </c>
      <c r="U432" s="15" t="inlineStr">
        <is>
          <t>n.a.</t>
        </is>
      </c>
      <c r="V432" s="15" t="inlineStr">
        <is>
          <t>n.a.</t>
        </is>
      </c>
      <c r="W432" s="15" t="inlineStr">
        <is>
          <t>not_checked</t>
        </is>
      </c>
      <c r="X432" s="14" t="inlineStr">
        <is>
          <t>pass</t>
        </is>
      </c>
      <c r="Y432" s="15" t="inlineStr">
        <is>
          <t>not_checked</t>
        </is>
      </c>
      <c r="Z432" s="15" t="inlineStr">
        <is>
          <t>not_checked</t>
        </is>
      </c>
      <c r="AA432" s="15" t="inlineStr">
        <is>
          <t>not_checked</t>
        </is>
      </c>
      <c r="AB432" s="15" t="inlineStr">
        <is>
          <t>not_checked</t>
        </is>
      </c>
      <c r="AC432" s="15" t="inlineStr">
        <is>
          <t>not_checked</t>
        </is>
      </c>
      <c r="AD432" s="15" t="inlineStr">
        <is>
          <t>not_checked</t>
        </is>
      </c>
      <c r="AE432" s="15" t="inlineStr">
        <is>
          <t>not_checked</t>
        </is>
      </c>
      <c r="AF432" s="15" t="inlineStr">
        <is>
          <t>not_checked</t>
        </is>
      </c>
      <c r="AG432" s="15" t="inlineStr">
        <is>
          <t>not_checked</t>
        </is>
      </c>
      <c r="AH432" s="15" t="inlineStr">
        <is>
          <t>not_checked</t>
        </is>
      </c>
      <c r="AI432" s="15" t="inlineStr">
        <is>
          <t>n.a.</t>
        </is>
      </c>
      <c r="AJ432" s="15" t="inlineStr">
        <is>
          <t>n.a.</t>
        </is>
      </c>
      <c r="AK432" s="4" t="inlineStr">
        <is>
          <t>link_live;tls;access_url(warn)</t>
        </is>
      </c>
      <c r="AL432" s="17" t="inlineStr">
        <is>
          <t>https://censusindia.gov.in/census.website/data/census-tables</t>
        </is>
      </c>
      <c r="AM432" s="4" t="inlineStr">
        <is>
          <t>in_orgi_census_2011_pca</t>
        </is>
      </c>
    </row>
    <row r="433">
      <c r="A433" s="4" t="inlineStr">
        <is>
          <t>Census Profile, 2021 Census of Population</t>
        </is>
      </c>
      <c r="B433" s="21" t="inlineStr">
        <is>
          <t>Browser needed</t>
        </is>
      </c>
      <c r="C433" s="4" t="n">
        <v>50</v>
      </c>
      <c r="D433" s="4" t="inlineStr">
        <is>
          <t>demographics</t>
        </is>
      </c>
      <c r="E433" s="4" t="inlineStr">
        <is>
          <t>blocked</t>
        </is>
      </c>
      <c r="F433" s="4" t="inlineStr">
        <is>
          <t>not checked</t>
        </is>
      </c>
      <c r="G433" s="4" t="inlineStr">
        <is>
          <t>postcode_small_area</t>
        </is>
      </c>
      <c r="H433" s="4" t="inlineStr">
        <is>
          <t>Joins today</t>
        </is>
      </c>
      <c r="I433" s="4" t="n">
        <v>2</v>
      </c>
      <c r="J433" s="4" t="inlineStr"/>
      <c r="K433" s="4" t="inlineStr">
        <is>
          <t>Curated</t>
        </is>
      </c>
      <c r="L433" s="4" t="n">
        <v>2021</v>
      </c>
      <c r="M433" s="4" t="inlineStr">
        <is>
          <t>open</t>
        </is>
      </c>
      <c r="N433" s="4" t="inlineStr">
        <is>
          <t>2026-10-22</t>
        </is>
      </c>
      <c r="O433" s="16" t="inlineStr">
        <is>
          <t>warn</t>
        </is>
      </c>
      <c r="P433" s="14" t="inlineStr">
        <is>
          <t>pass</t>
        </is>
      </c>
      <c r="Q433" s="14" t="inlineStr">
        <is>
          <t>pass</t>
        </is>
      </c>
      <c r="R433" s="15" t="inlineStr">
        <is>
          <t>not_checked</t>
        </is>
      </c>
      <c r="S433" s="15" t="inlineStr">
        <is>
          <t>not_checked</t>
        </is>
      </c>
      <c r="T433" s="15" t="inlineStr">
        <is>
          <t>n.a.</t>
        </is>
      </c>
      <c r="U433" s="15" t="inlineStr">
        <is>
          <t>n.a.</t>
        </is>
      </c>
      <c r="V433" s="15" t="inlineStr">
        <is>
          <t>not_checked</t>
        </is>
      </c>
      <c r="W433" s="15" t="inlineStr">
        <is>
          <t>not_checked</t>
        </is>
      </c>
      <c r="X433" s="14" t="inlineStr">
        <is>
          <t>pass</t>
        </is>
      </c>
      <c r="Y433" s="15" t="inlineStr">
        <is>
          <t>not_checked</t>
        </is>
      </c>
      <c r="Z433" s="15" t="inlineStr">
        <is>
          <t>not_checked</t>
        </is>
      </c>
      <c r="AA433" s="15" t="inlineStr">
        <is>
          <t>not_checked</t>
        </is>
      </c>
      <c r="AB433" s="15" t="inlineStr">
        <is>
          <t>not_checked</t>
        </is>
      </c>
      <c r="AC433" s="15" t="inlineStr">
        <is>
          <t>not_checked</t>
        </is>
      </c>
      <c r="AD433" s="15" t="inlineStr">
        <is>
          <t>not_checked</t>
        </is>
      </c>
      <c r="AE433" s="15" t="inlineStr">
        <is>
          <t>not_checked</t>
        </is>
      </c>
      <c r="AF433" s="15" t="inlineStr">
        <is>
          <t>not_checked</t>
        </is>
      </c>
      <c r="AG433" s="15" t="inlineStr">
        <is>
          <t>not_checked</t>
        </is>
      </c>
      <c r="AH433" s="15" t="inlineStr">
        <is>
          <t>not_checked</t>
        </is>
      </c>
      <c r="AI433" s="15" t="inlineStr">
        <is>
          <t>n.a.</t>
        </is>
      </c>
      <c r="AJ433" s="15" t="inlineStr">
        <is>
          <t>n.a.</t>
        </is>
      </c>
      <c r="AK433" s="4" t="inlineStr">
        <is>
          <t>link_live(warn)</t>
        </is>
      </c>
      <c r="AL433" s="17" t="inlineStr">
        <is>
          <t>https://www12.statcan.gc.ca/census-recensement/2021/dp-pd/prof/index.cfm?Lang=E</t>
        </is>
      </c>
      <c r="AM433" s="4" t="inlineStr">
        <is>
          <t>ca_statcan_census_profile_2021</t>
        </is>
      </c>
    </row>
    <row r="434">
      <c r="A434" s="4" t="inlineStr">
        <is>
          <t>Global Urban Indicators Database (Urban Indicators / data.unhabitat.org)</t>
        </is>
      </c>
      <c r="B434" s="21" t="inlineStr">
        <is>
          <t>Browser needed</t>
        </is>
      </c>
      <c r="C434" s="4" t="n">
        <v>50</v>
      </c>
      <c r="D434" s="4" t="inlineStr">
        <is>
          <t>demographics</t>
        </is>
      </c>
      <c r="E434" s="4" t="inlineStr">
        <is>
          <t>blocked</t>
        </is>
      </c>
      <c r="F434" s="4" t="inlineStr">
        <is>
          <t>not checked</t>
        </is>
      </c>
      <c r="G434" s="4" t="inlineStr">
        <is>
          <t>postcode_small_area</t>
        </is>
      </c>
      <c r="H434" s="4" t="inlineStr">
        <is>
          <t>Joins today</t>
        </is>
      </c>
      <c r="I434" s="4" t="n">
        <v>2</v>
      </c>
      <c r="J434" s="4" t="inlineStr"/>
      <c r="K434" s="4" t="inlineStr">
        <is>
          <t>Curated</t>
        </is>
      </c>
      <c r="L434" s="4" t="n">
        <v>2003</v>
      </c>
      <c r="M434" s="4" t="inlineStr">
        <is>
          <t>open</t>
        </is>
      </c>
      <c r="N434" s="4" t="inlineStr">
        <is>
          <t>2026-10-22</t>
        </is>
      </c>
      <c r="O434" s="16" t="inlineStr">
        <is>
          <t>warn</t>
        </is>
      </c>
      <c r="P434" s="14" t="inlineStr">
        <is>
          <t>pass</t>
        </is>
      </c>
      <c r="Q434" s="14" t="inlineStr">
        <is>
          <t>pass</t>
        </is>
      </c>
      <c r="R434" s="15" t="inlineStr">
        <is>
          <t>not_checked</t>
        </is>
      </c>
      <c r="S434" s="15" t="inlineStr">
        <is>
          <t>not_checked</t>
        </is>
      </c>
      <c r="T434" s="14" t="inlineStr">
        <is>
          <t>pass</t>
        </is>
      </c>
      <c r="U434" s="14" t="inlineStr">
        <is>
          <t>pass</t>
        </is>
      </c>
      <c r="V434" s="15" t="inlineStr">
        <is>
          <t>not_checked</t>
        </is>
      </c>
      <c r="W434" s="15" t="inlineStr">
        <is>
          <t>not_checked</t>
        </is>
      </c>
      <c r="X434" s="14" t="inlineStr">
        <is>
          <t>pass</t>
        </is>
      </c>
      <c r="Y434" s="15" t="inlineStr">
        <is>
          <t>not_checked</t>
        </is>
      </c>
      <c r="Z434" s="15" t="inlineStr">
        <is>
          <t>not_checked</t>
        </is>
      </c>
      <c r="AA434" s="15" t="inlineStr">
        <is>
          <t>not_checked</t>
        </is>
      </c>
      <c r="AB434" s="15" t="inlineStr">
        <is>
          <t>not_checked</t>
        </is>
      </c>
      <c r="AC434" s="15" t="inlineStr">
        <is>
          <t>not_checked</t>
        </is>
      </c>
      <c r="AD434" s="15" t="inlineStr">
        <is>
          <t>not_checked</t>
        </is>
      </c>
      <c r="AE434" s="15" t="inlineStr">
        <is>
          <t>not_checked</t>
        </is>
      </c>
      <c r="AF434" s="15" t="inlineStr">
        <is>
          <t>not_checked</t>
        </is>
      </c>
      <c r="AG434" s="15" t="inlineStr">
        <is>
          <t>not_checked</t>
        </is>
      </c>
      <c r="AH434" s="15" t="inlineStr">
        <is>
          <t>not_checked</t>
        </is>
      </c>
      <c r="AI434" s="15" t="inlineStr">
        <is>
          <t>n.a.</t>
        </is>
      </c>
      <c r="AJ434" s="15" t="inlineStr">
        <is>
          <t>n.a.</t>
        </is>
      </c>
      <c r="AK434" s="4" t="inlineStr">
        <is>
          <t>link_live(warn)</t>
        </is>
      </c>
      <c r="AL434" s="17" t="inlineStr">
        <is>
          <t>https://unhabitat.org/global-urban-indicators-database</t>
        </is>
      </c>
      <c r="AM434" s="4" t="inlineStr">
        <is>
          <t>global_unhabitat_global_urban_indicators</t>
        </is>
      </c>
    </row>
    <row r="435">
      <c r="A435" s="4" t="inlineStr">
        <is>
          <t>High Resolution Population Density Maps and Demographic Estimates (HRSL), Meta Data for Good with CIESIN</t>
        </is>
      </c>
      <c r="B435" s="21" t="inlineStr">
        <is>
          <t>Browser needed</t>
        </is>
      </c>
      <c r="C435" s="4" t="n">
        <v>94</v>
      </c>
      <c r="D435" s="4" t="inlineStr">
        <is>
          <t>demographics</t>
        </is>
      </c>
      <c r="E435" s="4" t="inlineStr">
        <is>
          <t>blocked</t>
        </is>
      </c>
      <c r="F435" s="4" t="inlineStr">
        <is>
          <t>unknown</t>
        </is>
      </c>
      <c r="G435" s="4" t="inlineStr">
        <is>
          <t>grid_30m</t>
        </is>
      </c>
      <c r="H435" s="4" t="inlineStr">
        <is>
          <t>Needs raster support</t>
        </is>
      </c>
      <c r="I435" s="4" t="n">
        <v>2</v>
      </c>
      <c r="J435" s="4" t="inlineStr"/>
      <c r="K435" s="4" t="inlineStr">
        <is>
          <t>Curated</t>
        </is>
      </c>
      <c r="L435" s="4" t="n">
        <v>2020</v>
      </c>
      <c r="M435" s="4" t="inlineStr">
        <is>
          <t>open</t>
        </is>
      </c>
      <c r="N435" s="4" t="inlineStr">
        <is>
          <t>2026-10-28</t>
        </is>
      </c>
      <c r="O435" s="14" t="inlineStr">
        <is>
          <t>pass</t>
        </is>
      </c>
      <c r="P435" s="14" t="inlineStr">
        <is>
          <t>pass</t>
        </is>
      </c>
      <c r="Q435" s="14" t="inlineStr">
        <is>
          <t>pass</t>
        </is>
      </c>
      <c r="R435" s="14" t="inlineStr">
        <is>
          <t>pass</t>
        </is>
      </c>
      <c r="S435" s="14" t="inlineStr">
        <is>
          <t>pass</t>
        </is>
      </c>
      <c r="T435" s="14" t="inlineStr">
        <is>
          <t>pass</t>
        </is>
      </c>
      <c r="U435" s="16" t="inlineStr">
        <is>
          <t>warn</t>
        </is>
      </c>
      <c r="V435" s="16" t="inlineStr">
        <is>
          <t>warn</t>
        </is>
      </c>
      <c r="W435" s="16" t="inlineStr">
        <is>
          <t>warn</t>
        </is>
      </c>
      <c r="X435" s="14" t="inlineStr">
        <is>
          <t>pass</t>
        </is>
      </c>
      <c r="Y435" s="15" t="inlineStr">
        <is>
          <t>not_checked</t>
        </is>
      </c>
      <c r="Z435" s="15" t="inlineStr">
        <is>
          <t>not_checked</t>
        </is>
      </c>
      <c r="AA435" s="15" t="inlineStr">
        <is>
          <t>not_checked</t>
        </is>
      </c>
      <c r="AB435" s="15" t="inlineStr">
        <is>
          <t>not_checked</t>
        </is>
      </c>
      <c r="AC435" s="15" t="inlineStr">
        <is>
          <t>not_checked</t>
        </is>
      </c>
      <c r="AD435" s="15" t="inlineStr">
        <is>
          <t>not_checked</t>
        </is>
      </c>
      <c r="AE435" s="15" t="inlineStr">
        <is>
          <t>not_checked</t>
        </is>
      </c>
      <c r="AF435" s="15" t="inlineStr">
        <is>
          <t>not_checked</t>
        </is>
      </c>
      <c r="AG435" s="15" t="inlineStr">
        <is>
          <t>not_checked</t>
        </is>
      </c>
      <c r="AH435" s="15" t="inlineStr">
        <is>
          <t>not_checked</t>
        </is>
      </c>
      <c r="AI435" s="15" t="inlineStr">
        <is>
          <t>n.a.</t>
        </is>
      </c>
      <c r="AJ435" s="15" t="inlineStr">
        <is>
          <t>n.a.</t>
        </is>
      </c>
      <c r="AK435" s="4" t="inlineStr">
        <is>
          <t>format_match(warn);machine_metadata(warn);persistent_id(warn)</t>
        </is>
      </c>
      <c r="AL435" s="17" t="inlineStr">
        <is>
          <t>https://ai.meta.com/ai-for-good/datasets/high-resolution-population-density-maps/</t>
        </is>
      </c>
      <c r="AM435" s="4" t="inlineStr">
        <is>
          <t>global_meta_hrsl_population</t>
        </is>
      </c>
    </row>
    <row r="436">
      <c r="A436" s="4" t="inlineStr">
        <is>
          <t>National Population and Housing Census 2024 (NPHC 2024)</t>
        </is>
      </c>
      <c r="B436" s="21" t="inlineStr">
        <is>
          <t>Browser needed</t>
        </is>
      </c>
      <c r="C436" s="4" t="n">
        <v>0</v>
      </c>
      <c r="D436" s="4" t="inlineStr">
        <is>
          <t>demographics</t>
        </is>
      </c>
      <c r="E436" s="4" t="inlineStr">
        <is>
          <t>blocked</t>
        </is>
      </c>
      <c r="F436" s="4" t="inlineStr">
        <is>
          <t>not checked</t>
        </is>
      </c>
      <c r="G436" s="4" t="inlineStr">
        <is>
          <t>postcode_small_area</t>
        </is>
      </c>
      <c r="H436" s="4" t="inlineStr">
        <is>
          <t>Joins today</t>
        </is>
      </c>
      <c r="I436" s="4" t="n">
        <v>2</v>
      </c>
      <c r="J436" s="4" t="inlineStr"/>
      <c r="K436" s="4" t="inlineStr">
        <is>
          <t>Curated</t>
        </is>
      </c>
      <c r="L436" s="4" t="n">
        <v>2024</v>
      </c>
      <c r="M436" s="4" t="inlineStr">
        <is>
          <t>open</t>
        </is>
      </c>
      <c r="N436" s="4" t="inlineStr">
        <is>
          <t>2026-10-22</t>
        </is>
      </c>
      <c r="O436" s="18" t="inlineStr">
        <is>
          <t>fail</t>
        </is>
      </c>
      <c r="P436" s="15" t="inlineStr">
        <is>
          <t>n.a.</t>
        </is>
      </c>
      <c r="Q436" s="18" t="inlineStr">
        <is>
          <t>fail</t>
        </is>
      </c>
      <c r="R436" s="15" t="inlineStr">
        <is>
          <t>n.a.</t>
        </is>
      </c>
      <c r="S436" s="15" t="inlineStr">
        <is>
          <t>n.a.</t>
        </is>
      </c>
      <c r="T436" s="16" t="inlineStr">
        <is>
          <t>warn</t>
        </is>
      </c>
      <c r="U436" s="15" t="inlineStr">
        <is>
          <t>n.a.</t>
        </is>
      </c>
      <c r="V436" s="15" t="inlineStr">
        <is>
          <t>n.a.</t>
        </is>
      </c>
      <c r="W436" s="15" t="inlineStr">
        <is>
          <t>not_checked</t>
        </is>
      </c>
      <c r="X436" s="14" t="inlineStr">
        <is>
          <t>pass</t>
        </is>
      </c>
      <c r="Y436" s="15" t="inlineStr">
        <is>
          <t>not_checked</t>
        </is>
      </c>
      <c r="Z436" s="15" t="inlineStr">
        <is>
          <t>not_checked</t>
        </is>
      </c>
      <c r="AA436" s="15" t="inlineStr">
        <is>
          <t>not_checked</t>
        </is>
      </c>
      <c r="AB436" s="15" t="inlineStr">
        <is>
          <t>not_checked</t>
        </is>
      </c>
      <c r="AC436" s="15" t="inlineStr">
        <is>
          <t>not_checked</t>
        </is>
      </c>
      <c r="AD436" s="15" t="inlineStr">
        <is>
          <t>not_checked</t>
        </is>
      </c>
      <c r="AE436" s="15" t="inlineStr">
        <is>
          <t>not_checked</t>
        </is>
      </c>
      <c r="AF436" s="15" t="inlineStr">
        <is>
          <t>not_checked</t>
        </is>
      </c>
      <c r="AG436" s="15" t="inlineStr">
        <is>
          <t>not_checked</t>
        </is>
      </c>
      <c r="AH436" s="15" t="inlineStr">
        <is>
          <t>not_checked</t>
        </is>
      </c>
      <c r="AI436" s="15" t="inlineStr">
        <is>
          <t>n.a.</t>
        </is>
      </c>
      <c r="AJ436" s="15" t="inlineStr">
        <is>
          <t>n.a.</t>
        </is>
      </c>
      <c r="AK436" s="4" t="inlineStr">
        <is>
          <t>link_live;tls;access_url(warn)</t>
        </is>
      </c>
      <c r="AL436" s="17" t="inlineStr">
        <is>
          <t>https://www.ubos.org/explore-statistics/20/</t>
        </is>
      </c>
      <c r="AM436" s="4" t="inlineStr">
        <is>
          <t>ug_ubos_nphc_2024</t>
        </is>
      </c>
    </row>
    <row r="437">
      <c r="A437" s="4" t="inlineStr">
        <is>
          <t>Population and Housing Census 2022 (Bangladesh)</t>
        </is>
      </c>
      <c r="B437" s="21" t="inlineStr">
        <is>
          <t>Browser needed</t>
        </is>
      </c>
      <c r="C437" s="4" t="n">
        <v>0</v>
      </c>
      <c r="D437" s="4" t="inlineStr">
        <is>
          <t>demographics</t>
        </is>
      </c>
      <c r="E437" s="4" t="inlineStr">
        <is>
          <t>blocked</t>
        </is>
      </c>
      <c r="F437" s="4" t="inlineStr">
        <is>
          <t>not checked</t>
        </is>
      </c>
      <c r="G437" s="4" t="inlineStr">
        <is>
          <t>admin2</t>
        </is>
      </c>
      <c r="H437" s="4" t="inlineStr">
        <is>
          <t>Joins today</t>
        </is>
      </c>
      <c r="I437" s="4" t="n">
        <v>2</v>
      </c>
      <c r="J437" s="4" t="inlineStr"/>
      <c r="K437" s="4" t="inlineStr">
        <is>
          <t>Curated</t>
        </is>
      </c>
      <c r="L437" s="4" t="n">
        <v>2022</v>
      </c>
      <c r="M437" s="4" t="inlineStr">
        <is>
          <t>open</t>
        </is>
      </c>
      <c r="N437" s="4" t="inlineStr">
        <is>
          <t>2026-10-22</t>
        </is>
      </c>
      <c r="O437" s="18" t="inlineStr">
        <is>
          <t>fail</t>
        </is>
      </c>
      <c r="P437" s="15" t="inlineStr">
        <is>
          <t>n.a.</t>
        </is>
      </c>
      <c r="Q437" s="18" t="inlineStr">
        <is>
          <t>fail</t>
        </is>
      </c>
      <c r="R437" s="15" t="inlineStr">
        <is>
          <t>n.a.</t>
        </is>
      </c>
      <c r="S437" s="15" t="inlineStr">
        <is>
          <t>n.a.</t>
        </is>
      </c>
      <c r="T437" s="16" t="inlineStr">
        <is>
          <t>warn</t>
        </is>
      </c>
      <c r="U437" s="15" t="inlineStr">
        <is>
          <t>n.a.</t>
        </is>
      </c>
      <c r="V437" s="15" t="inlineStr">
        <is>
          <t>n.a.</t>
        </is>
      </c>
      <c r="W437" s="15" t="inlineStr">
        <is>
          <t>not_checked</t>
        </is>
      </c>
      <c r="X437" s="14" t="inlineStr">
        <is>
          <t>pass</t>
        </is>
      </c>
      <c r="Y437" s="15" t="inlineStr">
        <is>
          <t>not_checked</t>
        </is>
      </c>
      <c r="Z437" s="15" t="inlineStr">
        <is>
          <t>not_checked</t>
        </is>
      </c>
      <c r="AA437" s="15" t="inlineStr">
        <is>
          <t>not_checked</t>
        </is>
      </c>
      <c r="AB437" s="15" t="inlineStr">
        <is>
          <t>not_checked</t>
        </is>
      </c>
      <c r="AC437" s="15" t="inlineStr">
        <is>
          <t>not_checked</t>
        </is>
      </c>
      <c r="AD437" s="15" t="inlineStr">
        <is>
          <t>not_checked</t>
        </is>
      </c>
      <c r="AE437" s="15" t="inlineStr">
        <is>
          <t>not_checked</t>
        </is>
      </c>
      <c r="AF437" s="15" t="inlineStr">
        <is>
          <t>not_checked</t>
        </is>
      </c>
      <c r="AG437" s="15" t="inlineStr">
        <is>
          <t>not_checked</t>
        </is>
      </c>
      <c r="AH437" s="15" t="inlineStr">
        <is>
          <t>not_checked</t>
        </is>
      </c>
      <c r="AI437" s="15" t="inlineStr">
        <is>
          <t>n.a.</t>
        </is>
      </c>
      <c r="AJ437" s="15" t="inlineStr">
        <is>
          <t>n.a.</t>
        </is>
      </c>
      <c r="AK437" s="4" t="inlineStr">
        <is>
          <t>link_live;tls;access_url(warn)</t>
        </is>
      </c>
      <c r="AL437" s="17" t="inlineStr">
        <is>
          <t>https://bbs.gov.bd/</t>
        </is>
      </c>
      <c r="AM437" s="4" t="inlineStr">
        <is>
          <t>bd_bbs_census_2022</t>
        </is>
      </c>
    </row>
    <row r="438">
      <c r="A438" s="4" t="inlineStr">
        <is>
          <t>Refugee Data Finder (Refugee Population Statistics Database)</t>
        </is>
      </c>
      <c r="B438" s="21" t="inlineStr">
        <is>
          <t>Browser needed</t>
        </is>
      </c>
      <c r="C438" s="4" t="n">
        <v>50</v>
      </c>
      <c r="D438" s="4" t="inlineStr">
        <is>
          <t>demographics</t>
        </is>
      </c>
      <c r="E438" s="4" t="inlineStr">
        <is>
          <t>blocked</t>
        </is>
      </c>
      <c r="F438" s="4" t="inlineStr">
        <is>
          <t>not checked</t>
        </is>
      </c>
      <c r="G438" s="4" t="inlineStr">
        <is>
          <t>country</t>
        </is>
      </c>
      <c r="H438" s="4" t="inlineStr">
        <is>
          <t>Not linkable as listed</t>
        </is>
      </c>
      <c r="I438" s="4" t="n">
        <v>2</v>
      </c>
      <c r="J438" s="4" t="inlineStr"/>
      <c r="K438" s="4" t="inlineStr">
        <is>
          <t>Curated</t>
        </is>
      </c>
      <c r="L438" s="4" t="inlineStr">
        <is>
          <t>current</t>
        </is>
      </c>
      <c r="M438" s="4" t="inlineStr">
        <is>
          <t>open</t>
        </is>
      </c>
      <c r="N438" s="4" t="inlineStr">
        <is>
          <t>2026-10-22</t>
        </is>
      </c>
      <c r="O438" s="16" t="inlineStr">
        <is>
          <t>warn</t>
        </is>
      </c>
      <c r="P438" s="14" t="inlineStr">
        <is>
          <t>pass</t>
        </is>
      </c>
      <c r="Q438" s="14" t="inlineStr">
        <is>
          <t>pass</t>
        </is>
      </c>
      <c r="R438" s="15" t="inlineStr">
        <is>
          <t>not_checked</t>
        </is>
      </c>
      <c r="S438" s="15" t="inlineStr">
        <is>
          <t>not_checked</t>
        </is>
      </c>
      <c r="T438" s="16" t="inlineStr">
        <is>
          <t>warn</t>
        </is>
      </c>
      <c r="U438" s="15" t="inlineStr">
        <is>
          <t>n.a.</t>
        </is>
      </c>
      <c r="V438" s="15" t="inlineStr">
        <is>
          <t>not_checked</t>
        </is>
      </c>
      <c r="W438" s="15" t="inlineStr">
        <is>
          <t>not_checked</t>
        </is>
      </c>
      <c r="X438" s="14" t="inlineStr">
        <is>
          <t>pass</t>
        </is>
      </c>
      <c r="Y438" s="15" t="inlineStr">
        <is>
          <t>not_checked</t>
        </is>
      </c>
      <c r="Z438" s="15" t="inlineStr">
        <is>
          <t>not_checked</t>
        </is>
      </c>
      <c r="AA438" s="15" t="inlineStr">
        <is>
          <t>not_checked</t>
        </is>
      </c>
      <c r="AB438" s="15" t="inlineStr">
        <is>
          <t>not_checked</t>
        </is>
      </c>
      <c r="AC438" s="15" t="inlineStr">
        <is>
          <t>not_checked</t>
        </is>
      </c>
      <c r="AD438" s="15" t="inlineStr">
        <is>
          <t>not_checked</t>
        </is>
      </c>
      <c r="AE438" s="15" t="inlineStr">
        <is>
          <t>not_checked</t>
        </is>
      </c>
      <c r="AF438" s="15" t="inlineStr">
        <is>
          <t>not_checked</t>
        </is>
      </c>
      <c r="AG438" s="15" t="inlineStr">
        <is>
          <t>not_checked</t>
        </is>
      </c>
      <c r="AH438" s="15" t="inlineStr">
        <is>
          <t>not_checked</t>
        </is>
      </c>
      <c r="AI438" s="15" t="inlineStr">
        <is>
          <t>n.a.</t>
        </is>
      </c>
      <c r="AJ438" s="15" t="inlineStr">
        <is>
          <t>n.a.</t>
        </is>
      </c>
      <c r="AK438" s="4" t="inlineStr">
        <is>
          <t>link_live(warn);access_url(warn)</t>
        </is>
      </c>
      <c r="AL438" s="17" t="inlineStr">
        <is>
          <t>https://www.unhcr.org/refugee-statistics/</t>
        </is>
      </c>
      <c r="AM438" s="4" t="inlineStr">
        <is>
          <t>global_unhcr_refugee_data_finder</t>
        </is>
      </c>
    </row>
    <row r="439">
      <c r="A439" s="4" t="inlineStr">
        <is>
          <t>Seventh National Population Census (2020) - county-level tabulations</t>
        </is>
      </c>
      <c r="B439" s="21" t="inlineStr">
        <is>
          <t>Browser needed</t>
        </is>
      </c>
      <c r="C439" s="4" t="n">
        <v>89</v>
      </c>
      <c r="D439" s="4" t="inlineStr">
        <is>
          <t>demographics</t>
        </is>
      </c>
      <c r="E439" s="4" t="inlineStr">
        <is>
          <t>blocked</t>
        </is>
      </c>
      <c r="F439" s="4" t="inlineStr">
        <is>
          <t>unknown</t>
        </is>
      </c>
      <c r="G439" s="4" t="inlineStr">
        <is>
          <t>county</t>
        </is>
      </c>
      <c r="H439" s="4" t="inlineStr">
        <is>
          <t>Joins today</t>
        </is>
      </c>
      <c r="I439" s="4" t="n">
        <v>2</v>
      </c>
      <c r="J439" s="4" t="inlineStr"/>
      <c r="K439" s="4" t="inlineStr">
        <is>
          <t>Curated</t>
        </is>
      </c>
      <c r="L439" s="4" t="n">
        <v>2020</v>
      </c>
      <c r="M439" s="4" t="inlineStr">
        <is>
          <t>restricted</t>
        </is>
      </c>
      <c r="N439" s="4" t="inlineStr">
        <is>
          <t>2026-10-22</t>
        </is>
      </c>
      <c r="O439" s="14" t="inlineStr">
        <is>
          <t>pass</t>
        </is>
      </c>
      <c r="P439" s="14" t="inlineStr">
        <is>
          <t>pass</t>
        </is>
      </c>
      <c r="Q439" s="14" t="inlineStr">
        <is>
          <t>pass</t>
        </is>
      </c>
      <c r="R439" s="14" t="inlineStr">
        <is>
          <t>pass</t>
        </is>
      </c>
      <c r="S439" s="14" t="inlineStr">
        <is>
          <t>pass</t>
        </is>
      </c>
      <c r="T439" s="18" t="inlineStr">
        <is>
          <t>fail</t>
        </is>
      </c>
      <c r="U439" s="15" t="inlineStr">
        <is>
          <t>n.a.</t>
        </is>
      </c>
      <c r="V439" s="18" t="inlineStr">
        <is>
          <t>fail</t>
        </is>
      </c>
      <c r="W439" s="16" t="inlineStr">
        <is>
          <t>warn</t>
        </is>
      </c>
      <c r="X439" s="14" t="inlineStr">
        <is>
          <t>pass</t>
        </is>
      </c>
      <c r="Y439" s="15" t="inlineStr">
        <is>
          <t>not_checked</t>
        </is>
      </c>
      <c r="Z439" s="15" t="inlineStr">
        <is>
          <t>not_checked</t>
        </is>
      </c>
      <c r="AA439" s="15" t="inlineStr">
        <is>
          <t>not_checked</t>
        </is>
      </c>
      <c r="AB439" s="15" t="inlineStr">
        <is>
          <t>not_checked</t>
        </is>
      </c>
      <c r="AC439" s="15" t="inlineStr">
        <is>
          <t>not_checked</t>
        </is>
      </c>
      <c r="AD439" s="15" t="inlineStr">
        <is>
          <t>not_checked</t>
        </is>
      </c>
      <c r="AE439" s="15" t="inlineStr">
        <is>
          <t>not_checked</t>
        </is>
      </c>
      <c r="AF439" s="15" t="inlineStr">
        <is>
          <t>not_checked</t>
        </is>
      </c>
      <c r="AG439" s="15" t="inlineStr">
        <is>
          <t>not_checked</t>
        </is>
      </c>
      <c r="AH439" s="15" t="inlineStr">
        <is>
          <t>not_checked</t>
        </is>
      </c>
      <c r="AI439" s="15" t="inlineStr">
        <is>
          <t>n.a.</t>
        </is>
      </c>
      <c r="AJ439" s="15" t="inlineStr">
        <is>
          <t>n.a.</t>
        </is>
      </c>
      <c r="AK439" s="4" t="inlineStr">
        <is>
          <t>access_url;machine_metadata;persistent_id(warn)</t>
        </is>
      </c>
      <c r="AL439" s="17" t="inlineStr">
        <is>
          <t>https://www.stats.gov.cn/english/</t>
        </is>
      </c>
      <c r="AM439" s="4" t="inlineStr">
        <is>
          <t>cn_nbs_census_2020_county</t>
        </is>
      </c>
    </row>
    <row r="440">
      <c r="A440" s="4" t="inlineStr">
        <is>
          <t>STATPOP - Population and households, hectare grid (GEOSTAT)</t>
        </is>
      </c>
      <c r="B440" s="21" t="inlineStr">
        <is>
          <t>Browser needed</t>
        </is>
      </c>
      <c r="C440" s="4" t="n">
        <v>71</v>
      </c>
      <c r="D440" s="4" t="inlineStr">
        <is>
          <t>demographics</t>
        </is>
      </c>
      <c r="E440" s="4" t="inlineStr">
        <is>
          <t>blocked</t>
        </is>
      </c>
      <c r="F440" s="4" t="inlineStr">
        <is>
          <t>unknown</t>
        </is>
      </c>
      <c r="G440" s="4" t="inlineStr">
        <is>
          <t>grid_100m</t>
        </is>
      </c>
      <c r="H440" s="4" t="inlineStr">
        <is>
          <t>Needs raster support</t>
        </is>
      </c>
      <c r="I440" s="4" t="n">
        <v>2</v>
      </c>
      <c r="J440" s="4" t="inlineStr"/>
      <c r="K440" s="4" t="inlineStr">
        <is>
          <t>Curated</t>
        </is>
      </c>
      <c r="L440" s="4" t="n">
        <v>2022</v>
      </c>
      <c r="M440" s="4" t="inlineStr">
        <is>
          <t>open</t>
        </is>
      </c>
      <c r="N440" s="4" t="inlineStr">
        <is>
          <t>2026-10-28</t>
        </is>
      </c>
      <c r="O440" s="14" t="inlineStr">
        <is>
          <t>pass</t>
        </is>
      </c>
      <c r="P440" s="14" t="inlineStr">
        <is>
          <t>pass</t>
        </is>
      </c>
      <c r="Q440" s="14" t="inlineStr">
        <is>
          <t>pass</t>
        </is>
      </c>
      <c r="R440" s="16" t="inlineStr">
        <is>
          <t>warn</t>
        </is>
      </c>
      <c r="S440" s="15" t="inlineStr">
        <is>
          <t>not_checked</t>
        </is>
      </c>
      <c r="T440" s="14" t="inlineStr">
        <is>
          <t>pass</t>
        </is>
      </c>
      <c r="U440" s="14" t="inlineStr">
        <is>
          <t>pass</t>
        </is>
      </c>
      <c r="V440" s="18" t="inlineStr">
        <is>
          <t>fail</t>
        </is>
      </c>
      <c r="W440" s="16" t="inlineStr">
        <is>
          <t>warn</t>
        </is>
      </c>
      <c r="X440" s="14" t="inlineStr">
        <is>
          <t>pass</t>
        </is>
      </c>
      <c r="Y440" s="15" t="inlineStr">
        <is>
          <t>not_checked</t>
        </is>
      </c>
      <c r="Z440" s="15" t="inlineStr">
        <is>
          <t>not_checked</t>
        </is>
      </c>
      <c r="AA440" s="15" t="inlineStr">
        <is>
          <t>not_checked</t>
        </is>
      </c>
      <c r="AB440" s="15" t="inlineStr">
        <is>
          <t>not_checked</t>
        </is>
      </c>
      <c r="AC440" s="15" t="inlineStr">
        <is>
          <t>not_checked</t>
        </is>
      </c>
      <c r="AD440" s="15" t="inlineStr">
        <is>
          <t>not_checked</t>
        </is>
      </c>
      <c r="AE440" s="15" t="inlineStr">
        <is>
          <t>not_checked</t>
        </is>
      </c>
      <c r="AF440" s="15" t="inlineStr">
        <is>
          <t>not_checked</t>
        </is>
      </c>
      <c r="AG440" s="15" t="inlineStr">
        <is>
          <t>not_checked</t>
        </is>
      </c>
      <c r="AH440" s="15" t="inlineStr">
        <is>
          <t>not_checked</t>
        </is>
      </c>
      <c r="AI440" s="15" t="inlineStr">
        <is>
          <t>n.a.</t>
        </is>
      </c>
      <c r="AJ440" s="15" t="inlineStr">
        <is>
          <t>n.a.</t>
        </is>
      </c>
      <c r="AK440" s="4" t="inlineStr">
        <is>
          <t>machine_metadata;soft404(warn);persistent_id(warn)</t>
        </is>
      </c>
      <c r="AL440" s="17" t="inlineStr">
        <is>
          <t>https://www.bfs.admin.ch/bfs/en/home/services/geostat/swiss-federal-statistics-geodata/population-buildings-dwellings-persons/population-housholds-from-2010.html</t>
        </is>
      </c>
      <c r="AM440" s="4" t="inlineStr">
        <is>
          <t>ch_bfs_statpop_hectare</t>
        </is>
      </c>
    </row>
    <row r="441">
      <c r="A441" s="4" t="inlineStr">
        <is>
          <t>WorldPop Population Counts, global mosaics 2015-2030, 1 km (R2025A v1)</t>
        </is>
      </c>
      <c r="B441" s="21" t="inlineStr">
        <is>
          <t>Browser needed</t>
        </is>
      </c>
      <c r="C441" s="4" t="n">
        <v>50</v>
      </c>
      <c r="D441" s="4" t="inlineStr">
        <is>
          <t>demographics</t>
        </is>
      </c>
      <c r="E441" s="4" t="inlineStr">
        <is>
          <t>blocked</t>
        </is>
      </c>
      <c r="F441" s="4" t="inlineStr">
        <is>
          <t>not checked</t>
        </is>
      </c>
      <c r="G441" s="4" t="inlineStr">
        <is>
          <t>grid_1km</t>
        </is>
      </c>
      <c r="H441" s="4" t="inlineStr">
        <is>
          <t>Needs raster support</t>
        </is>
      </c>
      <c r="I441" s="4" t="n">
        <v>2</v>
      </c>
      <c r="J441" s="4" t="inlineStr"/>
      <c r="K441" s="4" t="inlineStr">
        <is>
          <t>Curated</t>
        </is>
      </c>
      <c r="L441" s="4" t="n">
        <v>2030</v>
      </c>
      <c r="M441" s="4" t="inlineStr">
        <is>
          <t>open</t>
        </is>
      </c>
      <c r="N441" s="4" t="inlineStr">
        <is>
          <t>2026-10-22</t>
        </is>
      </c>
      <c r="O441" s="16" t="inlineStr">
        <is>
          <t>warn</t>
        </is>
      </c>
      <c r="P441" s="15" t="inlineStr">
        <is>
          <t>n.a.</t>
        </is>
      </c>
      <c r="Q441" s="15" t="inlineStr">
        <is>
          <t>n.a.</t>
        </is>
      </c>
      <c r="R441" s="15" t="inlineStr">
        <is>
          <t>n.a.</t>
        </is>
      </c>
      <c r="S441" s="15" t="inlineStr">
        <is>
          <t>n.a.</t>
        </is>
      </c>
      <c r="T441" s="16" t="inlineStr">
        <is>
          <t>warn</t>
        </is>
      </c>
      <c r="U441" s="15" t="inlineStr">
        <is>
          <t>n.a.</t>
        </is>
      </c>
      <c r="V441" s="15" t="inlineStr">
        <is>
          <t>n.a.</t>
        </is>
      </c>
      <c r="W441" s="15" t="inlineStr">
        <is>
          <t>not_checked</t>
        </is>
      </c>
      <c r="X441" s="14" t="inlineStr">
        <is>
          <t>pass</t>
        </is>
      </c>
      <c r="Y441" s="15" t="inlineStr">
        <is>
          <t>not_checked</t>
        </is>
      </c>
      <c r="Z441" s="15" t="inlineStr">
        <is>
          <t>not_checked</t>
        </is>
      </c>
      <c r="AA441" s="15" t="inlineStr">
        <is>
          <t>not_checked</t>
        </is>
      </c>
      <c r="AB441" s="15" t="inlineStr">
        <is>
          <t>not_checked</t>
        </is>
      </c>
      <c r="AC441" s="15" t="inlineStr">
        <is>
          <t>not_checked</t>
        </is>
      </c>
      <c r="AD441" s="15" t="inlineStr">
        <is>
          <t>not_checked</t>
        </is>
      </c>
      <c r="AE441" s="15" t="inlineStr">
        <is>
          <t>not_checked</t>
        </is>
      </c>
      <c r="AF441" s="15" t="inlineStr">
        <is>
          <t>not_checked</t>
        </is>
      </c>
      <c r="AG441" s="15" t="inlineStr">
        <is>
          <t>not_checked</t>
        </is>
      </c>
      <c r="AH441" s="15" t="inlineStr">
        <is>
          <t>not_checked</t>
        </is>
      </c>
      <c r="AI441" s="15" t="inlineStr">
        <is>
          <t>n.a.</t>
        </is>
      </c>
      <c r="AJ441" s="15" t="inlineStr">
        <is>
          <t>n.a.</t>
        </is>
      </c>
      <c r="AK441" s="4" t="inlineStr">
        <is>
          <t>link_live(warn);access_url(warn)</t>
        </is>
      </c>
      <c r="AL441" s="17" t="inlineStr">
        <is>
          <t>https://hub.worldpop.org/project/categories?id=3</t>
        </is>
      </c>
      <c r="AM441" s="4" t="inlineStr">
        <is>
          <t>global_worldpop_population_1km</t>
        </is>
      </c>
    </row>
    <row r="442">
      <c r="A442" s="4" t="inlineStr">
        <is>
          <t>Environmental Exposome Gateway (Gateway to Global Aging Data, HRS International Network of Studies)</t>
        </is>
      </c>
      <c r="B442" s="21" t="inlineStr">
        <is>
          <t>Browser needed</t>
        </is>
      </c>
      <c r="C442" s="4" t="n">
        <v>71</v>
      </c>
      <c r="D442" s="4" t="inlineStr">
        <is>
          <t>environment</t>
        </is>
      </c>
      <c r="E442" s="4" t="inlineStr">
        <is>
          <t>blocked</t>
        </is>
      </c>
      <c r="F442" s="4" t="inlineStr">
        <is>
          <t>unknown</t>
        </is>
      </c>
      <c r="G442" s="4" t="inlineStr">
        <is>
          <t>unknown</t>
        </is>
      </c>
      <c r="H442" s="4" t="inlineStr">
        <is>
          <t>Not linkable as listed</t>
        </is>
      </c>
      <c r="I442" s="4" t="n">
        <v>3</v>
      </c>
      <c r="J442" s="4" t="inlineStr"/>
      <c r="K442" s="4" t="inlineStr">
        <is>
          <t>Curated</t>
        </is>
      </c>
      <c r="L442" s="4" t="n">
        <v>2024</v>
      </c>
      <c r="M442" s="4" t="inlineStr">
        <is>
          <t>restricted</t>
        </is>
      </c>
      <c r="N442" s="4" t="inlineStr">
        <is>
          <t>2026-10-28</t>
        </is>
      </c>
      <c r="O442" s="14" t="inlineStr">
        <is>
          <t>pass</t>
        </is>
      </c>
      <c r="P442" s="14" t="inlineStr">
        <is>
          <t>pass</t>
        </is>
      </c>
      <c r="Q442" s="14" t="inlineStr">
        <is>
          <t>pass</t>
        </is>
      </c>
      <c r="R442" s="16" t="inlineStr">
        <is>
          <t>warn</t>
        </is>
      </c>
      <c r="S442" s="15" t="inlineStr">
        <is>
          <t>not_checked</t>
        </is>
      </c>
      <c r="T442" s="14" t="inlineStr">
        <is>
          <t>pass</t>
        </is>
      </c>
      <c r="U442" s="15" t="inlineStr">
        <is>
          <t>n.a.</t>
        </is>
      </c>
      <c r="V442" s="18" t="inlineStr">
        <is>
          <t>fail</t>
        </is>
      </c>
      <c r="W442" s="16" t="inlineStr">
        <is>
          <t>warn</t>
        </is>
      </c>
      <c r="X442" s="14" t="inlineStr">
        <is>
          <t>pass</t>
        </is>
      </c>
      <c r="Y442" s="15" t="inlineStr">
        <is>
          <t>not_checked</t>
        </is>
      </c>
      <c r="Z442" s="15" t="inlineStr">
        <is>
          <t>not_checked</t>
        </is>
      </c>
      <c r="AA442" s="15" t="inlineStr">
        <is>
          <t>not_checked</t>
        </is>
      </c>
      <c r="AB442" s="15" t="inlineStr">
        <is>
          <t>not_checked</t>
        </is>
      </c>
      <c r="AC442" s="15" t="inlineStr">
        <is>
          <t>not_checked</t>
        </is>
      </c>
      <c r="AD442" s="15" t="inlineStr">
        <is>
          <t>not_checked</t>
        </is>
      </c>
      <c r="AE442" s="15" t="inlineStr">
        <is>
          <t>not_checked</t>
        </is>
      </c>
      <c r="AF442" s="15" t="inlineStr">
        <is>
          <t>not_checked</t>
        </is>
      </c>
      <c r="AG442" s="15" t="inlineStr">
        <is>
          <t>not_checked</t>
        </is>
      </c>
      <c r="AH442" s="15" t="inlineStr">
        <is>
          <t>not_checked</t>
        </is>
      </c>
      <c r="AI442" s="15" t="inlineStr">
        <is>
          <t>n.a.</t>
        </is>
      </c>
      <c r="AJ442" s="15" t="inlineStr">
        <is>
          <t>n.a.</t>
        </is>
      </c>
      <c r="AK442" s="4" t="inlineStr">
        <is>
          <t>machine_metadata;soft404(warn);persistent_id(warn)</t>
        </is>
      </c>
      <c r="AL442" s="17" t="inlineStr">
        <is>
          <t>https://exposome.g2aging.org/</t>
        </is>
      </c>
      <c r="AM442" s="4" t="inlineStr">
        <is>
          <t>us_umich_g2aging_environmental_exposome_gateway</t>
        </is>
      </c>
    </row>
    <row r="443">
      <c r="A443" s="4" t="inlineStr">
        <is>
          <t>GBD 2021 Air Pollution Exposure Estimates 1990-2021 (ambient PM2.5, ozone, household air pollution)</t>
        </is>
      </c>
      <c r="B443" s="21" t="inlineStr">
        <is>
          <t>Browser needed</t>
        </is>
      </c>
      <c r="C443" s="4" t="n">
        <v>89</v>
      </c>
      <c r="D443" s="4" t="inlineStr">
        <is>
          <t>environment</t>
        </is>
      </c>
      <c r="E443" s="4" t="inlineStr">
        <is>
          <t>blocked</t>
        </is>
      </c>
      <c r="F443" s="4" t="inlineStr">
        <is>
          <t>unknown</t>
        </is>
      </c>
      <c r="G443" s="4" t="inlineStr">
        <is>
          <t>grid_0.1deg</t>
        </is>
      </c>
      <c r="H443" s="4" t="inlineStr">
        <is>
          <t>Needs raster support</t>
        </is>
      </c>
      <c r="I443" s="4" t="n">
        <v>3</v>
      </c>
      <c r="J443" s="4" t="inlineStr"/>
      <c r="K443" s="4" t="inlineStr">
        <is>
          <t>Curated</t>
        </is>
      </c>
      <c r="L443" s="4" t="n">
        <v>2021</v>
      </c>
      <c r="M443" s="4" t="inlineStr">
        <is>
          <t>registration</t>
        </is>
      </c>
      <c r="N443" s="4" t="inlineStr">
        <is>
          <t>2026-10-22</t>
        </is>
      </c>
      <c r="O443" s="14" t="inlineStr">
        <is>
          <t>pass</t>
        </is>
      </c>
      <c r="P443" s="14" t="inlineStr">
        <is>
          <t>pass</t>
        </is>
      </c>
      <c r="Q443" s="14" t="inlineStr">
        <is>
          <t>pass</t>
        </is>
      </c>
      <c r="R443" s="14" t="inlineStr">
        <is>
          <t>pass</t>
        </is>
      </c>
      <c r="S443" s="14" t="inlineStr">
        <is>
          <t>pass</t>
        </is>
      </c>
      <c r="T443" s="14" t="inlineStr">
        <is>
          <t>pass</t>
        </is>
      </c>
      <c r="U443" s="16" t="inlineStr">
        <is>
          <t>warn</t>
        </is>
      </c>
      <c r="V443" s="18" t="inlineStr">
        <is>
          <t>fail</t>
        </is>
      </c>
      <c r="W443" s="14" t="inlineStr">
        <is>
          <t>pass</t>
        </is>
      </c>
      <c r="X443" s="14" t="inlineStr">
        <is>
          <t>pass</t>
        </is>
      </c>
      <c r="Y443" s="15" t="inlineStr">
        <is>
          <t>not_checked</t>
        </is>
      </c>
      <c r="Z443" s="15" t="inlineStr">
        <is>
          <t>not_checked</t>
        </is>
      </c>
      <c r="AA443" s="15" t="inlineStr">
        <is>
          <t>not_checked</t>
        </is>
      </c>
      <c r="AB443" s="15" t="inlineStr">
        <is>
          <t>not_checked</t>
        </is>
      </c>
      <c r="AC443" s="15" t="inlineStr">
        <is>
          <t>not_checked</t>
        </is>
      </c>
      <c r="AD443" s="15" t="inlineStr">
        <is>
          <t>not_checked</t>
        </is>
      </c>
      <c r="AE443" s="15" t="inlineStr">
        <is>
          <t>not_checked</t>
        </is>
      </c>
      <c r="AF443" s="15" t="inlineStr">
        <is>
          <t>not_checked</t>
        </is>
      </c>
      <c r="AG443" s="15" t="inlineStr">
        <is>
          <t>not_checked</t>
        </is>
      </c>
      <c r="AH443" s="15" t="inlineStr">
        <is>
          <t>not_checked</t>
        </is>
      </c>
      <c r="AI443" s="15" t="inlineStr">
        <is>
          <t>n.a.</t>
        </is>
      </c>
      <c r="AJ443" s="15" t="inlineStr">
        <is>
          <t>n.a.</t>
        </is>
      </c>
      <c r="AK443" s="4" t="inlineStr">
        <is>
          <t>machine_metadata;format_match(warn)</t>
        </is>
      </c>
      <c r="AL443" s="17" t="inlineStr">
        <is>
          <t>https://ghdx.healthdata.org/record/ihme-data/gbd-2021-air-pollution-exposure-estimates-1990-2021</t>
        </is>
      </c>
      <c r="AM443" s="4" t="inlineStr">
        <is>
          <t>global_ihme_gbd_air_pollution_exposure</t>
        </is>
      </c>
    </row>
    <row r="444">
      <c r="A444" s="4" t="inlineStr">
        <is>
          <t>Global Agro-Ecological Zones (GAEZ v4)</t>
        </is>
      </c>
      <c r="B444" s="21" t="inlineStr">
        <is>
          <t>Browser needed</t>
        </is>
      </c>
      <c r="C444" s="4" t="n">
        <v>79</v>
      </c>
      <c r="D444" s="4" t="inlineStr">
        <is>
          <t>environment</t>
        </is>
      </c>
      <c r="E444" s="4" t="inlineStr">
        <is>
          <t>blocked</t>
        </is>
      </c>
      <c r="F444" s="4" t="inlineStr">
        <is>
          <t>unknown</t>
        </is>
      </c>
      <c r="G444" s="4" t="inlineStr">
        <is>
          <t>grid_</t>
        </is>
      </c>
      <c r="H444" s="4" t="inlineStr">
        <is>
          <t>Needs raster support</t>
        </is>
      </c>
      <c r="I444" s="4" t="n">
        <v>3</v>
      </c>
      <c r="J444" s="4" t="inlineStr"/>
      <c r="K444" s="4" t="inlineStr">
        <is>
          <t>Curated</t>
        </is>
      </c>
      <c r="L444" s="4" t="inlineStr"/>
      <c r="M444" s="4" t="inlineStr">
        <is>
          <t>open</t>
        </is>
      </c>
      <c r="N444" s="4" t="inlineStr">
        <is>
          <t>2026-10-22</t>
        </is>
      </c>
      <c r="O444" s="14" t="inlineStr">
        <is>
          <t>pass</t>
        </is>
      </c>
      <c r="P444" s="14" t="inlineStr">
        <is>
          <t>pass</t>
        </is>
      </c>
      <c r="Q444" s="14" t="inlineStr">
        <is>
          <t>pass</t>
        </is>
      </c>
      <c r="R444" s="16" t="inlineStr">
        <is>
          <t>warn</t>
        </is>
      </c>
      <c r="S444" s="15" t="inlineStr">
        <is>
          <t>not_checked</t>
        </is>
      </c>
      <c r="T444" s="15" t="inlineStr">
        <is>
          <t>n.a.</t>
        </is>
      </c>
      <c r="U444" s="15" t="inlineStr">
        <is>
          <t>n.a.</t>
        </is>
      </c>
      <c r="V444" s="16" t="inlineStr">
        <is>
          <t>warn</t>
        </is>
      </c>
      <c r="W444" s="16" t="inlineStr">
        <is>
          <t>warn</t>
        </is>
      </c>
      <c r="X444" s="14" t="inlineStr">
        <is>
          <t>pass</t>
        </is>
      </c>
      <c r="Y444" s="15" t="inlineStr">
        <is>
          <t>not_checked</t>
        </is>
      </c>
      <c r="Z444" s="15" t="inlineStr">
        <is>
          <t>not_checked</t>
        </is>
      </c>
      <c r="AA444" s="15" t="inlineStr">
        <is>
          <t>not_checked</t>
        </is>
      </c>
      <c r="AB444" s="15" t="inlineStr">
        <is>
          <t>not_checked</t>
        </is>
      </c>
      <c r="AC444" s="15" t="inlineStr">
        <is>
          <t>not_checked</t>
        </is>
      </c>
      <c r="AD444" s="15" t="inlineStr">
        <is>
          <t>not_checked</t>
        </is>
      </c>
      <c r="AE444" s="15" t="inlineStr">
        <is>
          <t>not_checked</t>
        </is>
      </c>
      <c r="AF444" s="15" t="inlineStr">
        <is>
          <t>not_checked</t>
        </is>
      </c>
      <c r="AG444" s="15" t="inlineStr">
        <is>
          <t>not_checked</t>
        </is>
      </c>
      <c r="AH444" s="15" t="inlineStr">
        <is>
          <t>not_checked</t>
        </is>
      </c>
      <c r="AI444" s="15" t="inlineStr">
        <is>
          <t>n.a.</t>
        </is>
      </c>
      <c r="AJ444" s="15" t="inlineStr">
        <is>
          <t>n.a.</t>
        </is>
      </c>
      <c r="AK444" s="4" t="inlineStr">
        <is>
          <t>soft404(warn);machine_metadata(warn);persistent_id(warn)</t>
        </is>
      </c>
      <c r="AL444" s="17" t="inlineStr">
        <is>
          <t>https://gaez.fao.org/</t>
        </is>
      </c>
      <c r="AM444" s="4" t="inlineStr">
        <is>
          <t>global_fao_gaez</t>
        </is>
      </c>
    </row>
    <row r="445">
      <c r="A445" s="4" t="inlineStr">
        <is>
          <t>Global Human Modification of Terrestrial Systems (Kennedy et al.), v1</t>
        </is>
      </c>
      <c r="B445" s="21" t="inlineStr">
        <is>
          <t>Browser needed</t>
        </is>
      </c>
      <c r="C445" s="4" t="n">
        <v>50</v>
      </c>
      <c r="D445" s="4" t="inlineStr">
        <is>
          <t>environment</t>
        </is>
      </c>
      <c r="E445" s="4" t="inlineStr">
        <is>
          <t>blocked</t>
        </is>
      </c>
      <c r="F445" s="4" t="inlineStr">
        <is>
          <t>not checked</t>
        </is>
      </c>
      <c r="G445" s="4" t="inlineStr">
        <is>
          <t>grid_1km</t>
        </is>
      </c>
      <c r="H445" s="4" t="inlineStr">
        <is>
          <t>Needs raster support</t>
        </is>
      </c>
      <c r="I445" s="4" t="n">
        <v>3</v>
      </c>
      <c r="J445" s="4" t="inlineStr"/>
      <c r="K445" s="4" t="inlineStr">
        <is>
          <t>Curated</t>
        </is>
      </c>
      <c r="L445" s="4" t="n">
        <v>2019</v>
      </c>
      <c r="M445" s="4" t="inlineStr">
        <is>
          <t>registration</t>
        </is>
      </c>
      <c r="N445" s="4" t="inlineStr">
        <is>
          <t>2026-10-22</t>
        </is>
      </c>
      <c r="O445" s="16" t="inlineStr">
        <is>
          <t>warn</t>
        </is>
      </c>
      <c r="P445" s="15" t="inlineStr">
        <is>
          <t>n.a.</t>
        </is>
      </c>
      <c r="Q445" s="15" t="inlineStr">
        <is>
          <t>n.a.</t>
        </is>
      </c>
      <c r="R445" s="15" t="inlineStr">
        <is>
          <t>n.a.</t>
        </is>
      </c>
      <c r="S445" s="15" t="inlineStr">
        <is>
          <t>n.a.</t>
        </is>
      </c>
      <c r="T445" s="14" t="inlineStr">
        <is>
          <t>pass</t>
        </is>
      </c>
      <c r="U445" s="16" t="inlineStr">
        <is>
          <t>warn</t>
        </is>
      </c>
      <c r="V445" s="15" t="inlineStr">
        <is>
          <t>n.a.</t>
        </is>
      </c>
      <c r="W445" s="15" t="inlineStr">
        <is>
          <t>not_checked</t>
        </is>
      </c>
      <c r="X445" s="14" t="inlineStr">
        <is>
          <t>pass</t>
        </is>
      </c>
      <c r="Y445" s="15" t="inlineStr">
        <is>
          <t>not_checked</t>
        </is>
      </c>
      <c r="Z445" s="15" t="inlineStr">
        <is>
          <t>not_checked</t>
        </is>
      </c>
      <c r="AA445" s="15" t="inlineStr">
        <is>
          <t>not_checked</t>
        </is>
      </c>
      <c r="AB445" s="15" t="inlineStr">
        <is>
          <t>not_checked</t>
        </is>
      </c>
      <c r="AC445" s="15" t="inlineStr">
        <is>
          <t>not_checked</t>
        </is>
      </c>
      <c r="AD445" s="15" t="inlineStr">
        <is>
          <t>not_checked</t>
        </is>
      </c>
      <c r="AE445" s="15" t="inlineStr">
        <is>
          <t>not_checked</t>
        </is>
      </c>
      <c r="AF445" s="15" t="inlineStr">
        <is>
          <t>not_checked</t>
        </is>
      </c>
      <c r="AG445" s="15" t="inlineStr">
        <is>
          <t>not_checked</t>
        </is>
      </c>
      <c r="AH445" s="15" t="inlineStr">
        <is>
          <t>not_checked</t>
        </is>
      </c>
      <c r="AI445" s="15" t="inlineStr">
        <is>
          <t>n.a.</t>
        </is>
      </c>
      <c r="AJ445" s="15" t="inlineStr">
        <is>
          <t>n.a.</t>
        </is>
      </c>
      <c r="AK445" s="4" t="inlineStr">
        <is>
          <t>link_live(warn);format_match(warn)</t>
        </is>
      </c>
      <c r="AL445" s="17" t="inlineStr">
        <is>
          <t>https://sedac.ciesin.columbia.edu/data/set/lulc-human-modification-terrestrial-systems</t>
        </is>
      </c>
      <c r="AM445" s="4" t="inlineStr">
        <is>
          <t>global_sedac_human_modification</t>
        </is>
      </c>
    </row>
    <row r="446">
      <c r="A446" s="4" t="inlineStr">
        <is>
          <t>Global Mangrove Watch (GMW) mangrove extent and change v3/v4, 1996-2020</t>
        </is>
      </c>
      <c r="B446" s="21" t="inlineStr">
        <is>
          <t>Browser needed</t>
        </is>
      </c>
      <c r="C446" s="4" t="n">
        <v>94</v>
      </c>
      <c r="D446" s="4" t="inlineStr">
        <is>
          <t>environment</t>
        </is>
      </c>
      <c r="E446" s="4" t="inlineStr">
        <is>
          <t>blocked</t>
        </is>
      </c>
      <c r="F446" s="4" t="inlineStr">
        <is>
          <t>unknown</t>
        </is>
      </c>
      <c r="G446" s="4" t="inlineStr">
        <is>
          <t>grid_25m</t>
        </is>
      </c>
      <c r="H446" s="4" t="inlineStr">
        <is>
          <t>Needs raster support</t>
        </is>
      </c>
      <c r="I446" s="4" t="n">
        <v>3</v>
      </c>
      <c r="J446" s="4" t="inlineStr"/>
      <c r="K446" s="4" t="inlineStr">
        <is>
          <t>Curated</t>
        </is>
      </c>
      <c r="L446" s="4" t="n">
        <v>2020</v>
      </c>
      <c r="M446" s="4" t="inlineStr">
        <is>
          <t>open</t>
        </is>
      </c>
      <c r="N446" s="4" t="inlineStr">
        <is>
          <t>2026-10-22</t>
        </is>
      </c>
      <c r="O446" s="14" t="inlineStr">
        <is>
          <t>pass</t>
        </is>
      </c>
      <c r="P446" s="14" t="inlineStr">
        <is>
          <t>pass</t>
        </is>
      </c>
      <c r="Q446" s="14" t="inlineStr">
        <is>
          <t>pass</t>
        </is>
      </c>
      <c r="R446" s="14" t="inlineStr">
        <is>
          <t>pass</t>
        </is>
      </c>
      <c r="S446" s="14" t="inlineStr">
        <is>
          <t>pass</t>
        </is>
      </c>
      <c r="T446" s="18" t="inlineStr">
        <is>
          <t>fail</t>
        </is>
      </c>
      <c r="U446" s="15" t="inlineStr">
        <is>
          <t>n.a.</t>
        </is>
      </c>
      <c r="V446" s="16" t="inlineStr">
        <is>
          <t>warn</t>
        </is>
      </c>
      <c r="W446" s="16" t="inlineStr">
        <is>
          <t>warn</t>
        </is>
      </c>
      <c r="X446" s="14" t="inlineStr">
        <is>
          <t>pass</t>
        </is>
      </c>
      <c r="Y446" s="15" t="inlineStr">
        <is>
          <t>not_checked</t>
        </is>
      </c>
      <c r="Z446" s="15" t="inlineStr">
        <is>
          <t>not_checked</t>
        </is>
      </c>
      <c r="AA446" s="15" t="inlineStr">
        <is>
          <t>not_checked</t>
        </is>
      </c>
      <c r="AB446" s="15" t="inlineStr">
        <is>
          <t>not_checked</t>
        </is>
      </c>
      <c r="AC446" s="15" t="inlineStr">
        <is>
          <t>not_checked</t>
        </is>
      </c>
      <c r="AD446" s="15" t="inlineStr">
        <is>
          <t>not_checked</t>
        </is>
      </c>
      <c r="AE446" s="15" t="inlineStr">
        <is>
          <t>not_checked</t>
        </is>
      </c>
      <c r="AF446" s="15" t="inlineStr">
        <is>
          <t>not_checked</t>
        </is>
      </c>
      <c r="AG446" s="15" t="inlineStr">
        <is>
          <t>not_checked</t>
        </is>
      </c>
      <c r="AH446" s="15" t="inlineStr">
        <is>
          <t>not_checked</t>
        </is>
      </c>
      <c r="AI446" s="15" t="inlineStr">
        <is>
          <t>n.a.</t>
        </is>
      </c>
      <c r="AJ446" s="15" t="inlineStr">
        <is>
          <t>n.a.</t>
        </is>
      </c>
      <c r="AK446" s="4" t="inlineStr">
        <is>
          <t>access_url;machine_metadata(warn);persistent_id(warn)</t>
        </is>
      </c>
      <c r="AL446" s="17" t="inlineStr">
        <is>
          <t>https://www.globalmangrovewatch.org/</t>
        </is>
      </c>
      <c r="AM446" s="4" t="inlineStr">
        <is>
          <t>global_global_mangrove_watch</t>
        </is>
      </c>
    </row>
    <row r="447">
      <c r="A447" s="4" t="inlineStr">
        <is>
          <t>Global Solar Atlas</t>
        </is>
      </c>
      <c r="B447" s="21" t="inlineStr">
        <is>
          <t>Browser needed</t>
        </is>
      </c>
      <c r="C447" s="4" t="n">
        <v>89</v>
      </c>
      <c r="D447" s="4" t="inlineStr">
        <is>
          <t>environment</t>
        </is>
      </c>
      <c r="E447" s="4" t="inlineStr">
        <is>
          <t>blocked</t>
        </is>
      </c>
      <c r="F447" s="4" t="inlineStr">
        <is>
          <t>unknown</t>
        </is>
      </c>
      <c r="G447" s="4" t="inlineStr">
        <is>
          <t>grid_</t>
        </is>
      </c>
      <c r="H447" s="4" t="inlineStr">
        <is>
          <t>Needs raster support</t>
        </is>
      </c>
      <c r="I447" s="4" t="n">
        <v>3</v>
      </c>
      <c r="J447" s="4" t="inlineStr"/>
      <c r="K447" s="4" t="inlineStr">
        <is>
          <t>Curated</t>
        </is>
      </c>
      <c r="L447" s="4" t="inlineStr"/>
      <c r="M447" s="4" t="inlineStr">
        <is>
          <t>open</t>
        </is>
      </c>
      <c r="N447" s="4" t="inlineStr">
        <is>
          <t>2026-10-22</t>
        </is>
      </c>
      <c r="O447" s="14" t="inlineStr">
        <is>
          <t>pass</t>
        </is>
      </c>
      <c r="P447" s="14" t="inlineStr">
        <is>
          <t>pass</t>
        </is>
      </c>
      <c r="Q447" s="14" t="inlineStr">
        <is>
          <t>pass</t>
        </is>
      </c>
      <c r="R447" s="14" t="inlineStr">
        <is>
          <t>pass</t>
        </is>
      </c>
      <c r="S447" s="14" t="inlineStr">
        <is>
          <t>pass</t>
        </is>
      </c>
      <c r="T447" s="15" t="inlineStr">
        <is>
          <t>n.a.</t>
        </is>
      </c>
      <c r="U447" s="15" t="inlineStr">
        <is>
          <t>n.a.</t>
        </is>
      </c>
      <c r="V447" s="18" t="inlineStr">
        <is>
          <t>fail</t>
        </is>
      </c>
      <c r="W447" s="16" t="inlineStr">
        <is>
          <t>warn</t>
        </is>
      </c>
      <c r="X447" s="14" t="inlineStr">
        <is>
          <t>pass</t>
        </is>
      </c>
      <c r="Y447" s="15" t="inlineStr">
        <is>
          <t>not_checked</t>
        </is>
      </c>
      <c r="Z447" s="15" t="inlineStr">
        <is>
          <t>not_checked</t>
        </is>
      </c>
      <c r="AA447" s="15" t="inlineStr">
        <is>
          <t>not_checked</t>
        </is>
      </c>
      <c r="AB447" s="15" t="inlineStr">
        <is>
          <t>not_checked</t>
        </is>
      </c>
      <c r="AC447" s="15" t="inlineStr">
        <is>
          <t>not_checked</t>
        </is>
      </c>
      <c r="AD447" s="15" t="inlineStr">
        <is>
          <t>not_checked</t>
        </is>
      </c>
      <c r="AE447" s="15" t="inlineStr">
        <is>
          <t>not_checked</t>
        </is>
      </c>
      <c r="AF447" s="15" t="inlineStr">
        <is>
          <t>not_checked</t>
        </is>
      </c>
      <c r="AG447" s="15" t="inlineStr">
        <is>
          <t>not_checked</t>
        </is>
      </c>
      <c r="AH447" s="15" t="inlineStr">
        <is>
          <t>not_checked</t>
        </is>
      </c>
      <c r="AI447" s="15" t="inlineStr">
        <is>
          <t>n.a.</t>
        </is>
      </c>
      <c r="AJ447" s="15" t="inlineStr">
        <is>
          <t>n.a.</t>
        </is>
      </c>
      <c r="AK447" s="4" t="inlineStr">
        <is>
          <t>machine_metadata;persistent_id(warn)</t>
        </is>
      </c>
      <c r="AL447" s="17" t="inlineStr">
        <is>
          <t>https://globalsolaratlas.info/</t>
        </is>
      </c>
      <c r="AM447" s="4" t="inlineStr">
        <is>
          <t>global_worldbank_global_solar_atlas</t>
        </is>
      </c>
    </row>
    <row r="448">
      <c r="A448" s="4" t="inlineStr">
        <is>
          <t>Global surface NO2 concentrations 1990-2020 (Anenberg, Mohegh, Larkin et al.)</t>
        </is>
      </c>
      <c r="B448" s="21" t="inlineStr">
        <is>
          <t>Browser needed</t>
        </is>
      </c>
      <c r="C448" s="4" t="n">
        <v>50</v>
      </c>
      <c r="D448" s="4" t="inlineStr">
        <is>
          <t>environment</t>
        </is>
      </c>
      <c r="E448" s="4" t="inlineStr">
        <is>
          <t>blocked</t>
        </is>
      </c>
      <c r="F448" s="4" t="inlineStr">
        <is>
          <t>not checked</t>
        </is>
      </c>
      <c r="G448" s="4" t="inlineStr">
        <is>
          <t>grid_1km</t>
        </is>
      </c>
      <c r="H448" s="4" t="inlineStr">
        <is>
          <t>Needs raster support</t>
        </is>
      </c>
      <c r="I448" s="4" t="n">
        <v>3</v>
      </c>
      <c r="J448" s="4" t="inlineStr"/>
      <c r="K448" s="4" t="inlineStr">
        <is>
          <t>Curated</t>
        </is>
      </c>
      <c r="L448" s="4" t="n">
        <v>2021</v>
      </c>
      <c r="M448" s="4" t="inlineStr">
        <is>
          <t>open</t>
        </is>
      </c>
      <c r="N448" s="4" t="inlineStr">
        <is>
          <t>2026-10-22</t>
        </is>
      </c>
      <c r="O448" s="16" t="inlineStr">
        <is>
          <t>warn</t>
        </is>
      </c>
      <c r="P448" s="14" t="inlineStr">
        <is>
          <t>pass</t>
        </is>
      </c>
      <c r="Q448" s="14" t="inlineStr">
        <is>
          <t>pass</t>
        </is>
      </c>
      <c r="R448" s="15" t="inlineStr">
        <is>
          <t>not_checked</t>
        </is>
      </c>
      <c r="S448" s="15" t="inlineStr">
        <is>
          <t>not_checked</t>
        </is>
      </c>
      <c r="T448" s="18" t="inlineStr">
        <is>
          <t>fail</t>
        </is>
      </c>
      <c r="U448" s="15" t="inlineStr">
        <is>
          <t>n.a.</t>
        </is>
      </c>
      <c r="V448" s="15" t="inlineStr">
        <is>
          <t>not_checked</t>
        </is>
      </c>
      <c r="W448" s="15" t="inlineStr">
        <is>
          <t>not_checked</t>
        </is>
      </c>
      <c r="X448" s="14" t="inlineStr">
        <is>
          <t>pass</t>
        </is>
      </c>
      <c r="Y448" s="15" t="inlineStr">
        <is>
          <t>not_checked</t>
        </is>
      </c>
      <c r="Z448" s="15" t="inlineStr">
        <is>
          <t>not_checked</t>
        </is>
      </c>
      <c r="AA448" s="15" t="inlineStr">
        <is>
          <t>not_checked</t>
        </is>
      </c>
      <c r="AB448" s="15" t="inlineStr">
        <is>
          <t>not_checked</t>
        </is>
      </c>
      <c r="AC448" s="15" t="inlineStr">
        <is>
          <t>not_checked</t>
        </is>
      </c>
      <c r="AD448" s="15" t="inlineStr">
        <is>
          <t>not_checked</t>
        </is>
      </c>
      <c r="AE448" s="15" t="inlineStr">
        <is>
          <t>not_checked</t>
        </is>
      </c>
      <c r="AF448" s="15" t="inlineStr">
        <is>
          <t>not_checked</t>
        </is>
      </c>
      <c r="AG448" s="15" t="inlineStr">
        <is>
          <t>not_checked</t>
        </is>
      </c>
      <c r="AH448" s="15" t="inlineStr">
        <is>
          <t>not_checked</t>
        </is>
      </c>
      <c r="AI448" s="15" t="inlineStr">
        <is>
          <t>n.a.</t>
        </is>
      </c>
      <c r="AJ448" s="15" t="inlineStr">
        <is>
          <t>n.a.</t>
        </is>
      </c>
      <c r="AK448" s="4" t="inlineStr">
        <is>
          <t>access_url;link_live(warn)</t>
        </is>
      </c>
      <c r="AL448" s="17" t="inlineStr">
        <is>
          <t>https://figshare.com/articles/dataset/Global_surface_NO2_concentrations_1990-2020/12968114/4</t>
        </is>
      </c>
      <c r="AM448" s="4" t="inlineStr">
        <is>
          <t>global_anenberg_surface_no2</t>
        </is>
      </c>
    </row>
    <row r="449">
      <c r="A449" s="4" t="inlineStr">
        <is>
          <t>Global Wind Atlas (DTU / World Bank ESMAP) and Global Solar Atlas (Solargis / World Bank ESMAP)</t>
        </is>
      </c>
      <c r="B449" s="21" t="inlineStr">
        <is>
          <t>Browser needed</t>
        </is>
      </c>
      <c r="C449" s="4" t="n">
        <v>79</v>
      </c>
      <c r="D449" s="4" t="inlineStr">
        <is>
          <t>environment</t>
        </is>
      </c>
      <c r="E449" s="4" t="inlineStr">
        <is>
          <t>blocked</t>
        </is>
      </c>
      <c r="F449" s="4" t="inlineStr">
        <is>
          <t>unknown</t>
        </is>
      </c>
      <c r="G449" s="4" t="inlineStr">
        <is>
          <t>grid_250m</t>
        </is>
      </c>
      <c r="H449" s="4" t="inlineStr">
        <is>
          <t>Needs raster support</t>
        </is>
      </c>
      <c r="I449" s="4" t="n">
        <v>3</v>
      </c>
      <c r="J449" s="4" t="inlineStr"/>
      <c r="K449" s="4" t="inlineStr">
        <is>
          <t>Curated</t>
        </is>
      </c>
      <c r="L449" s="4" t="n">
        <v>2023</v>
      </c>
      <c r="M449" s="4" t="inlineStr">
        <is>
          <t>open</t>
        </is>
      </c>
      <c r="N449" s="4" t="inlineStr">
        <is>
          <t>2026-10-22</t>
        </is>
      </c>
      <c r="O449" s="14" t="inlineStr">
        <is>
          <t>pass</t>
        </is>
      </c>
      <c r="P449" s="14" t="inlineStr">
        <is>
          <t>pass</t>
        </is>
      </c>
      <c r="Q449" s="14" t="inlineStr">
        <is>
          <t>pass</t>
        </is>
      </c>
      <c r="R449" s="16" t="inlineStr">
        <is>
          <t>warn</t>
        </is>
      </c>
      <c r="S449" s="15" t="inlineStr">
        <is>
          <t>not_checked</t>
        </is>
      </c>
      <c r="T449" s="14" t="inlineStr">
        <is>
          <t>pass</t>
        </is>
      </c>
      <c r="U449" s="14" t="inlineStr">
        <is>
          <t>pass</t>
        </is>
      </c>
      <c r="V449" s="16" t="inlineStr">
        <is>
          <t>warn</t>
        </is>
      </c>
      <c r="W449" s="16" t="inlineStr">
        <is>
          <t>warn</t>
        </is>
      </c>
      <c r="X449" s="14" t="inlineStr">
        <is>
          <t>pass</t>
        </is>
      </c>
      <c r="Y449" s="15" t="inlineStr">
        <is>
          <t>not_checked</t>
        </is>
      </c>
      <c r="Z449" s="15" t="inlineStr">
        <is>
          <t>not_checked</t>
        </is>
      </c>
      <c r="AA449" s="15" t="inlineStr">
        <is>
          <t>not_checked</t>
        </is>
      </c>
      <c r="AB449" s="15" t="inlineStr">
        <is>
          <t>not_checked</t>
        </is>
      </c>
      <c r="AC449" s="15" t="inlineStr">
        <is>
          <t>not_checked</t>
        </is>
      </c>
      <c r="AD449" s="15" t="inlineStr">
        <is>
          <t>not_checked</t>
        </is>
      </c>
      <c r="AE449" s="15" t="inlineStr">
        <is>
          <t>not_checked</t>
        </is>
      </c>
      <c r="AF449" s="15" t="inlineStr">
        <is>
          <t>not_checked</t>
        </is>
      </c>
      <c r="AG449" s="15" t="inlineStr">
        <is>
          <t>not_checked</t>
        </is>
      </c>
      <c r="AH449" s="15" t="inlineStr">
        <is>
          <t>not_checked</t>
        </is>
      </c>
      <c r="AI449" s="15" t="inlineStr">
        <is>
          <t>n.a.</t>
        </is>
      </c>
      <c r="AJ449" s="15" t="inlineStr">
        <is>
          <t>n.a.</t>
        </is>
      </c>
      <c r="AK449" s="4" t="inlineStr">
        <is>
          <t>soft404(warn);machine_metadata(warn);persistent_id(warn)</t>
        </is>
      </c>
      <c r="AL449" s="17" t="inlineStr">
        <is>
          <t>https://globalwindatlas.info/en/about/introduction</t>
        </is>
      </c>
      <c r="AM449" s="4" t="inlineStr">
        <is>
          <t>global_dtu_global_wind_solar_atlas</t>
        </is>
      </c>
    </row>
    <row r="450">
      <c r="A450" s="4" t="inlineStr">
        <is>
          <t>MERRA-2 tavg1_2d_aer_Nx: 2d, 1-Hourly, Time-averaged, Single-Level, Assimilation, Aerosol Diagnostics V5.12.4 (M2T1NXAER)</t>
        </is>
      </c>
      <c r="B450" s="21" t="inlineStr">
        <is>
          <t>Browser needed</t>
        </is>
      </c>
      <c r="C450" s="4" t="n">
        <v>80</v>
      </c>
      <c r="D450" s="4" t="inlineStr">
        <is>
          <t>environment</t>
        </is>
      </c>
      <c r="E450" s="4" t="inlineStr">
        <is>
          <t>blocked</t>
        </is>
      </c>
      <c r="F450" s="4" t="inlineStr">
        <is>
          <t>public_domain_us_federal</t>
        </is>
      </c>
      <c r="G450" s="4" t="inlineStr">
        <is>
          <t>grid_0.5deg</t>
        </is>
      </c>
      <c r="H450" s="4" t="inlineStr">
        <is>
          <t>Needs raster support</t>
        </is>
      </c>
      <c r="I450" s="4" t="n">
        <v>3</v>
      </c>
      <c r="J450" s="4" t="inlineStr"/>
      <c r="K450" s="4" t="inlineStr">
        <is>
          <t>Curated</t>
        </is>
      </c>
      <c r="L450" s="4" t="inlineStr">
        <is>
          <t>current</t>
        </is>
      </c>
      <c r="M450" s="4" t="inlineStr">
        <is>
          <t>registration</t>
        </is>
      </c>
      <c r="N450" s="4" t="inlineStr">
        <is>
          <t>2026-10-29</t>
        </is>
      </c>
      <c r="O450" s="14" t="inlineStr">
        <is>
          <t>pass</t>
        </is>
      </c>
      <c r="P450" s="14" t="inlineStr">
        <is>
          <t>pass</t>
        </is>
      </c>
      <c r="Q450" s="14" t="inlineStr">
        <is>
          <t>pass</t>
        </is>
      </c>
      <c r="R450" s="16" t="inlineStr">
        <is>
          <t>warn</t>
        </is>
      </c>
      <c r="S450" s="15" t="inlineStr">
        <is>
          <t>not_checked</t>
        </is>
      </c>
      <c r="T450" s="14" t="inlineStr">
        <is>
          <t>pass</t>
        </is>
      </c>
      <c r="U450" s="18" t="inlineStr">
        <is>
          <t>fail</t>
        </is>
      </c>
      <c r="V450" s="18" t="inlineStr">
        <is>
          <t>fail</t>
        </is>
      </c>
      <c r="W450" s="16" t="inlineStr">
        <is>
          <t>warn</t>
        </is>
      </c>
      <c r="X450" s="14" t="inlineStr">
        <is>
          <t>pass</t>
        </is>
      </c>
      <c r="Y450" s="14" t="inlineStr">
        <is>
          <t>pass</t>
        </is>
      </c>
      <c r="Z450" s="15" t="inlineStr">
        <is>
          <t>not_checked</t>
        </is>
      </c>
      <c r="AA450" s="15" t="inlineStr">
        <is>
          <t>not_checked</t>
        </is>
      </c>
      <c r="AB450" s="15" t="inlineStr">
        <is>
          <t>not_checked</t>
        </is>
      </c>
      <c r="AC450" s="15" t="inlineStr">
        <is>
          <t>not_checked</t>
        </is>
      </c>
      <c r="AD450" s="15" t="inlineStr">
        <is>
          <t>not_checked</t>
        </is>
      </c>
      <c r="AE450" s="15" t="inlineStr">
        <is>
          <t>not_checked</t>
        </is>
      </c>
      <c r="AF450" s="15" t="inlineStr">
        <is>
          <t>not_checked</t>
        </is>
      </c>
      <c r="AG450" s="15" t="inlineStr">
        <is>
          <t>not_checked</t>
        </is>
      </c>
      <c r="AH450" s="15" t="inlineStr">
        <is>
          <t>not_checked</t>
        </is>
      </c>
      <c r="AI450" s="15" t="inlineStr">
        <is>
          <t>n.a.</t>
        </is>
      </c>
      <c r="AJ450" s="15" t="inlineStr">
        <is>
          <t>n.a.</t>
        </is>
      </c>
      <c r="AK450" s="4" t="inlineStr">
        <is>
          <t>format_match;machine_metadata;soft404(warn);persistent_id(warn)</t>
        </is>
      </c>
      <c r="AL450" s="17" t="inlineStr">
        <is>
          <t>https://disc.gsfc.nasa.gov/datasets/M2T1NXAER_5.12.4/summary</t>
        </is>
      </c>
      <c r="AM450" s="4" t="inlineStr">
        <is>
          <t>global_nasa_merra2_m2t1nxaer</t>
        </is>
      </c>
    </row>
    <row r="451">
      <c r="A451" s="4" t="inlineStr">
        <is>
          <t>NaNDA: Land Cover by Census Tract and ZCTA</t>
        </is>
      </c>
      <c r="B451" s="21" t="inlineStr">
        <is>
          <t>Browser needed</t>
        </is>
      </c>
      <c r="C451" s="4" t="n">
        <v>50</v>
      </c>
      <c r="D451" s="4" t="inlineStr">
        <is>
          <t>environment</t>
        </is>
      </c>
      <c r="E451" s="4" t="inlineStr">
        <is>
          <t>blocked</t>
        </is>
      </c>
      <c r="F451" s="4" t="inlineStr">
        <is>
          <t>not checked</t>
        </is>
      </c>
      <c r="G451" s="4" t="inlineStr">
        <is>
          <t>tract</t>
        </is>
      </c>
      <c r="H451" s="4" t="inlineStr">
        <is>
          <t>Joins today</t>
        </is>
      </c>
      <c r="I451" s="4" t="n">
        <v>3</v>
      </c>
      <c r="J451" s="4" t="inlineStr"/>
      <c r="K451" s="4" t="inlineStr">
        <is>
          <t>Curated</t>
        </is>
      </c>
      <c r="L451" s="4" t="n">
        <v>2023</v>
      </c>
      <c r="M451" s="4" t="inlineStr">
        <is>
          <t>open</t>
        </is>
      </c>
      <c r="N451" s="4" t="inlineStr">
        <is>
          <t>2026-10-22</t>
        </is>
      </c>
      <c r="O451" s="16" t="inlineStr">
        <is>
          <t>warn</t>
        </is>
      </c>
      <c r="P451" s="14" t="inlineStr">
        <is>
          <t>pass</t>
        </is>
      </c>
      <c r="Q451" s="14" t="inlineStr">
        <is>
          <t>pass</t>
        </is>
      </c>
      <c r="R451" s="15" t="inlineStr">
        <is>
          <t>not_checked</t>
        </is>
      </c>
      <c r="S451" s="15" t="inlineStr">
        <is>
          <t>not_checked</t>
        </is>
      </c>
      <c r="T451" s="16" t="inlineStr">
        <is>
          <t>warn</t>
        </is>
      </c>
      <c r="U451" s="15" t="inlineStr">
        <is>
          <t>n.a.</t>
        </is>
      </c>
      <c r="V451" s="15" t="inlineStr">
        <is>
          <t>not_checked</t>
        </is>
      </c>
      <c r="W451" s="15" t="inlineStr">
        <is>
          <t>not_checked</t>
        </is>
      </c>
      <c r="X451" s="14" t="inlineStr">
        <is>
          <t>pass</t>
        </is>
      </c>
      <c r="Y451" s="15" t="inlineStr">
        <is>
          <t>not_checked</t>
        </is>
      </c>
      <c r="Z451" s="15" t="inlineStr">
        <is>
          <t>not_checked</t>
        </is>
      </c>
      <c r="AA451" s="15" t="inlineStr">
        <is>
          <t>not_checked</t>
        </is>
      </c>
      <c r="AB451" s="15" t="inlineStr">
        <is>
          <t>not_checked</t>
        </is>
      </c>
      <c r="AC451" s="15" t="inlineStr">
        <is>
          <t>not_checked</t>
        </is>
      </c>
      <c r="AD451" s="15" t="inlineStr">
        <is>
          <t>not_checked</t>
        </is>
      </c>
      <c r="AE451" s="15" t="inlineStr">
        <is>
          <t>not_checked</t>
        </is>
      </c>
      <c r="AF451" s="15" t="inlineStr">
        <is>
          <t>not_checked</t>
        </is>
      </c>
      <c r="AG451" s="15" t="inlineStr">
        <is>
          <t>not_checked</t>
        </is>
      </c>
      <c r="AH451" s="15" t="inlineStr">
        <is>
          <t>not_checked</t>
        </is>
      </c>
      <c r="AI451" s="15" t="inlineStr">
        <is>
          <t>n.a.</t>
        </is>
      </c>
      <c r="AJ451" s="15" t="inlineStr">
        <is>
          <t>n.a.</t>
        </is>
      </c>
      <c r="AK451" s="4" t="inlineStr">
        <is>
          <t>link_live(warn);access_url(warn)</t>
        </is>
      </c>
      <c r="AL451" s="17" t="inlineStr">
        <is>
          <t>https://www.icpsr.umich.edu/web/ICPSR/studies/38598</t>
        </is>
      </c>
      <c r="AM451" s="4" t="inlineStr">
        <is>
          <t>us_umich_nanda_land_cover</t>
        </is>
      </c>
    </row>
    <row r="452">
      <c r="A452" s="4" t="inlineStr">
        <is>
          <t>OMI/Aura NO2 Cloud-Screened Total and Tropospheric Column L3 Global Gridded 0.25 degree (OMNO2d v003)</t>
        </is>
      </c>
      <c r="B452" s="21" t="inlineStr">
        <is>
          <t>Browser needed</t>
        </is>
      </c>
      <c r="C452" s="4" t="n">
        <v>80</v>
      </c>
      <c r="D452" s="4" t="inlineStr">
        <is>
          <t>environment</t>
        </is>
      </c>
      <c r="E452" s="4" t="inlineStr">
        <is>
          <t>blocked</t>
        </is>
      </c>
      <c r="F452" s="4" t="inlineStr">
        <is>
          <t>public_domain_us_federal</t>
        </is>
      </c>
      <c r="G452" s="4" t="inlineStr">
        <is>
          <t>grid_0.25deg</t>
        </is>
      </c>
      <c r="H452" s="4" t="inlineStr">
        <is>
          <t>Needs raster support</t>
        </is>
      </c>
      <c r="I452" s="4" t="n">
        <v>3</v>
      </c>
      <c r="J452" s="4" t="inlineStr"/>
      <c r="K452" s="4" t="inlineStr">
        <is>
          <t>Curated</t>
        </is>
      </c>
      <c r="L452" s="4" t="inlineStr">
        <is>
          <t>current</t>
        </is>
      </c>
      <c r="M452" s="4" t="inlineStr">
        <is>
          <t>registration</t>
        </is>
      </c>
      <c r="N452" s="4" t="inlineStr">
        <is>
          <t>2026-10-29</t>
        </is>
      </c>
      <c r="O452" s="14" t="inlineStr">
        <is>
          <t>pass</t>
        </is>
      </c>
      <c r="P452" s="14" t="inlineStr">
        <is>
          <t>pass</t>
        </is>
      </c>
      <c r="Q452" s="14" t="inlineStr">
        <is>
          <t>pass</t>
        </is>
      </c>
      <c r="R452" s="16" t="inlineStr">
        <is>
          <t>warn</t>
        </is>
      </c>
      <c r="S452" s="15" t="inlineStr">
        <is>
          <t>not_checked</t>
        </is>
      </c>
      <c r="T452" s="14" t="inlineStr">
        <is>
          <t>pass</t>
        </is>
      </c>
      <c r="U452" s="16" t="inlineStr">
        <is>
          <t>warn</t>
        </is>
      </c>
      <c r="V452" s="18" t="inlineStr">
        <is>
          <t>fail</t>
        </is>
      </c>
      <c r="W452" s="16" t="inlineStr">
        <is>
          <t>warn</t>
        </is>
      </c>
      <c r="X452" s="14" t="inlineStr">
        <is>
          <t>pass</t>
        </is>
      </c>
      <c r="Y452" s="14" t="inlineStr">
        <is>
          <t>pass</t>
        </is>
      </c>
      <c r="Z452" s="15" t="inlineStr">
        <is>
          <t>not_checked</t>
        </is>
      </c>
      <c r="AA452" s="15" t="inlineStr">
        <is>
          <t>not_checked</t>
        </is>
      </c>
      <c r="AB452" s="15" t="inlineStr">
        <is>
          <t>not_checked</t>
        </is>
      </c>
      <c r="AC452" s="15" t="inlineStr">
        <is>
          <t>not_checked</t>
        </is>
      </c>
      <c r="AD452" s="15" t="inlineStr">
        <is>
          <t>not_checked</t>
        </is>
      </c>
      <c r="AE452" s="15" t="inlineStr">
        <is>
          <t>not_checked</t>
        </is>
      </c>
      <c r="AF452" s="15" t="inlineStr">
        <is>
          <t>not_checked</t>
        </is>
      </c>
      <c r="AG452" s="15" t="inlineStr">
        <is>
          <t>not_checked</t>
        </is>
      </c>
      <c r="AH452" s="15" t="inlineStr">
        <is>
          <t>not_checked</t>
        </is>
      </c>
      <c r="AI452" s="15" t="inlineStr">
        <is>
          <t>n.a.</t>
        </is>
      </c>
      <c r="AJ452" s="15" t="inlineStr">
        <is>
          <t>n.a.</t>
        </is>
      </c>
      <c r="AK452" s="4" t="inlineStr">
        <is>
          <t>machine_metadata;soft404(warn);format_match(warn);persistent_id(warn)</t>
        </is>
      </c>
      <c r="AL452" s="17" t="inlineStr">
        <is>
          <t>https://disc.gsfc.nasa.gov/datasets/OMNO2d_003/summary</t>
        </is>
      </c>
      <c r="AM452" s="4" t="inlineStr">
        <is>
          <t>global_nasa_omi_omno2d</t>
        </is>
      </c>
    </row>
    <row r="453">
      <c r="A453" s="4" t="inlineStr">
        <is>
          <t>PurpleAir low-cost sensor network API</t>
        </is>
      </c>
      <c r="B453" s="21" t="inlineStr">
        <is>
          <t>Browser needed</t>
        </is>
      </c>
      <c r="C453" s="4" t="n">
        <v>79</v>
      </c>
      <c r="D453" s="4" t="inlineStr">
        <is>
          <t>environment</t>
        </is>
      </c>
      <c r="E453" s="4" t="inlineStr">
        <is>
          <t>blocked</t>
        </is>
      </c>
      <c r="F453" s="4" t="inlineStr">
        <is>
          <t>unknown</t>
        </is>
      </c>
      <c r="G453" s="4" t="inlineStr">
        <is>
          <t>point</t>
        </is>
      </c>
      <c r="H453" s="4" t="inlineStr">
        <is>
          <t>Needs a count/distance step</t>
        </is>
      </c>
      <c r="I453" s="4" t="n">
        <v>3</v>
      </c>
      <c r="J453" s="4" t="inlineStr"/>
      <c r="K453" s="4" t="inlineStr">
        <is>
          <t>Curated</t>
        </is>
      </c>
      <c r="L453" s="4" t="inlineStr">
        <is>
          <t>current</t>
        </is>
      </c>
      <c r="M453" s="4" t="inlineStr">
        <is>
          <t>registration</t>
        </is>
      </c>
      <c r="N453" s="4" t="inlineStr">
        <is>
          <t>2026-10-22</t>
        </is>
      </c>
      <c r="O453" s="14" t="inlineStr">
        <is>
          <t>pass</t>
        </is>
      </c>
      <c r="P453" s="14" t="inlineStr">
        <is>
          <t>pass</t>
        </is>
      </c>
      <c r="Q453" s="14" t="inlineStr">
        <is>
          <t>pass</t>
        </is>
      </c>
      <c r="R453" s="16" t="inlineStr">
        <is>
          <t>warn</t>
        </is>
      </c>
      <c r="S453" s="15" t="inlineStr">
        <is>
          <t>not_checked</t>
        </is>
      </c>
      <c r="T453" s="14" t="inlineStr">
        <is>
          <t>pass</t>
        </is>
      </c>
      <c r="U453" s="16" t="inlineStr">
        <is>
          <t>warn</t>
        </is>
      </c>
      <c r="V453" s="16" t="inlineStr">
        <is>
          <t>warn</t>
        </is>
      </c>
      <c r="W453" s="16" t="inlineStr">
        <is>
          <t>warn</t>
        </is>
      </c>
      <c r="X453" s="14" t="inlineStr">
        <is>
          <t>pass</t>
        </is>
      </c>
      <c r="Y453" s="15" t="inlineStr">
        <is>
          <t>not_checked</t>
        </is>
      </c>
      <c r="Z453" s="15" t="inlineStr">
        <is>
          <t>not_checked</t>
        </is>
      </c>
      <c r="AA453" s="15" t="inlineStr">
        <is>
          <t>not_checked</t>
        </is>
      </c>
      <c r="AB453" s="15" t="inlineStr">
        <is>
          <t>not_checked</t>
        </is>
      </c>
      <c r="AC453" s="15" t="inlineStr">
        <is>
          <t>not_checked</t>
        </is>
      </c>
      <c r="AD453" s="15" t="inlineStr">
        <is>
          <t>not_checked</t>
        </is>
      </c>
      <c r="AE453" s="15" t="inlineStr">
        <is>
          <t>not_checked</t>
        </is>
      </c>
      <c r="AF453" s="15" t="inlineStr">
        <is>
          <t>not_checked</t>
        </is>
      </c>
      <c r="AG453" s="15" t="inlineStr">
        <is>
          <t>not_checked</t>
        </is>
      </c>
      <c r="AH453" s="15" t="inlineStr">
        <is>
          <t>not_checked</t>
        </is>
      </c>
      <c r="AI453" s="15" t="inlineStr">
        <is>
          <t>n.a.</t>
        </is>
      </c>
      <c r="AJ453" s="15" t="inlineStr">
        <is>
          <t>n.a.</t>
        </is>
      </c>
      <c r="AK453" s="4" t="inlineStr">
        <is>
          <t>soft404(warn);format_match(warn);machine_metadata(warn);persistent_id(warn)</t>
        </is>
      </c>
      <c r="AL453" s="17" t="inlineStr">
        <is>
          <t>https://www.purpleair.com/api</t>
        </is>
      </c>
      <c r="AM453" s="4" t="inlineStr">
        <is>
          <t>us_purpleair_sensor_network</t>
        </is>
      </c>
    </row>
    <row r="454">
      <c r="A454" s="4" t="inlineStr">
        <is>
          <t>SAANS satellite-derived 1 km ambient PM2.5 for India (2000-2019)</t>
        </is>
      </c>
      <c r="B454" s="21" t="inlineStr">
        <is>
          <t>Browser needed</t>
        </is>
      </c>
      <c r="C454" s="4" t="n">
        <v>50</v>
      </c>
      <c r="D454" s="4" t="inlineStr">
        <is>
          <t>environment</t>
        </is>
      </c>
      <c r="E454" s="4" t="inlineStr">
        <is>
          <t>blocked</t>
        </is>
      </c>
      <c r="F454" s="4" t="inlineStr">
        <is>
          <t>not checked</t>
        </is>
      </c>
      <c r="G454" s="4" t="inlineStr">
        <is>
          <t>grid_1km</t>
        </is>
      </c>
      <c r="H454" s="4" t="inlineStr">
        <is>
          <t>Needs raster support</t>
        </is>
      </c>
      <c r="I454" s="4" t="n">
        <v>3</v>
      </c>
      <c r="J454" s="4" t="inlineStr"/>
      <c r="K454" s="4" t="inlineStr">
        <is>
          <t>Curated</t>
        </is>
      </c>
      <c r="L454" s="4" t="n">
        <v>2019</v>
      </c>
      <c r="M454" s="4" t="inlineStr">
        <is>
          <t>open</t>
        </is>
      </c>
      <c r="N454" s="4" t="inlineStr">
        <is>
          <t>2026-10-22</t>
        </is>
      </c>
      <c r="O454" s="16" t="inlineStr">
        <is>
          <t>warn</t>
        </is>
      </c>
      <c r="P454" s="14" t="inlineStr">
        <is>
          <t>pass</t>
        </is>
      </c>
      <c r="Q454" s="14" t="inlineStr">
        <is>
          <t>pass</t>
        </is>
      </c>
      <c r="R454" s="15" t="inlineStr">
        <is>
          <t>not_checked</t>
        </is>
      </c>
      <c r="S454" s="15" t="inlineStr">
        <is>
          <t>not_checked</t>
        </is>
      </c>
      <c r="T454" s="15" t="inlineStr">
        <is>
          <t>n.a.</t>
        </is>
      </c>
      <c r="U454" s="15" t="inlineStr">
        <is>
          <t>n.a.</t>
        </is>
      </c>
      <c r="V454" s="15" t="inlineStr">
        <is>
          <t>not_checked</t>
        </is>
      </c>
      <c r="W454" s="15" t="inlineStr">
        <is>
          <t>not_checked</t>
        </is>
      </c>
      <c r="X454" s="14" t="inlineStr">
        <is>
          <t>pass</t>
        </is>
      </c>
      <c r="Y454" s="15" t="inlineStr">
        <is>
          <t>not_checked</t>
        </is>
      </c>
      <c r="Z454" s="15" t="inlineStr">
        <is>
          <t>not_checked</t>
        </is>
      </c>
      <c r="AA454" s="15" t="inlineStr">
        <is>
          <t>not_checked</t>
        </is>
      </c>
      <c r="AB454" s="15" t="inlineStr">
        <is>
          <t>not_checked</t>
        </is>
      </c>
      <c r="AC454" s="15" t="inlineStr">
        <is>
          <t>not_checked</t>
        </is>
      </c>
      <c r="AD454" s="15" t="inlineStr">
        <is>
          <t>not_checked</t>
        </is>
      </c>
      <c r="AE454" s="15" t="inlineStr">
        <is>
          <t>not_checked</t>
        </is>
      </c>
      <c r="AF454" s="15" t="inlineStr">
        <is>
          <t>not_checked</t>
        </is>
      </c>
      <c r="AG454" s="15" t="inlineStr">
        <is>
          <t>not_checked</t>
        </is>
      </c>
      <c r="AH454" s="15" t="inlineStr">
        <is>
          <t>not_checked</t>
        </is>
      </c>
      <c r="AI454" s="15" t="inlineStr">
        <is>
          <t>n.a.</t>
        </is>
      </c>
      <c r="AJ454" s="15" t="inlineStr">
        <is>
          <t>n.a.</t>
        </is>
      </c>
      <c r="AK454" s="4" t="inlineStr">
        <is>
          <t>link_live(warn)</t>
        </is>
      </c>
      <c r="AL454" s="17" t="inlineStr">
        <is>
          <t>https://www.mdpi.com/2072-4292/12/23/3872</t>
        </is>
      </c>
      <c r="AM454" s="4" t="inlineStr">
        <is>
          <t>in_iitd_saans_pm25</t>
        </is>
      </c>
    </row>
    <row r="455">
      <c r="A455" s="4" t="inlineStr">
        <is>
          <t>Sentinel-5P TROPOMI Tropospheric NO2 1-Orbit L2 (S5P_L2__NO2____HiR) via NASA GES DISC</t>
        </is>
      </c>
      <c r="B455" s="21" t="inlineStr">
        <is>
          <t>Browser needed</t>
        </is>
      </c>
      <c r="C455" s="4" t="n">
        <v>71</v>
      </c>
      <c r="D455" s="4" t="inlineStr">
        <is>
          <t>environment</t>
        </is>
      </c>
      <c r="E455" s="4" t="inlineStr">
        <is>
          <t>blocked</t>
        </is>
      </c>
      <c r="F455" s="4" t="inlineStr">
        <is>
          <t>unknown</t>
        </is>
      </c>
      <c r="G455" s="4" t="inlineStr">
        <is>
          <t>grid_3.5km</t>
        </is>
      </c>
      <c r="H455" s="4" t="inlineStr">
        <is>
          <t>Needs raster support</t>
        </is>
      </c>
      <c r="I455" s="4" t="n">
        <v>3</v>
      </c>
      <c r="J455" s="4" t="inlineStr"/>
      <c r="K455" s="4" t="inlineStr">
        <is>
          <t>Curated</t>
        </is>
      </c>
      <c r="L455" s="4" t="inlineStr">
        <is>
          <t>current</t>
        </is>
      </c>
      <c r="M455" s="4" t="inlineStr">
        <is>
          <t>registration</t>
        </is>
      </c>
      <c r="N455" s="4" t="inlineStr">
        <is>
          <t>2026-10-22</t>
        </is>
      </c>
      <c r="O455" s="14" t="inlineStr">
        <is>
          <t>pass</t>
        </is>
      </c>
      <c r="P455" s="14" t="inlineStr">
        <is>
          <t>pass</t>
        </is>
      </c>
      <c r="Q455" s="14" t="inlineStr">
        <is>
          <t>pass</t>
        </is>
      </c>
      <c r="R455" s="16" t="inlineStr">
        <is>
          <t>warn</t>
        </is>
      </c>
      <c r="S455" s="15" t="inlineStr">
        <is>
          <t>not_checked</t>
        </is>
      </c>
      <c r="T455" s="14" t="inlineStr">
        <is>
          <t>pass</t>
        </is>
      </c>
      <c r="U455" s="16" t="inlineStr">
        <is>
          <t>warn</t>
        </is>
      </c>
      <c r="V455" s="18" t="inlineStr">
        <is>
          <t>fail</t>
        </is>
      </c>
      <c r="W455" s="16" t="inlineStr">
        <is>
          <t>warn</t>
        </is>
      </c>
      <c r="X455" s="14" t="inlineStr">
        <is>
          <t>pass</t>
        </is>
      </c>
      <c r="Y455" s="15" t="inlineStr">
        <is>
          <t>not_checked</t>
        </is>
      </c>
      <c r="Z455" s="15" t="inlineStr">
        <is>
          <t>not_checked</t>
        </is>
      </c>
      <c r="AA455" s="15" t="inlineStr">
        <is>
          <t>not_checked</t>
        </is>
      </c>
      <c r="AB455" s="15" t="inlineStr">
        <is>
          <t>not_checked</t>
        </is>
      </c>
      <c r="AC455" s="15" t="inlineStr">
        <is>
          <t>not_checked</t>
        </is>
      </c>
      <c r="AD455" s="15" t="inlineStr">
        <is>
          <t>not_checked</t>
        </is>
      </c>
      <c r="AE455" s="15" t="inlineStr">
        <is>
          <t>not_checked</t>
        </is>
      </c>
      <c r="AF455" s="15" t="inlineStr">
        <is>
          <t>not_checked</t>
        </is>
      </c>
      <c r="AG455" s="15" t="inlineStr">
        <is>
          <t>not_checked</t>
        </is>
      </c>
      <c r="AH455" s="15" t="inlineStr">
        <is>
          <t>not_checked</t>
        </is>
      </c>
      <c r="AI455" s="15" t="inlineStr">
        <is>
          <t>n.a.</t>
        </is>
      </c>
      <c r="AJ455" s="15" t="inlineStr">
        <is>
          <t>n.a.</t>
        </is>
      </c>
      <c r="AK455" s="4" t="inlineStr">
        <is>
          <t>machine_metadata;soft404(warn);format_match(warn);persistent_id(warn)</t>
        </is>
      </c>
      <c r="AL455" s="17" t="inlineStr">
        <is>
          <t>https://disc.gsfc.nasa.gov/datasets/S5P_L2__NO2____HiR_2/summary</t>
        </is>
      </c>
      <c r="AM455" s="4" t="inlineStr">
        <is>
          <t>global_nasa_tropomi_s5p_no2</t>
        </is>
      </c>
    </row>
    <row r="456">
      <c r="A456" s="4" t="inlineStr">
        <is>
          <t>Tracking Air Pollution in China (TAP) 1 km daily PM2.5</t>
        </is>
      </c>
      <c r="B456" s="21" t="inlineStr">
        <is>
          <t>Browser needed</t>
        </is>
      </c>
      <c r="C456" s="4" t="n">
        <v>89</v>
      </c>
      <c r="D456" s="4" t="inlineStr">
        <is>
          <t>environment</t>
        </is>
      </c>
      <c r="E456" s="4" t="inlineStr">
        <is>
          <t>blocked</t>
        </is>
      </c>
      <c r="F456" s="4" t="inlineStr">
        <is>
          <t>unknown</t>
        </is>
      </c>
      <c r="G456" s="4" t="inlineStr">
        <is>
          <t>grid_1km</t>
        </is>
      </c>
      <c r="H456" s="4" t="inlineStr">
        <is>
          <t>Needs raster support</t>
        </is>
      </c>
      <c r="I456" s="4" t="n">
        <v>3</v>
      </c>
      <c r="J456" s="4" t="inlineStr"/>
      <c r="K456" s="4" t="inlineStr">
        <is>
          <t>Curated</t>
        </is>
      </c>
      <c r="L456" s="4" t="inlineStr">
        <is>
          <t>current</t>
        </is>
      </c>
      <c r="M456" s="4" t="inlineStr">
        <is>
          <t>registration</t>
        </is>
      </c>
      <c r="N456" s="4" t="inlineStr">
        <is>
          <t>2026-10-22</t>
        </is>
      </c>
      <c r="O456" s="14" t="inlineStr">
        <is>
          <t>pass</t>
        </is>
      </c>
      <c r="P456" s="14" t="inlineStr">
        <is>
          <t>pass</t>
        </is>
      </c>
      <c r="Q456" s="15" t="inlineStr">
        <is>
          <t>n.a.</t>
        </is>
      </c>
      <c r="R456" s="14" t="inlineStr">
        <is>
          <t>pass</t>
        </is>
      </c>
      <c r="S456" s="14" t="inlineStr">
        <is>
          <t>pass</t>
        </is>
      </c>
      <c r="T456" s="14" t="inlineStr">
        <is>
          <t>pass</t>
        </is>
      </c>
      <c r="U456" s="15" t="inlineStr">
        <is>
          <t>n.a.</t>
        </is>
      </c>
      <c r="V456" s="18" t="inlineStr">
        <is>
          <t>fail</t>
        </is>
      </c>
      <c r="W456" s="16" t="inlineStr">
        <is>
          <t>warn</t>
        </is>
      </c>
      <c r="X456" s="14" t="inlineStr">
        <is>
          <t>pass</t>
        </is>
      </c>
      <c r="Y456" s="15" t="inlineStr">
        <is>
          <t>not_checked</t>
        </is>
      </c>
      <c r="Z456" s="15" t="inlineStr">
        <is>
          <t>not_checked</t>
        </is>
      </c>
      <c r="AA456" s="15" t="inlineStr">
        <is>
          <t>not_checked</t>
        </is>
      </c>
      <c r="AB456" s="15" t="inlineStr">
        <is>
          <t>not_checked</t>
        </is>
      </c>
      <c r="AC456" s="15" t="inlineStr">
        <is>
          <t>not_checked</t>
        </is>
      </c>
      <c r="AD456" s="15" t="inlineStr">
        <is>
          <t>not_checked</t>
        </is>
      </c>
      <c r="AE456" s="15" t="inlineStr">
        <is>
          <t>not_checked</t>
        </is>
      </c>
      <c r="AF456" s="15" t="inlineStr">
        <is>
          <t>not_checked</t>
        </is>
      </c>
      <c r="AG456" s="15" t="inlineStr">
        <is>
          <t>not_checked</t>
        </is>
      </c>
      <c r="AH456" s="15" t="inlineStr">
        <is>
          <t>not_checked</t>
        </is>
      </c>
      <c r="AI456" s="15" t="inlineStr">
        <is>
          <t>n.a.</t>
        </is>
      </c>
      <c r="AJ456" s="15" t="inlineStr">
        <is>
          <t>n.a.</t>
        </is>
      </c>
      <c r="AK456" s="4" t="inlineStr">
        <is>
          <t>machine_metadata;persistent_id(warn)</t>
        </is>
      </c>
      <c r="AL456" s="17" t="inlineStr">
        <is>
          <t>http://tapdata.org.cn/</t>
        </is>
      </c>
      <c r="AM456" s="4" t="inlineStr">
        <is>
          <t>cn_tsinghua_tap_pm25</t>
        </is>
      </c>
    </row>
    <row r="457">
      <c r="A457" s="4" t="inlineStr">
        <is>
          <t>WaPOR (Water Productivity through Open access of Remotely sensed derived data)</t>
        </is>
      </c>
      <c r="B457" s="21" t="inlineStr">
        <is>
          <t>Browser needed</t>
        </is>
      </c>
      <c r="C457" s="4" t="n">
        <v>71</v>
      </c>
      <c r="D457" s="4" t="inlineStr">
        <is>
          <t>environment</t>
        </is>
      </c>
      <c r="E457" s="4" t="inlineStr">
        <is>
          <t>blocked</t>
        </is>
      </c>
      <c r="F457" s="4" t="inlineStr">
        <is>
          <t>unknown</t>
        </is>
      </c>
      <c r="G457" s="4" t="inlineStr">
        <is>
          <t>grid_300m</t>
        </is>
      </c>
      <c r="H457" s="4" t="inlineStr">
        <is>
          <t>Needs raster support</t>
        </is>
      </c>
      <c r="I457" s="4" t="n">
        <v>3</v>
      </c>
      <c r="J457" s="4" t="inlineStr"/>
      <c r="K457" s="4" t="inlineStr">
        <is>
          <t>Curated</t>
        </is>
      </c>
      <c r="L457" s="4" t="inlineStr">
        <is>
          <t>current</t>
        </is>
      </c>
      <c r="M457" s="4" t="inlineStr">
        <is>
          <t>open</t>
        </is>
      </c>
      <c r="N457" s="4" t="inlineStr">
        <is>
          <t>2026-10-22</t>
        </is>
      </c>
      <c r="O457" s="14" t="inlineStr">
        <is>
          <t>pass</t>
        </is>
      </c>
      <c r="P457" s="14" t="inlineStr">
        <is>
          <t>pass</t>
        </is>
      </c>
      <c r="Q457" s="14" t="inlineStr">
        <is>
          <t>pass</t>
        </is>
      </c>
      <c r="R457" s="16" t="inlineStr">
        <is>
          <t>warn</t>
        </is>
      </c>
      <c r="S457" s="15" t="inlineStr">
        <is>
          <t>not_checked</t>
        </is>
      </c>
      <c r="T457" s="15" t="inlineStr">
        <is>
          <t>n.a.</t>
        </is>
      </c>
      <c r="U457" s="15" t="inlineStr">
        <is>
          <t>n.a.</t>
        </is>
      </c>
      <c r="V457" s="18" t="inlineStr">
        <is>
          <t>fail</t>
        </is>
      </c>
      <c r="W457" s="16" t="inlineStr">
        <is>
          <t>warn</t>
        </is>
      </c>
      <c r="X457" s="14" t="inlineStr">
        <is>
          <t>pass</t>
        </is>
      </c>
      <c r="Y457" s="15" t="inlineStr">
        <is>
          <t>not_checked</t>
        </is>
      </c>
      <c r="Z457" s="15" t="inlineStr">
        <is>
          <t>not_checked</t>
        </is>
      </c>
      <c r="AA457" s="15" t="inlineStr">
        <is>
          <t>not_checked</t>
        </is>
      </c>
      <c r="AB457" s="15" t="inlineStr">
        <is>
          <t>not_checked</t>
        </is>
      </c>
      <c r="AC457" s="15" t="inlineStr">
        <is>
          <t>not_checked</t>
        </is>
      </c>
      <c r="AD457" s="15" t="inlineStr">
        <is>
          <t>not_checked</t>
        </is>
      </c>
      <c r="AE457" s="15" t="inlineStr">
        <is>
          <t>not_checked</t>
        </is>
      </c>
      <c r="AF457" s="15" t="inlineStr">
        <is>
          <t>not_checked</t>
        </is>
      </c>
      <c r="AG457" s="15" t="inlineStr">
        <is>
          <t>not_checked</t>
        </is>
      </c>
      <c r="AH457" s="15" t="inlineStr">
        <is>
          <t>not_checked</t>
        </is>
      </c>
      <c r="AI457" s="15" t="inlineStr">
        <is>
          <t>n.a.</t>
        </is>
      </c>
      <c r="AJ457" s="15" t="inlineStr">
        <is>
          <t>n.a.</t>
        </is>
      </c>
      <c r="AK457" s="4" t="inlineStr">
        <is>
          <t>machine_metadata;soft404(warn);persistent_id(warn)</t>
        </is>
      </c>
      <c r="AL457" s="17" t="inlineStr">
        <is>
          <t>https://data.apps.fao.org/wapor/</t>
        </is>
      </c>
      <c r="AM457" s="4" t="inlineStr">
        <is>
          <t>global_fao_wapor</t>
        </is>
      </c>
    </row>
    <row r="458">
      <c r="A458" s="4" t="inlineStr">
        <is>
          <t>Water Quality Portal (WQP) - USGS NWIS, EPA WQX/STORET and 400+ agencies</t>
        </is>
      </c>
      <c r="B458" s="21" t="inlineStr">
        <is>
          <t>Browser needed</t>
        </is>
      </c>
      <c r="C458" s="4" t="n">
        <v>50</v>
      </c>
      <c r="D458" s="4" t="inlineStr">
        <is>
          <t>environment</t>
        </is>
      </c>
      <c r="E458" s="4" t="inlineStr">
        <is>
          <t>blocked</t>
        </is>
      </c>
      <c r="F458" s="4" t="inlineStr">
        <is>
          <t>not checked</t>
        </is>
      </c>
      <c r="G458" s="4" t="inlineStr">
        <is>
          <t>point</t>
        </is>
      </c>
      <c r="H458" s="4" t="inlineStr">
        <is>
          <t>Needs a count/distance step</t>
        </is>
      </c>
      <c r="I458" s="4" t="n">
        <v>3</v>
      </c>
      <c r="J458" s="4" t="inlineStr"/>
      <c r="K458" s="4" t="inlineStr">
        <is>
          <t>Curated</t>
        </is>
      </c>
      <c r="L458" s="4" t="inlineStr">
        <is>
          <t>current</t>
        </is>
      </c>
      <c r="M458" s="4" t="inlineStr">
        <is>
          <t>open</t>
        </is>
      </c>
      <c r="N458" s="4" t="inlineStr">
        <is>
          <t>2026-10-22</t>
        </is>
      </c>
      <c r="O458" s="16" t="inlineStr">
        <is>
          <t>warn</t>
        </is>
      </c>
      <c r="P458" s="15" t="inlineStr">
        <is>
          <t>not_checked</t>
        </is>
      </c>
      <c r="Q458" s="15" t="inlineStr">
        <is>
          <t>not_checked</t>
        </is>
      </c>
      <c r="R458" s="15" t="inlineStr">
        <is>
          <t>not_checked</t>
        </is>
      </c>
      <c r="S458" s="15" t="inlineStr">
        <is>
          <t>not_checked</t>
        </is>
      </c>
      <c r="T458" s="14" t="inlineStr">
        <is>
          <t>pass</t>
        </is>
      </c>
      <c r="U458" s="14" t="inlineStr">
        <is>
          <t>pass</t>
        </is>
      </c>
      <c r="V458" s="15" t="inlineStr">
        <is>
          <t>not_checked</t>
        </is>
      </c>
      <c r="W458" s="15" t="inlineStr">
        <is>
          <t>not_checked</t>
        </is>
      </c>
      <c r="X458" s="14" t="inlineStr">
        <is>
          <t>pass</t>
        </is>
      </c>
      <c r="Y458" s="15" t="inlineStr">
        <is>
          <t>not_checked</t>
        </is>
      </c>
      <c r="Z458" s="15" t="inlineStr">
        <is>
          <t>not_checked</t>
        </is>
      </c>
      <c r="AA458" s="15" t="inlineStr">
        <is>
          <t>not_checked</t>
        </is>
      </c>
      <c r="AB458" s="15" t="inlineStr">
        <is>
          <t>not_checked</t>
        </is>
      </c>
      <c r="AC458" s="15" t="inlineStr">
        <is>
          <t>not_checked</t>
        </is>
      </c>
      <c r="AD458" s="15" t="inlineStr">
        <is>
          <t>not_checked</t>
        </is>
      </c>
      <c r="AE458" s="15" t="inlineStr">
        <is>
          <t>not_checked</t>
        </is>
      </c>
      <c r="AF458" s="15" t="inlineStr">
        <is>
          <t>not_checked</t>
        </is>
      </c>
      <c r="AG458" s="15" t="inlineStr">
        <is>
          <t>not_checked</t>
        </is>
      </c>
      <c r="AH458" s="15" t="inlineStr">
        <is>
          <t>not_checked</t>
        </is>
      </c>
      <c r="AI458" s="15" t="inlineStr">
        <is>
          <t>n.a.</t>
        </is>
      </c>
      <c r="AJ458" s="15" t="inlineStr">
        <is>
          <t>n.a.</t>
        </is>
      </c>
      <c r="AK458" s="4" t="inlineStr">
        <is>
          <t>link_live(warn)</t>
        </is>
      </c>
      <c r="AL458" s="17" t="inlineStr">
        <is>
          <t>https://www.waterqualitydata.us/</t>
        </is>
      </c>
      <c r="AM458" s="4" t="inlineStr">
        <is>
          <t>us_wqp_water_quality_portal</t>
        </is>
      </c>
    </row>
    <row r="459">
      <c r="A459" s="4" t="inlineStr">
        <is>
          <t>World Atlas of Desertification (WAD) third edition and geoportal datasets (land degradation, SDG 15.3.1)</t>
        </is>
      </c>
      <c r="B459" s="21" t="inlineStr">
        <is>
          <t>Browser needed</t>
        </is>
      </c>
      <c r="C459" s="4" t="n">
        <v>50</v>
      </c>
      <c r="D459" s="4" t="inlineStr">
        <is>
          <t>environment</t>
        </is>
      </c>
      <c r="E459" s="4" t="inlineStr">
        <is>
          <t>blocked</t>
        </is>
      </c>
      <c r="F459" s="4" t="inlineStr">
        <is>
          <t>not checked</t>
        </is>
      </c>
      <c r="G459" s="4" t="inlineStr">
        <is>
          <t>grid_1km</t>
        </is>
      </c>
      <c r="H459" s="4" t="inlineStr">
        <is>
          <t>Needs raster support</t>
        </is>
      </c>
      <c r="I459" s="4" t="n">
        <v>3</v>
      </c>
      <c r="J459" s="4" t="inlineStr"/>
      <c r="K459" s="4" t="inlineStr">
        <is>
          <t>Curated</t>
        </is>
      </c>
      <c r="L459" s="4" t="n">
        <v>2019</v>
      </c>
      <c r="M459" s="4" t="inlineStr">
        <is>
          <t>open</t>
        </is>
      </c>
      <c r="N459" s="4" t="inlineStr">
        <is>
          <t>2026-10-22</t>
        </is>
      </c>
      <c r="O459" s="16" t="inlineStr">
        <is>
          <t>warn</t>
        </is>
      </c>
      <c r="P459" s="14" t="inlineStr">
        <is>
          <t>pass</t>
        </is>
      </c>
      <c r="Q459" s="14" t="inlineStr">
        <is>
          <t>pass</t>
        </is>
      </c>
      <c r="R459" s="15" t="inlineStr">
        <is>
          <t>not_checked</t>
        </is>
      </c>
      <c r="S459" s="15" t="inlineStr">
        <is>
          <t>not_checked</t>
        </is>
      </c>
      <c r="T459" s="16" t="inlineStr">
        <is>
          <t>warn</t>
        </is>
      </c>
      <c r="U459" s="15" t="inlineStr">
        <is>
          <t>n.a.</t>
        </is>
      </c>
      <c r="V459" s="15" t="inlineStr">
        <is>
          <t>not_checked</t>
        </is>
      </c>
      <c r="W459" s="15" t="inlineStr">
        <is>
          <t>not_checked</t>
        </is>
      </c>
      <c r="X459" s="14" t="inlineStr">
        <is>
          <t>pass</t>
        </is>
      </c>
      <c r="Y459" s="15" t="inlineStr">
        <is>
          <t>not_checked</t>
        </is>
      </c>
      <c r="Z459" s="15" t="inlineStr">
        <is>
          <t>not_checked</t>
        </is>
      </c>
      <c r="AA459" s="15" t="inlineStr">
        <is>
          <t>not_checked</t>
        </is>
      </c>
      <c r="AB459" s="15" t="inlineStr">
        <is>
          <t>not_checked</t>
        </is>
      </c>
      <c r="AC459" s="15" t="inlineStr">
        <is>
          <t>not_checked</t>
        </is>
      </c>
      <c r="AD459" s="15" t="inlineStr">
        <is>
          <t>not_checked</t>
        </is>
      </c>
      <c r="AE459" s="15" t="inlineStr">
        <is>
          <t>not_checked</t>
        </is>
      </c>
      <c r="AF459" s="15" t="inlineStr">
        <is>
          <t>not_checked</t>
        </is>
      </c>
      <c r="AG459" s="15" t="inlineStr">
        <is>
          <t>not_checked</t>
        </is>
      </c>
      <c r="AH459" s="15" t="inlineStr">
        <is>
          <t>not_checked</t>
        </is>
      </c>
      <c r="AI459" s="15" t="inlineStr">
        <is>
          <t>n.a.</t>
        </is>
      </c>
      <c r="AJ459" s="15" t="inlineStr">
        <is>
          <t>n.a.</t>
        </is>
      </c>
      <c r="AK459" s="4" t="inlineStr">
        <is>
          <t>link_live(warn);access_url(warn)</t>
        </is>
      </c>
      <c r="AL459" s="17" t="inlineStr">
        <is>
          <t>https://wad.jrc.ec.europa.eu/</t>
        </is>
      </c>
      <c r="AM459" s="4" t="inlineStr">
        <is>
          <t>global_jrc_world_atlas_desertification</t>
        </is>
      </c>
    </row>
    <row r="460">
      <c r="A460" s="4" t="inlineStr">
        <is>
          <t>COX'S Bazar District - Teknaf and Ukhia Upazila Para and Ward Locations</t>
        </is>
      </c>
      <c r="B460" s="21" t="inlineStr">
        <is>
          <t>Browser needed</t>
        </is>
      </c>
      <c r="C460" s="4" t="n">
        <v>50</v>
      </c>
      <c r="D460" s="4" t="inlineStr">
        <is>
          <t>food_access</t>
        </is>
      </c>
      <c r="E460" s="4" t="inlineStr">
        <is>
          <t>blocked</t>
        </is>
      </c>
      <c r="F460" s="4" t="inlineStr">
        <is>
          <t>not checked</t>
        </is>
      </c>
      <c r="G460" s="4" t="inlineStr">
        <is>
          <t>admin2</t>
        </is>
      </c>
      <c r="H460" s="4" t="inlineStr">
        <is>
          <t>Joins today</t>
        </is>
      </c>
      <c r="I460" s="4" t="n">
        <v>3</v>
      </c>
      <c r="J460" s="4" t="inlineStr"/>
      <c r="K460" s="4" t="inlineStr">
        <is>
          <t>Catalog lead</t>
        </is>
      </c>
      <c r="L460" s="4" t="n">
        <v>2019</v>
      </c>
      <c r="M460" s="4" t="inlineStr">
        <is>
          <t>open</t>
        </is>
      </c>
      <c r="N460" s="4" t="inlineStr">
        <is>
          <t>2026-10-22</t>
        </is>
      </c>
      <c r="O460" s="16" t="inlineStr">
        <is>
          <t>warn</t>
        </is>
      </c>
      <c r="P460" s="14" t="inlineStr">
        <is>
          <t>pass</t>
        </is>
      </c>
      <c r="Q460" s="14" t="inlineStr">
        <is>
          <t>pass</t>
        </is>
      </c>
      <c r="R460" s="15" t="inlineStr">
        <is>
          <t>not_checked</t>
        </is>
      </c>
      <c r="S460" s="15" t="inlineStr">
        <is>
          <t>not_checked</t>
        </is>
      </c>
      <c r="T460" s="14" t="inlineStr">
        <is>
          <t>pass</t>
        </is>
      </c>
      <c r="U460" s="14" t="inlineStr">
        <is>
          <t>pass</t>
        </is>
      </c>
      <c r="V460" s="15" t="inlineStr">
        <is>
          <t>not_checked</t>
        </is>
      </c>
      <c r="W460" s="15" t="inlineStr">
        <is>
          <t>not_checked</t>
        </is>
      </c>
      <c r="X460" s="16" t="inlineStr">
        <is>
          <t>warn</t>
        </is>
      </c>
      <c r="Y460" s="15" t="inlineStr">
        <is>
          <t>not_checked</t>
        </is>
      </c>
      <c r="Z460" s="15" t="inlineStr">
        <is>
          <t>not_checked</t>
        </is>
      </c>
      <c r="AA460" s="15" t="inlineStr">
        <is>
          <t>not_checked</t>
        </is>
      </c>
      <c r="AB460" s="15" t="inlineStr">
        <is>
          <t>not_checked</t>
        </is>
      </c>
      <c r="AC460" s="15" t="inlineStr">
        <is>
          <t>not_checked</t>
        </is>
      </c>
      <c r="AD460" s="15" t="inlineStr">
        <is>
          <t>not_checked</t>
        </is>
      </c>
      <c r="AE460" s="15" t="inlineStr">
        <is>
          <t>not_checked</t>
        </is>
      </c>
      <c r="AF460" s="15" t="inlineStr">
        <is>
          <t>not_checked</t>
        </is>
      </c>
      <c r="AG460" s="15" t="inlineStr">
        <is>
          <t>not_checked</t>
        </is>
      </c>
      <c r="AH460" s="15" t="inlineStr">
        <is>
          <t>not_checked</t>
        </is>
      </c>
      <c r="AI460" s="15" t="inlineStr">
        <is>
          <t>n.a.</t>
        </is>
      </c>
      <c r="AJ460" s="15" t="inlineStr">
        <is>
          <t>n.a.</t>
        </is>
      </c>
      <c r="AK460" s="4" t="inlineStr">
        <is>
          <t>link_live(warn);archived(warn)</t>
        </is>
      </c>
      <c r="AL460" s="17" t="inlineStr">
        <is>
          <t>https://data.humdata.org/dataset/cox-s-bazar-district-teknaf-and-ukhia-upazila-para-and-ward-locations</t>
        </is>
      </c>
      <c r="AM460" s="4" t="inlineStr">
        <is>
          <t>hdx_cox_s_bazar_district_teknaf_and_ukhia_upazila_para_and</t>
        </is>
      </c>
    </row>
    <row r="461">
      <c r="A461" s="4" t="inlineStr">
        <is>
          <t>Ethiopia - Market Centers</t>
        </is>
      </c>
      <c r="B461" s="21" t="inlineStr">
        <is>
          <t>Browser needed</t>
        </is>
      </c>
      <c r="C461" s="4" t="n">
        <v>50</v>
      </c>
      <c r="D461" s="4" t="inlineStr">
        <is>
          <t>food_access</t>
        </is>
      </c>
      <c r="E461" s="4" t="inlineStr">
        <is>
          <t>blocked</t>
        </is>
      </c>
      <c r="F461" s="4" t="inlineStr">
        <is>
          <t>not checked</t>
        </is>
      </c>
      <c r="G461" s="4" t="inlineStr">
        <is>
          <t>point</t>
        </is>
      </c>
      <c r="H461" s="4" t="inlineStr">
        <is>
          <t>Needs a count/distance step</t>
        </is>
      </c>
      <c r="I461" s="4" t="n">
        <v>3</v>
      </c>
      <c r="J461" s="4" t="inlineStr"/>
      <c r="K461" s="4" t="inlineStr">
        <is>
          <t>Catalog lead</t>
        </is>
      </c>
      <c r="L461" s="4" t="n">
        <v>2025</v>
      </c>
      <c r="M461" s="4" t="inlineStr">
        <is>
          <t>open</t>
        </is>
      </c>
      <c r="N461" s="4" t="inlineStr">
        <is>
          <t>2026-10-22</t>
        </is>
      </c>
      <c r="O461" s="16" t="inlineStr">
        <is>
          <t>warn</t>
        </is>
      </c>
      <c r="P461" s="14" t="inlineStr">
        <is>
          <t>pass</t>
        </is>
      </c>
      <c r="Q461" s="14" t="inlineStr">
        <is>
          <t>pass</t>
        </is>
      </c>
      <c r="R461" s="15" t="inlineStr">
        <is>
          <t>not_checked</t>
        </is>
      </c>
      <c r="S461" s="15" t="inlineStr">
        <is>
          <t>not_checked</t>
        </is>
      </c>
      <c r="T461" s="14" t="inlineStr">
        <is>
          <t>pass</t>
        </is>
      </c>
      <c r="U461" s="14" t="inlineStr">
        <is>
          <t>pass</t>
        </is>
      </c>
      <c r="V461" s="15" t="inlineStr">
        <is>
          <t>not_checked</t>
        </is>
      </c>
      <c r="W461" s="15" t="inlineStr">
        <is>
          <t>not_checked</t>
        </is>
      </c>
      <c r="X461" s="14" t="inlineStr">
        <is>
          <t>pass</t>
        </is>
      </c>
      <c r="Y461" s="15" t="inlineStr">
        <is>
          <t>not_checked</t>
        </is>
      </c>
      <c r="Z461" s="15" t="inlineStr">
        <is>
          <t>not_checked</t>
        </is>
      </c>
      <c r="AA461" s="15" t="inlineStr">
        <is>
          <t>not_checked</t>
        </is>
      </c>
      <c r="AB461" s="15" t="inlineStr">
        <is>
          <t>not_checked</t>
        </is>
      </c>
      <c r="AC461" s="15" t="inlineStr">
        <is>
          <t>not_checked</t>
        </is>
      </c>
      <c r="AD461" s="15" t="inlineStr">
        <is>
          <t>not_checked</t>
        </is>
      </c>
      <c r="AE461" s="15" t="inlineStr">
        <is>
          <t>not_checked</t>
        </is>
      </c>
      <c r="AF461" s="15" t="inlineStr">
        <is>
          <t>not_checked</t>
        </is>
      </c>
      <c r="AG461" s="15" t="inlineStr">
        <is>
          <t>not_checked</t>
        </is>
      </c>
      <c r="AH461" s="15" t="inlineStr">
        <is>
          <t>not_checked</t>
        </is>
      </c>
      <c r="AI461" s="15" t="inlineStr">
        <is>
          <t>n.a.</t>
        </is>
      </c>
      <c r="AJ461" s="15" t="inlineStr">
        <is>
          <t>n.a.</t>
        </is>
      </c>
      <c r="AK461" s="4" t="inlineStr">
        <is>
          <t>link_live(warn)</t>
        </is>
      </c>
      <c r="AL461" s="17" t="inlineStr">
        <is>
          <t>https://data.humdata.org/dataset/ethiopia-market-centers</t>
        </is>
      </c>
      <c r="AM461" s="4" t="inlineStr">
        <is>
          <t>hdx_ethiopia_market_centers</t>
        </is>
      </c>
    </row>
    <row r="462">
      <c r="A462" s="4" t="inlineStr">
        <is>
          <t>FAOSTAT</t>
        </is>
      </c>
      <c r="B462" s="21" t="inlineStr">
        <is>
          <t>Browser needed</t>
        </is>
      </c>
      <c r="C462" s="4" t="n">
        <v>89</v>
      </c>
      <c r="D462" s="4" t="inlineStr">
        <is>
          <t>food_access</t>
        </is>
      </c>
      <c r="E462" s="4" t="inlineStr">
        <is>
          <t>blocked</t>
        </is>
      </c>
      <c r="F462" s="4" t="inlineStr">
        <is>
          <t>unknown</t>
        </is>
      </c>
      <c r="G462" s="4" t="inlineStr">
        <is>
          <t>country</t>
        </is>
      </c>
      <c r="H462" s="4" t="inlineStr">
        <is>
          <t>Not linkable as listed</t>
        </is>
      </c>
      <c r="I462" s="4" t="n">
        <v>3</v>
      </c>
      <c r="J462" s="4" t="inlineStr"/>
      <c r="K462" s="4" t="inlineStr">
        <is>
          <t>Curated</t>
        </is>
      </c>
      <c r="L462" s="4" t="inlineStr">
        <is>
          <t>current</t>
        </is>
      </c>
      <c r="M462" s="4" t="inlineStr">
        <is>
          <t>open</t>
        </is>
      </c>
      <c r="N462" s="4" t="inlineStr">
        <is>
          <t>2026-10-28</t>
        </is>
      </c>
      <c r="O462" s="14" t="inlineStr">
        <is>
          <t>pass</t>
        </is>
      </c>
      <c r="P462" s="14" t="inlineStr">
        <is>
          <t>pass</t>
        </is>
      </c>
      <c r="Q462" s="14" t="inlineStr">
        <is>
          <t>pass</t>
        </is>
      </c>
      <c r="R462" s="14" t="inlineStr">
        <is>
          <t>pass</t>
        </is>
      </c>
      <c r="S462" s="14" t="inlineStr">
        <is>
          <t>pass</t>
        </is>
      </c>
      <c r="T462" s="16" t="inlineStr">
        <is>
          <t>warn</t>
        </is>
      </c>
      <c r="U462" s="15" t="inlineStr">
        <is>
          <t>n.a.</t>
        </is>
      </c>
      <c r="V462" s="18" t="inlineStr">
        <is>
          <t>fail</t>
        </is>
      </c>
      <c r="W462" s="16" t="inlineStr">
        <is>
          <t>warn</t>
        </is>
      </c>
      <c r="X462" s="14" t="inlineStr">
        <is>
          <t>pass</t>
        </is>
      </c>
      <c r="Y462" s="15" t="inlineStr">
        <is>
          <t>not_checked</t>
        </is>
      </c>
      <c r="Z462" s="15" t="inlineStr">
        <is>
          <t>not_checked</t>
        </is>
      </c>
      <c r="AA462" s="15" t="inlineStr">
        <is>
          <t>not_checked</t>
        </is>
      </c>
      <c r="AB462" s="15" t="inlineStr">
        <is>
          <t>not_checked</t>
        </is>
      </c>
      <c r="AC462" s="15" t="inlineStr">
        <is>
          <t>not_checked</t>
        </is>
      </c>
      <c r="AD462" s="15" t="inlineStr">
        <is>
          <t>not_checked</t>
        </is>
      </c>
      <c r="AE462" s="15" t="inlineStr">
        <is>
          <t>not_checked</t>
        </is>
      </c>
      <c r="AF462" s="15" t="inlineStr">
        <is>
          <t>not_checked</t>
        </is>
      </c>
      <c r="AG462" s="15" t="inlineStr">
        <is>
          <t>not_checked</t>
        </is>
      </c>
      <c r="AH462" s="15" t="inlineStr">
        <is>
          <t>not_checked</t>
        </is>
      </c>
      <c r="AI462" s="15" t="inlineStr">
        <is>
          <t>n.a.</t>
        </is>
      </c>
      <c r="AJ462" s="15" t="inlineStr">
        <is>
          <t>n.a.</t>
        </is>
      </c>
      <c r="AK462" s="4" t="inlineStr">
        <is>
          <t>machine_metadata;access_url(warn);persistent_id(warn)</t>
        </is>
      </c>
      <c r="AL462" s="17" t="inlineStr">
        <is>
          <t>https://www.fao.org/faostat/en/</t>
        </is>
      </c>
      <c r="AM462" s="4" t="inlineStr">
        <is>
          <t>global_fao_faostat</t>
        </is>
      </c>
    </row>
    <row r="463">
      <c r="A463" s="4" t="inlineStr">
        <is>
          <t>Food Market Locations</t>
        </is>
      </c>
      <c r="B463" s="21" t="inlineStr">
        <is>
          <t>Browser needed</t>
        </is>
      </c>
      <c r="C463" s="4" t="n">
        <v>50</v>
      </c>
      <c r="D463" s="4" t="inlineStr">
        <is>
          <t>food_access</t>
        </is>
      </c>
      <c r="E463" s="4" t="inlineStr">
        <is>
          <t>blocked</t>
        </is>
      </c>
      <c r="F463" s="4" t="inlineStr">
        <is>
          <t>not checked</t>
        </is>
      </c>
      <c r="G463" s="4" t="inlineStr">
        <is>
          <t>point</t>
        </is>
      </c>
      <c r="H463" s="4" t="inlineStr">
        <is>
          <t>Needs a count/distance step</t>
        </is>
      </c>
      <c r="I463" s="4" t="n">
        <v>3</v>
      </c>
      <c r="J463" s="4" t="inlineStr"/>
      <c r="K463" s="4" t="inlineStr">
        <is>
          <t>Catalog lead</t>
        </is>
      </c>
      <c r="L463" s="4" t="n">
        <v>2026</v>
      </c>
      <c r="M463" s="4" t="inlineStr">
        <is>
          <t>open</t>
        </is>
      </c>
      <c r="N463" s="4" t="inlineStr">
        <is>
          <t>2026-10-22</t>
        </is>
      </c>
      <c r="O463" s="16" t="inlineStr">
        <is>
          <t>warn</t>
        </is>
      </c>
      <c r="P463" s="14" t="inlineStr">
        <is>
          <t>pass</t>
        </is>
      </c>
      <c r="Q463" s="14" t="inlineStr">
        <is>
          <t>pass</t>
        </is>
      </c>
      <c r="R463" s="15" t="inlineStr">
        <is>
          <t>not_checked</t>
        </is>
      </c>
      <c r="S463" s="15" t="inlineStr">
        <is>
          <t>not_checked</t>
        </is>
      </c>
      <c r="T463" s="14" t="inlineStr">
        <is>
          <t>pass</t>
        </is>
      </c>
      <c r="U463" s="14" t="inlineStr">
        <is>
          <t>pass</t>
        </is>
      </c>
      <c r="V463" s="15" t="inlineStr">
        <is>
          <t>not_checked</t>
        </is>
      </c>
      <c r="W463" s="15" t="inlineStr">
        <is>
          <t>not_checked</t>
        </is>
      </c>
      <c r="X463" s="18" t="inlineStr">
        <is>
          <t>fail</t>
        </is>
      </c>
      <c r="Y463" s="15" t="inlineStr">
        <is>
          <t>not_checked</t>
        </is>
      </c>
      <c r="Z463" s="15" t="inlineStr">
        <is>
          <t>not_checked</t>
        </is>
      </c>
      <c r="AA463" s="15" t="inlineStr">
        <is>
          <t>not_checked</t>
        </is>
      </c>
      <c r="AB463" s="15" t="inlineStr">
        <is>
          <t>not_checked</t>
        </is>
      </c>
      <c r="AC463" s="15" t="inlineStr">
        <is>
          <t>not_checked</t>
        </is>
      </c>
      <c r="AD463" s="15" t="inlineStr">
        <is>
          <t>not_checked</t>
        </is>
      </c>
      <c r="AE463" s="15" t="inlineStr">
        <is>
          <t>not_checked</t>
        </is>
      </c>
      <c r="AF463" s="15" t="inlineStr">
        <is>
          <t>not_checked</t>
        </is>
      </c>
      <c r="AG463" s="15" t="inlineStr">
        <is>
          <t>not_checked</t>
        </is>
      </c>
      <c r="AH463" s="15" t="inlineStr">
        <is>
          <t>not_checked</t>
        </is>
      </c>
      <c r="AI463" s="15" t="inlineStr">
        <is>
          <t>n.a.</t>
        </is>
      </c>
      <c r="AJ463" s="15" t="inlineStr">
        <is>
          <t>n.a.</t>
        </is>
      </c>
      <c r="AK463" s="4" t="inlineStr">
        <is>
          <t>archived;link_live(warn)</t>
        </is>
      </c>
      <c r="AL463" s="17" t="inlineStr">
        <is>
          <t>https://data.humdata.org/dataset/food-market-locations</t>
        </is>
      </c>
      <c r="AM463" s="4" t="inlineStr">
        <is>
          <t>hdx_food_market_locations</t>
        </is>
      </c>
    </row>
    <row r="464">
      <c r="A464" s="4" t="inlineStr">
        <is>
          <t>HungerMap LIVE</t>
        </is>
      </c>
      <c r="B464" s="21" t="inlineStr">
        <is>
          <t>Browser needed</t>
        </is>
      </c>
      <c r="C464" s="4" t="n">
        <v>94</v>
      </c>
      <c r="D464" s="4" t="inlineStr">
        <is>
          <t>food_access</t>
        </is>
      </c>
      <c r="E464" s="4" t="inlineStr">
        <is>
          <t>blocked</t>
        </is>
      </c>
      <c r="F464" s="4" t="inlineStr">
        <is>
          <t>unknown</t>
        </is>
      </c>
      <c r="G464" s="4" t="inlineStr">
        <is>
          <t>country</t>
        </is>
      </c>
      <c r="H464" s="4" t="inlineStr">
        <is>
          <t>Not linkable as listed</t>
        </is>
      </c>
      <c r="I464" s="4" t="n">
        <v>3</v>
      </c>
      <c r="J464" s="4" t="inlineStr"/>
      <c r="K464" s="4" t="inlineStr">
        <is>
          <t>Curated</t>
        </is>
      </c>
      <c r="L464" s="4" t="inlineStr">
        <is>
          <t>current</t>
        </is>
      </c>
      <c r="M464" s="4" t="inlineStr">
        <is>
          <t>open</t>
        </is>
      </c>
      <c r="N464" s="4" t="inlineStr">
        <is>
          <t>2026-10-28</t>
        </is>
      </c>
      <c r="O464" s="14" t="inlineStr">
        <is>
          <t>pass</t>
        </is>
      </c>
      <c r="P464" s="14" t="inlineStr">
        <is>
          <t>pass</t>
        </is>
      </c>
      <c r="Q464" s="14" t="inlineStr">
        <is>
          <t>pass</t>
        </is>
      </c>
      <c r="R464" s="14" t="inlineStr">
        <is>
          <t>pass</t>
        </is>
      </c>
      <c r="S464" s="14" t="inlineStr">
        <is>
          <t>pass</t>
        </is>
      </c>
      <c r="T464" s="15" t="inlineStr">
        <is>
          <t>n.a.</t>
        </is>
      </c>
      <c r="U464" s="15" t="inlineStr">
        <is>
          <t>n.a.</t>
        </is>
      </c>
      <c r="V464" s="16" t="inlineStr">
        <is>
          <t>warn</t>
        </is>
      </c>
      <c r="W464" s="16" t="inlineStr">
        <is>
          <t>warn</t>
        </is>
      </c>
      <c r="X464" s="14" t="inlineStr">
        <is>
          <t>pass</t>
        </is>
      </c>
      <c r="Y464" s="15" t="inlineStr">
        <is>
          <t>not_checked</t>
        </is>
      </c>
      <c r="Z464" s="15" t="inlineStr">
        <is>
          <t>not_checked</t>
        </is>
      </c>
      <c r="AA464" s="15" t="inlineStr">
        <is>
          <t>not_checked</t>
        </is>
      </c>
      <c r="AB464" s="15" t="inlineStr">
        <is>
          <t>not_checked</t>
        </is>
      </c>
      <c r="AC464" s="15" t="inlineStr">
        <is>
          <t>not_checked</t>
        </is>
      </c>
      <c r="AD464" s="15" t="inlineStr">
        <is>
          <t>not_checked</t>
        </is>
      </c>
      <c r="AE464" s="15" t="inlineStr">
        <is>
          <t>not_checked</t>
        </is>
      </c>
      <c r="AF464" s="15" t="inlineStr">
        <is>
          <t>not_checked</t>
        </is>
      </c>
      <c r="AG464" s="15" t="inlineStr">
        <is>
          <t>not_checked</t>
        </is>
      </c>
      <c r="AH464" s="15" t="inlineStr">
        <is>
          <t>not_checked</t>
        </is>
      </c>
      <c r="AI464" s="15" t="inlineStr">
        <is>
          <t>n.a.</t>
        </is>
      </c>
      <c r="AJ464" s="15" t="inlineStr">
        <is>
          <t>n.a.</t>
        </is>
      </c>
      <c r="AK464" s="4" t="inlineStr">
        <is>
          <t>machine_metadata(warn);persistent_id(warn)</t>
        </is>
      </c>
      <c r="AL464" s="17" t="inlineStr">
        <is>
          <t>https://hungermap.wfp.org/</t>
        </is>
      </c>
      <c r="AM464" s="4" t="inlineStr">
        <is>
          <t>global_wfp_hungermap_live</t>
        </is>
      </c>
    </row>
    <row r="465">
      <c r="A465" s="4" t="inlineStr">
        <is>
          <t>Miami-Dade Community Health Centers</t>
        </is>
      </c>
      <c r="B465" s="18" t="inlineStr">
        <is>
          <t>Failed</t>
        </is>
      </c>
      <c r="C465" s="4" t="n">
        <v>86</v>
      </c>
      <c r="D465" s="4" t="inlineStr">
        <is>
          <t>food_access</t>
        </is>
      </c>
      <c r="E465" s="4" t="inlineStr">
        <is>
          <t>blocked</t>
        </is>
      </c>
      <c r="F465" s="4" t="inlineStr">
        <is>
          <t>unknown</t>
        </is>
      </c>
      <c r="G465" s="4" t="inlineStr">
        <is>
          <t>unknown</t>
        </is>
      </c>
      <c r="H465" s="4" t="inlineStr">
        <is>
          <t>Unknown</t>
        </is>
      </c>
      <c r="I465" s="4" t="n">
        <v>3</v>
      </c>
      <c r="J465" s="4" t="inlineStr">
        <is>
          <t>mdc_community_health_centers</t>
        </is>
      </c>
      <c r="K465" s="4" t="inlineStr">
        <is>
          <t>Curated</t>
        </is>
      </c>
      <c r="L465" s="4" t="inlineStr"/>
      <c r="M465" s="4" t="inlineStr">
        <is>
          <t>unknown</t>
        </is>
      </c>
      <c r="N465" s="4" t="inlineStr">
        <is>
          <t>2026-10-29</t>
        </is>
      </c>
      <c r="O465" s="14" t="inlineStr">
        <is>
          <t>pass</t>
        </is>
      </c>
      <c r="P465" s="14" t="inlineStr">
        <is>
          <t>pass</t>
        </is>
      </c>
      <c r="Q465" s="14" t="inlineStr">
        <is>
          <t>pass</t>
        </is>
      </c>
      <c r="R465" s="16" t="inlineStr">
        <is>
          <t>warn</t>
        </is>
      </c>
      <c r="S465" s="15" t="inlineStr">
        <is>
          <t>not_checked</t>
        </is>
      </c>
      <c r="T465" s="15" t="inlineStr">
        <is>
          <t>n.a.</t>
        </is>
      </c>
      <c r="U465" s="15" t="inlineStr">
        <is>
          <t>n.a.</t>
        </is>
      </c>
      <c r="V465" s="14" t="inlineStr">
        <is>
          <t>pass</t>
        </is>
      </c>
      <c r="W465" s="16" t="inlineStr">
        <is>
          <t>warn</t>
        </is>
      </c>
      <c r="X465" s="14" t="inlineStr">
        <is>
          <t>pass</t>
        </is>
      </c>
      <c r="Y465" s="15" t="inlineStr">
        <is>
          <t>not_checked</t>
        </is>
      </c>
      <c r="Z465" s="15" t="inlineStr">
        <is>
          <t>not_checked</t>
        </is>
      </c>
      <c r="AA465" s="15" t="inlineStr">
        <is>
          <t>not_checked</t>
        </is>
      </c>
      <c r="AB465" s="15" t="inlineStr">
        <is>
          <t>not_checked</t>
        </is>
      </c>
      <c r="AC465" s="15" t="inlineStr">
        <is>
          <t>not_checked</t>
        </is>
      </c>
      <c r="AD465" s="15" t="inlineStr">
        <is>
          <t>not_checked</t>
        </is>
      </c>
      <c r="AE465" s="15" t="inlineStr">
        <is>
          <t>not_checked</t>
        </is>
      </c>
      <c r="AF465" s="15" t="inlineStr">
        <is>
          <t>not_checked</t>
        </is>
      </c>
      <c r="AG465" s="15" t="inlineStr">
        <is>
          <t>not_checked</t>
        </is>
      </c>
      <c r="AH465" s="15" t="inlineStr">
        <is>
          <t>not_checked</t>
        </is>
      </c>
      <c r="AI465" s="14" t="inlineStr">
        <is>
          <t>pass</t>
        </is>
      </c>
      <c r="AJ465" s="15" t="inlineStr">
        <is>
          <t>not_checked</t>
        </is>
      </c>
      <c r="AK465" s="4" t="inlineStr">
        <is>
          <t>soft404(warn);persistent_id(warn)</t>
        </is>
      </c>
      <c r="AL465" s="17" t="inlineStr">
        <is>
          <t>https://gis-mdc.opendata.arcgis.com/datasets/MDC::commercial-property/about</t>
        </is>
      </c>
      <c r="AM465" s="4" t="inlineStr">
        <is>
          <t>us_mdc_community_health_centers</t>
        </is>
      </c>
    </row>
    <row r="466">
      <c r="A466" s="4" t="inlineStr">
        <is>
          <t>Miami-Dade Federally Qualified Health Centers</t>
        </is>
      </c>
      <c r="B466" s="20" t="inlineStr">
        <is>
          <t>Bronze</t>
        </is>
      </c>
      <c r="C466" s="4" t="n">
        <v>100</v>
      </c>
      <c r="D466" s="4" t="inlineStr">
        <is>
          <t>food_access</t>
        </is>
      </c>
      <c r="E466" s="4" t="inlineStr">
        <is>
          <t>blocked</t>
        </is>
      </c>
      <c r="F466" s="4" t="inlineStr">
        <is>
          <t>unknown</t>
        </is>
      </c>
      <c r="G466" s="4" t="inlineStr">
        <is>
          <t>points</t>
        </is>
      </c>
      <c r="H466" s="4" t="inlineStr">
        <is>
          <t>Unknown</t>
        </is>
      </c>
      <c r="I466" s="4" t="n">
        <v>3</v>
      </c>
      <c r="J466" s="4" t="inlineStr">
        <is>
          <t>mdc_federally_qualified_health_centers</t>
        </is>
      </c>
      <c r="K466" s="4" t="inlineStr">
        <is>
          <t>Curated</t>
        </is>
      </c>
      <c r="L466" s="4" t="inlineStr"/>
      <c r="M466" s="4" t="inlineStr">
        <is>
          <t>unknown</t>
        </is>
      </c>
      <c r="N466" s="4" t="inlineStr">
        <is>
          <t>2026-10-29</t>
        </is>
      </c>
      <c r="O466" s="14" t="inlineStr">
        <is>
          <t>pass</t>
        </is>
      </c>
      <c r="P466" s="14" t="inlineStr">
        <is>
          <t>pass</t>
        </is>
      </c>
      <c r="Q466" s="14" t="inlineStr">
        <is>
          <t>pass</t>
        </is>
      </c>
      <c r="R466" s="14" t="inlineStr">
        <is>
          <t>pass</t>
        </is>
      </c>
      <c r="S466" s="14" t="inlineStr">
        <is>
          <t>pass</t>
        </is>
      </c>
      <c r="T466" s="15" t="inlineStr">
        <is>
          <t>n.a.</t>
        </is>
      </c>
      <c r="U466" s="15" t="inlineStr">
        <is>
          <t>n.a.</t>
        </is>
      </c>
      <c r="V466" s="14" t="inlineStr">
        <is>
          <t>pass</t>
        </is>
      </c>
      <c r="W466" s="16" t="inlineStr">
        <is>
          <t>warn</t>
        </is>
      </c>
      <c r="X466" s="14" t="inlineStr">
        <is>
          <t>pass</t>
        </is>
      </c>
      <c r="Y466" s="15" t="inlineStr">
        <is>
          <t>not_checked</t>
        </is>
      </c>
      <c r="Z466" s="15" t="inlineStr">
        <is>
          <t>not_checked</t>
        </is>
      </c>
      <c r="AA466" s="15" t="inlineStr">
        <is>
          <t>not_checked</t>
        </is>
      </c>
      <c r="AB466" s="15" t="inlineStr">
        <is>
          <t>not_checked</t>
        </is>
      </c>
      <c r="AC466" s="15" t="inlineStr">
        <is>
          <t>not_checked</t>
        </is>
      </c>
      <c r="AD466" s="15" t="inlineStr">
        <is>
          <t>not_checked</t>
        </is>
      </c>
      <c r="AE466" s="15" t="inlineStr">
        <is>
          <t>not_checked</t>
        </is>
      </c>
      <c r="AF466" s="15" t="inlineStr">
        <is>
          <t>not_checked</t>
        </is>
      </c>
      <c r="AG466" s="15" t="inlineStr">
        <is>
          <t>not_checked</t>
        </is>
      </c>
      <c r="AH466" s="15" t="inlineStr">
        <is>
          <t>not_checked</t>
        </is>
      </c>
      <c r="AI466" s="14" t="inlineStr">
        <is>
          <t>pass</t>
        </is>
      </c>
      <c r="AJ466" s="15" t="inlineStr">
        <is>
          <t>not_checked</t>
        </is>
      </c>
      <c r="AK466" s="4" t="inlineStr">
        <is>
          <t>persistent_id(warn)</t>
        </is>
      </c>
      <c r="AL466" s="17" t="inlineStr">
        <is>
          <t>https://gis-mdc.opendata.arcgis.com/datasets/MDC::federally-qualified-health-center/about</t>
        </is>
      </c>
      <c r="AM466" s="4" t="inlineStr">
        <is>
          <t>us_mdc_federally_qualified_health_centers</t>
        </is>
      </c>
    </row>
    <row r="467">
      <c r="A467" s="4" t="inlineStr">
        <is>
          <t>Miami-Dade Hospitals</t>
        </is>
      </c>
      <c r="B467" s="19" t="inlineStr">
        <is>
          <t>Silver</t>
        </is>
      </c>
      <c r="C467" s="4" t="n">
        <v>86</v>
      </c>
      <c r="D467" s="4" t="inlineStr">
        <is>
          <t>food_access</t>
        </is>
      </c>
      <c r="E467" s="4" t="inlineStr">
        <is>
          <t>blocked</t>
        </is>
      </c>
      <c r="F467" s="4" t="inlineStr">
        <is>
          <t>unknown</t>
        </is>
      </c>
      <c r="G467" s="4" t="inlineStr">
        <is>
          <t>points, 28 records</t>
        </is>
      </c>
      <c r="H467" s="4" t="inlineStr">
        <is>
          <t>Unknown</t>
        </is>
      </c>
      <c r="I467" s="4" t="n">
        <v>3</v>
      </c>
      <c r="J467" s="4" t="inlineStr">
        <is>
          <t>mdc_hospitals</t>
        </is>
      </c>
      <c r="K467" s="4" t="inlineStr">
        <is>
          <t>Curated</t>
        </is>
      </c>
      <c r="L467" s="4" t="inlineStr"/>
      <c r="M467" s="4" t="inlineStr">
        <is>
          <t>unknown</t>
        </is>
      </c>
      <c r="N467" s="4" t="inlineStr">
        <is>
          <t>2026-10-29</t>
        </is>
      </c>
      <c r="O467" s="14" t="inlineStr">
        <is>
          <t>pass</t>
        </is>
      </c>
      <c r="P467" s="14" t="inlineStr">
        <is>
          <t>pass</t>
        </is>
      </c>
      <c r="Q467" s="14" t="inlineStr">
        <is>
          <t>pass</t>
        </is>
      </c>
      <c r="R467" s="16" t="inlineStr">
        <is>
          <t>warn</t>
        </is>
      </c>
      <c r="S467" s="15" t="inlineStr">
        <is>
          <t>not_checked</t>
        </is>
      </c>
      <c r="T467" s="15" t="inlineStr">
        <is>
          <t>n.a.</t>
        </is>
      </c>
      <c r="U467" s="15" t="inlineStr">
        <is>
          <t>n.a.</t>
        </is>
      </c>
      <c r="V467" s="14" t="inlineStr">
        <is>
          <t>pass</t>
        </is>
      </c>
      <c r="W467" s="16" t="inlineStr">
        <is>
          <t>warn</t>
        </is>
      </c>
      <c r="X467" s="14" t="inlineStr">
        <is>
          <t>pass</t>
        </is>
      </c>
      <c r="Y467" s="15" t="inlineStr">
        <is>
          <t>not_checked</t>
        </is>
      </c>
      <c r="Z467" s="15" t="inlineStr">
        <is>
          <t>not_checked</t>
        </is>
      </c>
      <c r="AA467" s="15" t="inlineStr">
        <is>
          <t>not_checked</t>
        </is>
      </c>
      <c r="AB467" s="15" t="inlineStr">
        <is>
          <t>not_checked</t>
        </is>
      </c>
      <c r="AC467" s="15" t="inlineStr">
        <is>
          <t>not_checked</t>
        </is>
      </c>
      <c r="AD467" s="15" t="inlineStr">
        <is>
          <t>not_checked</t>
        </is>
      </c>
      <c r="AE467" s="15" t="inlineStr">
        <is>
          <t>not_checked</t>
        </is>
      </c>
      <c r="AF467" s="15" t="inlineStr">
        <is>
          <t>not_checked</t>
        </is>
      </c>
      <c r="AG467" s="15" t="inlineStr">
        <is>
          <t>not_checked</t>
        </is>
      </c>
      <c r="AH467" s="15" t="inlineStr">
        <is>
          <t>not_checked</t>
        </is>
      </c>
      <c r="AI467" s="14" t="inlineStr">
        <is>
          <t>pass</t>
        </is>
      </c>
      <c r="AJ467" s="15" t="inlineStr">
        <is>
          <t>not_checked</t>
        </is>
      </c>
      <c r="AK467" s="4" t="inlineStr">
        <is>
          <t>soft404(warn);persistent_id(warn)</t>
        </is>
      </c>
      <c r="AL467" s="17" t="inlineStr">
        <is>
          <t>https://gis-mdc.opendata.arcgis.com/datasets/MDC::hospital/about</t>
        </is>
      </c>
      <c r="AM467" s="4" t="inlineStr">
        <is>
          <t>us_mdc_hospitals</t>
        </is>
      </c>
    </row>
    <row r="468">
      <c r="A468" s="4" t="inlineStr">
        <is>
          <t>NaNDA: Grocery Stores by Census Tract and ZCTA</t>
        </is>
      </c>
      <c r="B468" s="21" t="inlineStr">
        <is>
          <t>Browser needed</t>
        </is>
      </c>
      <c r="C468" s="4" t="n">
        <v>50</v>
      </c>
      <c r="D468" s="4" t="inlineStr">
        <is>
          <t>food_access</t>
        </is>
      </c>
      <c r="E468" s="4" t="inlineStr">
        <is>
          <t>blocked</t>
        </is>
      </c>
      <c r="F468" s="4" t="inlineStr">
        <is>
          <t>not checked</t>
        </is>
      </c>
      <c r="G468" s="4" t="inlineStr">
        <is>
          <t>tract</t>
        </is>
      </c>
      <c r="H468" s="4" t="inlineStr">
        <is>
          <t>Joins today</t>
        </is>
      </c>
      <c r="I468" s="4" t="n">
        <v>3</v>
      </c>
      <c r="J468" s="4" t="inlineStr"/>
      <c r="K468" s="4" t="inlineStr">
        <is>
          <t>Curated</t>
        </is>
      </c>
      <c r="L468" s="4" t="n">
        <v>2026</v>
      </c>
      <c r="M468" s="4" t="inlineStr">
        <is>
          <t>open</t>
        </is>
      </c>
      <c r="N468" s="4" t="inlineStr">
        <is>
          <t>2026-10-22</t>
        </is>
      </c>
      <c r="O468" s="16" t="inlineStr">
        <is>
          <t>warn</t>
        </is>
      </c>
      <c r="P468" s="14" t="inlineStr">
        <is>
          <t>pass</t>
        </is>
      </c>
      <c r="Q468" s="14" t="inlineStr">
        <is>
          <t>pass</t>
        </is>
      </c>
      <c r="R468" s="15" t="inlineStr">
        <is>
          <t>not_checked</t>
        </is>
      </c>
      <c r="S468" s="15" t="inlineStr">
        <is>
          <t>not_checked</t>
        </is>
      </c>
      <c r="T468" s="14" t="inlineStr">
        <is>
          <t>pass</t>
        </is>
      </c>
      <c r="U468" s="16" t="inlineStr">
        <is>
          <t>warn</t>
        </is>
      </c>
      <c r="V468" s="15" t="inlineStr">
        <is>
          <t>not_checked</t>
        </is>
      </c>
      <c r="W468" s="15" t="inlineStr">
        <is>
          <t>not_checked</t>
        </is>
      </c>
      <c r="X468" s="18" t="inlineStr">
        <is>
          <t>fail</t>
        </is>
      </c>
      <c r="Y468" s="15" t="inlineStr">
        <is>
          <t>not_checked</t>
        </is>
      </c>
      <c r="Z468" s="15" t="inlineStr">
        <is>
          <t>not_checked</t>
        </is>
      </c>
      <c r="AA468" s="15" t="inlineStr">
        <is>
          <t>not_checked</t>
        </is>
      </c>
      <c r="AB468" s="15" t="inlineStr">
        <is>
          <t>not_checked</t>
        </is>
      </c>
      <c r="AC468" s="15" t="inlineStr">
        <is>
          <t>not_checked</t>
        </is>
      </c>
      <c r="AD468" s="15" t="inlineStr">
        <is>
          <t>not_checked</t>
        </is>
      </c>
      <c r="AE468" s="15" t="inlineStr">
        <is>
          <t>not_checked</t>
        </is>
      </c>
      <c r="AF468" s="15" t="inlineStr">
        <is>
          <t>not_checked</t>
        </is>
      </c>
      <c r="AG468" s="15" t="inlineStr">
        <is>
          <t>not_checked</t>
        </is>
      </c>
      <c r="AH468" s="15" t="inlineStr">
        <is>
          <t>not_checked</t>
        </is>
      </c>
      <c r="AI468" s="15" t="inlineStr">
        <is>
          <t>n.a.</t>
        </is>
      </c>
      <c r="AJ468" s="15" t="inlineStr">
        <is>
          <t>n.a.</t>
        </is>
      </c>
      <c r="AK468" s="4" t="inlineStr">
        <is>
          <t>archived;link_live(warn);format_match(warn)</t>
        </is>
      </c>
      <c r="AL468" s="17" t="inlineStr">
        <is>
          <t>https://nanda.isr.umich.edu/2026/04/09/12-nanda-datasets-updated-through-2022/</t>
        </is>
      </c>
      <c r="AM468" s="4" t="inlineStr">
        <is>
          <t>us_umich_nanda_grocery_stores</t>
        </is>
      </c>
    </row>
    <row r="469">
      <c r="A469" s="4" t="inlineStr">
        <is>
          <t>SNAP Retailer Locator data (current and historical authorized retailers)</t>
        </is>
      </c>
      <c r="B469" s="21" t="inlineStr">
        <is>
          <t>Browser needed</t>
        </is>
      </c>
      <c r="C469" s="4" t="n">
        <v>92</v>
      </c>
      <c r="D469" s="4" t="inlineStr">
        <is>
          <t>food_access</t>
        </is>
      </c>
      <c r="E469" s="4" t="inlineStr">
        <is>
          <t>blocked</t>
        </is>
      </c>
      <c r="F469" s="4" t="inlineStr">
        <is>
          <t>public_domain_us_federal</t>
        </is>
      </c>
      <c r="G469" s="4" t="inlineStr">
        <is>
          <t>point</t>
        </is>
      </c>
      <c r="H469" s="4" t="inlineStr">
        <is>
          <t>Needs a count/distance step</t>
        </is>
      </c>
      <c r="I469" s="4" t="n">
        <v>3</v>
      </c>
      <c r="J469" s="4" t="inlineStr"/>
      <c r="K469" s="4" t="inlineStr">
        <is>
          <t>Curated</t>
        </is>
      </c>
      <c r="L469" s="4" t="inlineStr">
        <is>
          <t>current</t>
        </is>
      </c>
      <c r="M469" s="4" t="inlineStr">
        <is>
          <t>open</t>
        </is>
      </c>
      <c r="N469" s="4" t="inlineStr">
        <is>
          <t>2026-10-29</t>
        </is>
      </c>
      <c r="O469" s="14" t="inlineStr">
        <is>
          <t>pass</t>
        </is>
      </c>
      <c r="P469" s="14" t="inlineStr">
        <is>
          <t>pass</t>
        </is>
      </c>
      <c r="Q469" s="14" t="inlineStr">
        <is>
          <t>pass</t>
        </is>
      </c>
      <c r="R469" s="14" t="inlineStr">
        <is>
          <t>pass</t>
        </is>
      </c>
      <c r="S469" s="14" t="inlineStr">
        <is>
          <t>pass</t>
        </is>
      </c>
      <c r="T469" s="14" t="inlineStr">
        <is>
          <t>pass</t>
        </is>
      </c>
      <c r="U469" s="16" t="inlineStr">
        <is>
          <t>warn</t>
        </is>
      </c>
      <c r="V469" s="18" t="inlineStr">
        <is>
          <t>fail</t>
        </is>
      </c>
      <c r="W469" s="16" t="inlineStr">
        <is>
          <t>warn</t>
        </is>
      </c>
      <c r="X469" s="14" t="inlineStr">
        <is>
          <t>pass</t>
        </is>
      </c>
      <c r="Y469" s="14" t="inlineStr">
        <is>
          <t>pass</t>
        </is>
      </c>
      <c r="Z469" s="15" t="inlineStr">
        <is>
          <t>not_checked</t>
        </is>
      </c>
      <c r="AA469" s="15" t="inlineStr">
        <is>
          <t>not_checked</t>
        </is>
      </c>
      <c r="AB469" s="15" t="inlineStr">
        <is>
          <t>not_checked</t>
        </is>
      </c>
      <c r="AC469" s="15" t="inlineStr">
        <is>
          <t>not_checked</t>
        </is>
      </c>
      <c r="AD469" s="15" t="inlineStr">
        <is>
          <t>not_checked</t>
        </is>
      </c>
      <c r="AE469" s="15" t="inlineStr">
        <is>
          <t>not_checked</t>
        </is>
      </c>
      <c r="AF469" s="15" t="inlineStr">
        <is>
          <t>not_checked</t>
        </is>
      </c>
      <c r="AG469" s="15" t="inlineStr">
        <is>
          <t>not_checked</t>
        </is>
      </c>
      <c r="AH469" s="15" t="inlineStr">
        <is>
          <t>not_checked</t>
        </is>
      </c>
      <c r="AI469" s="15" t="inlineStr">
        <is>
          <t>n.a.</t>
        </is>
      </c>
      <c r="AJ469" s="15" t="inlineStr">
        <is>
          <t>n.a.</t>
        </is>
      </c>
      <c r="AK469" s="4" t="inlineStr">
        <is>
          <t>machine_metadata;format_match(warn);persistent_id(warn)</t>
        </is>
      </c>
      <c r="AL469" s="17" t="inlineStr">
        <is>
          <t>https://www.fns.usda.gov/snap/retailer-locator</t>
        </is>
      </c>
      <c r="AM469" s="4" t="inlineStr">
        <is>
          <t>us_usda_fns_snap_retailers</t>
        </is>
      </c>
    </row>
    <row r="470">
      <c r="A470" s="4" t="inlineStr">
        <is>
          <t>Tanzania: Market Price Survey for Essential Commodities</t>
        </is>
      </c>
      <c r="B470" s="21" t="inlineStr">
        <is>
          <t>Browser needed</t>
        </is>
      </c>
      <c r="C470" s="4" t="n">
        <v>50</v>
      </c>
      <c r="D470" s="4" t="inlineStr">
        <is>
          <t>food_access</t>
        </is>
      </c>
      <c r="E470" s="4" t="inlineStr">
        <is>
          <t>blocked</t>
        </is>
      </c>
      <c r="F470" s="4" t="inlineStr">
        <is>
          <t>not checked</t>
        </is>
      </c>
      <c r="G470" s="4" t="inlineStr">
        <is>
          <t>point</t>
        </is>
      </c>
      <c r="H470" s="4" t="inlineStr">
        <is>
          <t>Needs a count/distance step</t>
        </is>
      </c>
      <c r="I470" s="4" t="n">
        <v>3</v>
      </c>
      <c r="J470" s="4" t="inlineStr"/>
      <c r="K470" s="4" t="inlineStr">
        <is>
          <t>Catalog lead</t>
        </is>
      </c>
      <c r="L470" s="4" t="n">
        <v>2025</v>
      </c>
      <c r="M470" s="4" t="inlineStr">
        <is>
          <t>open</t>
        </is>
      </c>
      <c r="N470" s="4" t="inlineStr">
        <is>
          <t>2026-10-22</t>
        </is>
      </c>
      <c r="O470" s="16" t="inlineStr">
        <is>
          <t>warn</t>
        </is>
      </c>
      <c r="P470" s="14" t="inlineStr">
        <is>
          <t>pass</t>
        </is>
      </c>
      <c r="Q470" s="14" t="inlineStr">
        <is>
          <t>pass</t>
        </is>
      </c>
      <c r="R470" s="15" t="inlineStr">
        <is>
          <t>not_checked</t>
        </is>
      </c>
      <c r="S470" s="15" t="inlineStr">
        <is>
          <t>not_checked</t>
        </is>
      </c>
      <c r="T470" s="14" t="inlineStr">
        <is>
          <t>pass</t>
        </is>
      </c>
      <c r="U470" s="14" t="inlineStr">
        <is>
          <t>pass</t>
        </is>
      </c>
      <c r="V470" s="15" t="inlineStr">
        <is>
          <t>not_checked</t>
        </is>
      </c>
      <c r="W470" s="15" t="inlineStr">
        <is>
          <t>not_checked</t>
        </is>
      </c>
      <c r="X470" s="14" t="inlineStr">
        <is>
          <t>pass</t>
        </is>
      </c>
      <c r="Y470" s="15" t="inlineStr">
        <is>
          <t>not_checked</t>
        </is>
      </c>
      <c r="Z470" s="15" t="inlineStr">
        <is>
          <t>not_checked</t>
        </is>
      </c>
      <c r="AA470" s="15" t="inlineStr">
        <is>
          <t>not_checked</t>
        </is>
      </c>
      <c r="AB470" s="15" t="inlineStr">
        <is>
          <t>not_checked</t>
        </is>
      </c>
      <c r="AC470" s="15" t="inlineStr">
        <is>
          <t>not_checked</t>
        </is>
      </c>
      <c r="AD470" s="15" t="inlineStr">
        <is>
          <t>not_checked</t>
        </is>
      </c>
      <c r="AE470" s="15" t="inlineStr">
        <is>
          <t>not_checked</t>
        </is>
      </c>
      <c r="AF470" s="15" t="inlineStr">
        <is>
          <t>not_checked</t>
        </is>
      </c>
      <c r="AG470" s="15" t="inlineStr">
        <is>
          <t>not_checked</t>
        </is>
      </c>
      <c r="AH470" s="15" t="inlineStr">
        <is>
          <t>not_checked</t>
        </is>
      </c>
      <c r="AI470" s="15" t="inlineStr">
        <is>
          <t>n.a.</t>
        </is>
      </c>
      <c r="AJ470" s="15" t="inlineStr">
        <is>
          <t>n.a.</t>
        </is>
      </c>
      <c r="AK470" s="4" t="inlineStr">
        <is>
          <t>link_live(warn)</t>
        </is>
      </c>
      <c r="AL470" s="17" t="inlineStr">
        <is>
          <t>https://data.humdata.org/dataset/united-republic-of-tanzania-rapid-assessment-survey-of-market-prices</t>
        </is>
      </c>
      <c r="AM470" s="4" t="inlineStr">
        <is>
          <t>hdx_tanzania_market_price_survey_for_essential_commodities</t>
        </is>
      </c>
    </row>
    <row r="471">
      <c r="A471" s="4" t="inlineStr">
        <is>
          <t>Brazil: Epidemiological and hospital indicators on covid-19 in Ouro Preto</t>
        </is>
      </c>
      <c r="B471" s="18" t="inlineStr">
        <is>
          <t>Failed</t>
        </is>
      </c>
      <c r="C471" s="4" t="n">
        <v>50</v>
      </c>
      <c r="D471" s="4" t="inlineStr">
        <is>
          <t>health_outcome</t>
        </is>
      </c>
      <c r="E471" s="4" t="inlineStr">
        <is>
          <t>blocked</t>
        </is>
      </c>
      <c r="F471" s="4" t="inlineStr">
        <is>
          <t>not checked</t>
        </is>
      </c>
      <c r="G471" s="4" t="inlineStr">
        <is>
          <t>point</t>
        </is>
      </c>
      <c r="H471" s="4" t="inlineStr">
        <is>
          <t>Needs a count/distance step</t>
        </is>
      </c>
      <c r="I471" s="4" t="n">
        <v>3</v>
      </c>
      <c r="J471" s="4" t="inlineStr"/>
      <c r="K471" s="4" t="inlineStr">
        <is>
          <t>Catalog lead</t>
        </is>
      </c>
      <c r="L471" s="4" t="n">
        <v>2020</v>
      </c>
      <c r="M471" s="4" t="inlineStr">
        <is>
          <t>open</t>
        </is>
      </c>
      <c r="N471" s="4" t="inlineStr">
        <is>
          <t>2026-10-29</t>
        </is>
      </c>
      <c r="O471" s="16" t="inlineStr">
        <is>
          <t>warn</t>
        </is>
      </c>
      <c r="P471" s="14" t="inlineStr">
        <is>
          <t>pass</t>
        </is>
      </c>
      <c r="Q471" s="14" t="inlineStr">
        <is>
          <t>pass</t>
        </is>
      </c>
      <c r="R471" s="15" t="inlineStr">
        <is>
          <t>not_checked</t>
        </is>
      </c>
      <c r="S471" s="15" t="inlineStr">
        <is>
          <t>not_checked</t>
        </is>
      </c>
      <c r="T471" s="14" t="inlineStr">
        <is>
          <t>pass</t>
        </is>
      </c>
      <c r="U471" s="14" t="inlineStr">
        <is>
          <t>pass</t>
        </is>
      </c>
      <c r="V471" s="15" t="inlineStr">
        <is>
          <t>not_checked</t>
        </is>
      </c>
      <c r="W471" s="15" t="inlineStr">
        <is>
          <t>not_checked</t>
        </is>
      </c>
      <c r="X471" s="14" t="inlineStr">
        <is>
          <t>pass</t>
        </is>
      </c>
      <c r="Y471" s="15" t="inlineStr">
        <is>
          <t>not_checked</t>
        </is>
      </c>
      <c r="Z471" s="15" t="inlineStr">
        <is>
          <t>not_checked</t>
        </is>
      </c>
      <c r="AA471" s="15" t="inlineStr">
        <is>
          <t>not_checked</t>
        </is>
      </c>
      <c r="AB471" s="15" t="inlineStr">
        <is>
          <t>not_checked</t>
        </is>
      </c>
      <c r="AC471" s="15" t="inlineStr">
        <is>
          <t>not_checked</t>
        </is>
      </c>
      <c r="AD471" s="15" t="inlineStr">
        <is>
          <t>not_checked</t>
        </is>
      </c>
      <c r="AE471" s="15" t="inlineStr">
        <is>
          <t>not_checked</t>
        </is>
      </c>
      <c r="AF471" s="15" t="inlineStr">
        <is>
          <t>not_checked</t>
        </is>
      </c>
      <c r="AG471" s="15" t="inlineStr">
        <is>
          <t>not_checked</t>
        </is>
      </c>
      <c r="AH471" s="15" t="inlineStr">
        <is>
          <t>not_checked</t>
        </is>
      </c>
      <c r="AI471" s="15" t="inlineStr">
        <is>
          <t>n.a.</t>
        </is>
      </c>
      <c r="AJ471" s="15" t="inlineStr">
        <is>
          <t>n.a.</t>
        </is>
      </c>
      <c r="AK471" s="4" t="inlineStr">
        <is>
          <t>link_live(warn)</t>
        </is>
      </c>
      <c r="AL471" s="17" t="inlineStr">
        <is>
          <t>https://data.humdata.org/dataset/brazil-epidemiological-and-hospital-indicators-on-covid-19-in-ouro-preto</t>
        </is>
      </c>
      <c r="AM471" s="4" t="inlineStr">
        <is>
          <t>hdx_brazil_epidemiological_and_hospital_indicators_on_covid</t>
        </is>
      </c>
    </row>
    <row r="472">
      <c r="A472" s="4" t="inlineStr">
        <is>
          <t>Colombia: Health Facilities</t>
        </is>
      </c>
      <c r="B472" s="19" t="inlineStr">
        <is>
          <t>Silver</t>
        </is>
      </c>
      <c r="C472" s="4" t="n">
        <v>50</v>
      </c>
      <c r="D472" s="4" t="inlineStr">
        <is>
          <t>health_outcome</t>
        </is>
      </c>
      <c r="E472" s="4" t="inlineStr">
        <is>
          <t>blocked</t>
        </is>
      </c>
      <c r="F472" s="4" t="inlineStr">
        <is>
          <t>not checked</t>
        </is>
      </c>
      <c r="G472" s="4" t="inlineStr">
        <is>
          <t>facility list (coordinates not confirmed)</t>
        </is>
      </c>
      <c r="H472" s="4" t="inlineStr">
        <is>
          <t>Needs a count/distance step</t>
        </is>
      </c>
      <c r="I472" s="4" t="n">
        <v>3</v>
      </c>
      <c r="J472" s="4" t="inlineStr"/>
      <c r="K472" s="4" t="inlineStr">
        <is>
          <t>Catalog lead</t>
        </is>
      </c>
      <c r="L472" s="4" t="n">
        <v>2026</v>
      </c>
      <c r="M472" s="4" t="inlineStr">
        <is>
          <t>open</t>
        </is>
      </c>
      <c r="N472" s="4" t="inlineStr">
        <is>
          <t>2026-10-29</t>
        </is>
      </c>
      <c r="O472" s="16" t="inlineStr">
        <is>
          <t>warn</t>
        </is>
      </c>
      <c r="P472" s="14" t="inlineStr">
        <is>
          <t>pass</t>
        </is>
      </c>
      <c r="Q472" s="14" t="inlineStr">
        <is>
          <t>pass</t>
        </is>
      </c>
      <c r="R472" s="15" t="inlineStr">
        <is>
          <t>not_checked</t>
        </is>
      </c>
      <c r="S472" s="15" t="inlineStr">
        <is>
          <t>not_checked</t>
        </is>
      </c>
      <c r="T472" s="14" t="inlineStr">
        <is>
          <t>pass</t>
        </is>
      </c>
      <c r="U472" s="14" t="inlineStr">
        <is>
          <t>pass</t>
        </is>
      </c>
      <c r="V472" s="15" t="inlineStr">
        <is>
          <t>not_checked</t>
        </is>
      </c>
      <c r="W472" s="15" t="inlineStr">
        <is>
          <t>not_checked</t>
        </is>
      </c>
      <c r="X472" s="14" t="inlineStr">
        <is>
          <t>pass</t>
        </is>
      </c>
      <c r="Y472" s="15" t="inlineStr">
        <is>
          <t>not_checked</t>
        </is>
      </c>
      <c r="Z472" s="15" t="inlineStr">
        <is>
          <t>not_checked</t>
        </is>
      </c>
      <c r="AA472" s="15" t="inlineStr">
        <is>
          <t>not_checked</t>
        </is>
      </c>
      <c r="AB472" s="15" t="inlineStr">
        <is>
          <t>not_checked</t>
        </is>
      </c>
      <c r="AC472" s="15" t="inlineStr">
        <is>
          <t>not_checked</t>
        </is>
      </c>
      <c r="AD472" s="15" t="inlineStr">
        <is>
          <t>not_checked</t>
        </is>
      </c>
      <c r="AE472" s="15" t="inlineStr">
        <is>
          <t>not_checked</t>
        </is>
      </c>
      <c r="AF472" s="15" t="inlineStr">
        <is>
          <t>not_checked</t>
        </is>
      </c>
      <c r="AG472" s="15" t="inlineStr">
        <is>
          <t>not_checked</t>
        </is>
      </c>
      <c r="AH472" s="15" t="inlineStr">
        <is>
          <t>not_checked</t>
        </is>
      </c>
      <c r="AI472" s="15" t="inlineStr">
        <is>
          <t>n.a.</t>
        </is>
      </c>
      <c r="AJ472" s="15" t="inlineStr">
        <is>
          <t>n.a.</t>
        </is>
      </c>
      <c r="AK472" s="4" t="inlineStr">
        <is>
          <t>link_live(warn)</t>
        </is>
      </c>
      <c r="AL472" s="17" t="inlineStr">
        <is>
          <t>https://data.humdata.org/dataset/colombia-health-facilities-2021</t>
        </is>
      </c>
      <c r="AM472" s="4" t="inlineStr">
        <is>
          <t>hdx_colombia_health_facilities</t>
        </is>
      </c>
    </row>
    <row r="473">
      <c r="A473" s="4" t="inlineStr">
        <is>
          <t>DATASUS Transferencia de Arquivos (SIM, SINASC, CNES, SIH)</t>
        </is>
      </c>
      <c r="B473" s="20" t="inlineStr">
        <is>
          <t>Bronze</t>
        </is>
      </c>
      <c r="C473" s="4" t="n">
        <v>50</v>
      </c>
      <c r="D473" s="4" t="inlineStr">
        <is>
          <t>health_outcome</t>
        </is>
      </c>
      <c r="E473" s="4" t="inlineStr">
        <is>
          <t>blocked</t>
        </is>
      </c>
      <c r="F473" s="4" t="inlineStr">
        <is>
          <t>unknown</t>
        </is>
      </c>
      <c r="G473" s="4" t="inlineStr">
        <is>
          <t>establishment (CNES), municipality</t>
        </is>
      </c>
      <c r="H473" s="4" t="inlineStr">
        <is>
          <t>Joins today</t>
        </is>
      </c>
      <c r="I473" s="4" t="n">
        <v>3</v>
      </c>
      <c r="J473" s="4" t="inlineStr"/>
      <c r="K473" s="4" t="inlineStr">
        <is>
          <t>Curated</t>
        </is>
      </c>
      <c r="L473" s="4" t="inlineStr">
        <is>
          <t>current</t>
        </is>
      </c>
      <c r="M473" s="4" t="inlineStr">
        <is>
          <t>open</t>
        </is>
      </c>
      <c r="N473" s="4" t="inlineStr">
        <is>
          <t>2026-10-29</t>
        </is>
      </c>
      <c r="O473" s="16" t="inlineStr">
        <is>
          <t>warn</t>
        </is>
      </c>
      <c r="P473" s="15" t="inlineStr">
        <is>
          <t>n.a.</t>
        </is>
      </c>
      <c r="Q473" s="15" t="inlineStr">
        <is>
          <t>n.a.</t>
        </is>
      </c>
      <c r="R473" s="15" t="inlineStr">
        <is>
          <t>n.a.</t>
        </is>
      </c>
      <c r="S473" s="15" t="inlineStr">
        <is>
          <t>n.a.</t>
        </is>
      </c>
      <c r="T473" s="15" t="inlineStr">
        <is>
          <t>n.a.</t>
        </is>
      </c>
      <c r="U473" s="15" t="inlineStr">
        <is>
          <t>n.a.</t>
        </is>
      </c>
      <c r="V473" s="15" t="inlineStr">
        <is>
          <t>n.a.</t>
        </is>
      </c>
      <c r="W473" s="15" t="inlineStr">
        <is>
          <t>not_checked</t>
        </is>
      </c>
      <c r="X473" s="14" t="inlineStr">
        <is>
          <t>pass</t>
        </is>
      </c>
      <c r="Y473" s="15" t="inlineStr">
        <is>
          <t>not_checked</t>
        </is>
      </c>
      <c r="Z473" s="15" t="inlineStr">
        <is>
          <t>not_checked</t>
        </is>
      </c>
      <c r="AA473" s="15" t="inlineStr">
        <is>
          <t>not_checked</t>
        </is>
      </c>
      <c r="AB473" s="15" t="inlineStr">
        <is>
          <t>not_checked</t>
        </is>
      </c>
      <c r="AC473" s="15" t="inlineStr">
        <is>
          <t>not_checked</t>
        </is>
      </c>
      <c r="AD473" s="15" t="inlineStr">
        <is>
          <t>not_checked</t>
        </is>
      </c>
      <c r="AE473" s="15" t="inlineStr">
        <is>
          <t>not_checked</t>
        </is>
      </c>
      <c r="AF473" s="15" t="inlineStr">
        <is>
          <t>not_checked</t>
        </is>
      </c>
      <c r="AG473" s="15" t="inlineStr">
        <is>
          <t>not_checked</t>
        </is>
      </c>
      <c r="AH473" s="15" t="inlineStr">
        <is>
          <t>not_checked</t>
        </is>
      </c>
      <c r="AI473" s="15" t="inlineStr">
        <is>
          <t>n.a.</t>
        </is>
      </c>
      <c r="AJ473" s="15" t="inlineStr">
        <is>
          <t>n.a.</t>
        </is>
      </c>
      <c r="AK473" s="4" t="inlineStr">
        <is>
          <t>link_live(warn)</t>
        </is>
      </c>
      <c r="AL473" s="17" t="inlineStr">
        <is>
          <t>https://datasus.saude.gov.br/transferencia-de-arquivos/</t>
        </is>
      </c>
      <c r="AM473" s="4" t="inlineStr">
        <is>
          <t>br_datasus_transferencia_arquivos</t>
        </is>
      </c>
    </row>
    <row r="474">
      <c r="A474" s="4" t="inlineStr">
        <is>
          <t>ECDC Surveillance Atlas of Infectious Diseases</t>
        </is>
      </c>
      <c r="B474" s="21" t="inlineStr">
        <is>
          <t>Browser needed</t>
        </is>
      </c>
      <c r="C474" s="4" t="n">
        <v>89</v>
      </c>
      <c r="D474" s="4" t="inlineStr">
        <is>
          <t>health_outcome</t>
        </is>
      </c>
      <c r="E474" s="4" t="inlineStr">
        <is>
          <t>blocked</t>
        </is>
      </c>
      <c r="F474" s="4" t="inlineStr">
        <is>
          <t>unknown</t>
        </is>
      </c>
      <c r="G474" s="4" t="inlineStr">
        <is>
          <t>country</t>
        </is>
      </c>
      <c r="H474" s="4" t="inlineStr">
        <is>
          <t>Not linkable as listed</t>
        </is>
      </c>
      <c r="I474" s="4" t="n">
        <v>3</v>
      </c>
      <c r="J474" s="4" t="inlineStr"/>
      <c r="K474" s="4" t="inlineStr">
        <is>
          <t>Curated</t>
        </is>
      </c>
      <c r="L474" s="4" t="inlineStr"/>
      <c r="M474" s="4" t="inlineStr">
        <is>
          <t>open</t>
        </is>
      </c>
      <c r="N474" s="4" t="inlineStr">
        <is>
          <t>2026-10-28</t>
        </is>
      </c>
      <c r="O474" s="14" t="inlineStr">
        <is>
          <t>pass</t>
        </is>
      </c>
      <c r="P474" s="14" t="inlineStr">
        <is>
          <t>pass</t>
        </is>
      </c>
      <c r="Q474" s="14" t="inlineStr">
        <is>
          <t>pass</t>
        </is>
      </c>
      <c r="R474" s="14" t="inlineStr">
        <is>
          <t>pass</t>
        </is>
      </c>
      <c r="S474" s="14" t="inlineStr">
        <is>
          <t>pass</t>
        </is>
      </c>
      <c r="T474" s="15" t="inlineStr">
        <is>
          <t>n.a.</t>
        </is>
      </c>
      <c r="U474" s="15" t="inlineStr">
        <is>
          <t>n.a.</t>
        </is>
      </c>
      <c r="V474" s="18" t="inlineStr">
        <is>
          <t>fail</t>
        </is>
      </c>
      <c r="W474" s="16" t="inlineStr">
        <is>
          <t>warn</t>
        </is>
      </c>
      <c r="X474" s="14" t="inlineStr">
        <is>
          <t>pass</t>
        </is>
      </c>
      <c r="Y474" s="15" t="inlineStr">
        <is>
          <t>not_checked</t>
        </is>
      </c>
      <c r="Z474" s="15" t="inlineStr">
        <is>
          <t>not_checked</t>
        </is>
      </c>
      <c r="AA474" s="15" t="inlineStr">
        <is>
          <t>not_checked</t>
        </is>
      </c>
      <c r="AB474" s="15" t="inlineStr">
        <is>
          <t>not_checked</t>
        </is>
      </c>
      <c r="AC474" s="15" t="inlineStr">
        <is>
          <t>not_checked</t>
        </is>
      </c>
      <c r="AD474" s="15" t="inlineStr">
        <is>
          <t>not_checked</t>
        </is>
      </c>
      <c r="AE474" s="15" t="inlineStr">
        <is>
          <t>not_checked</t>
        </is>
      </c>
      <c r="AF474" s="15" t="inlineStr">
        <is>
          <t>not_checked</t>
        </is>
      </c>
      <c r="AG474" s="15" t="inlineStr">
        <is>
          <t>not_checked</t>
        </is>
      </c>
      <c r="AH474" s="15" t="inlineStr">
        <is>
          <t>not_checked</t>
        </is>
      </c>
      <c r="AI474" s="15" t="inlineStr">
        <is>
          <t>n.a.</t>
        </is>
      </c>
      <c r="AJ474" s="15" t="inlineStr">
        <is>
          <t>n.a.</t>
        </is>
      </c>
      <c r="AK474" s="4" t="inlineStr">
        <is>
          <t>machine_metadata;persistent_id(warn)</t>
        </is>
      </c>
      <c r="AL474" s="17" t="inlineStr">
        <is>
          <t>https://atlas.ecdc.europa.eu/public/index.aspx</t>
        </is>
      </c>
      <c r="AM474" s="4" t="inlineStr">
        <is>
          <t>eu_ecdc_surveillance_atlas</t>
        </is>
      </c>
    </row>
    <row r="475">
      <c r="A475" s="4" t="inlineStr">
        <is>
          <t>Ethiopia - Health Facilities</t>
        </is>
      </c>
      <c r="B475" s="19" t="inlineStr">
        <is>
          <t>Silver</t>
        </is>
      </c>
      <c r="C475" s="4" t="n">
        <v>50</v>
      </c>
      <c r="D475" s="4" t="inlineStr">
        <is>
          <t>health_outcome</t>
        </is>
      </c>
      <c r="E475" s="4" t="inlineStr">
        <is>
          <t>blocked</t>
        </is>
      </c>
      <c r="F475" s="4" t="inlineStr">
        <is>
          <t>not checked</t>
        </is>
      </c>
      <c r="G475" s="4" t="inlineStr">
        <is>
          <t>points</t>
        </is>
      </c>
      <c r="H475" s="4" t="inlineStr">
        <is>
          <t>Needs a count/distance step</t>
        </is>
      </c>
      <c r="I475" s="4" t="n">
        <v>3</v>
      </c>
      <c r="J475" s="4" t="inlineStr"/>
      <c r="K475" s="4" t="inlineStr">
        <is>
          <t>Catalog lead</t>
        </is>
      </c>
      <c r="L475" s="4" t="n">
        <v>2025</v>
      </c>
      <c r="M475" s="4" t="inlineStr">
        <is>
          <t>open</t>
        </is>
      </c>
      <c r="N475" s="4" t="inlineStr">
        <is>
          <t>2026-10-29</t>
        </is>
      </c>
      <c r="O475" s="16" t="inlineStr">
        <is>
          <t>warn</t>
        </is>
      </c>
      <c r="P475" s="14" t="inlineStr">
        <is>
          <t>pass</t>
        </is>
      </c>
      <c r="Q475" s="14" t="inlineStr">
        <is>
          <t>pass</t>
        </is>
      </c>
      <c r="R475" s="15" t="inlineStr">
        <is>
          <t>not_checked</t>
        </is>
      </c>
      <c r="S475" s="15" t="inlineStr">
        <is>
          <t>not_checked</t>
        </is>
      </c>
      <c r="T475" s="14" t="inlineStr">
        <is>
          <t>pass</t>
        </is>
      </c>
      <c r="U475" s="14" t="inlineStr">
        <is>
          <t>pass</t>
        </is>
      </c>
      <c r="V475" s="15" t="inlineStr">
        <is>
          <t>not_checked</t>
        </is>
      </c>
      <c r="W475" s="15" t="inlineStr">
        <is>
          <t>not_checked</t>
        </is>
      </c>
      <c r="X475" s="14" t="inlineStr">
        <is>
          <t>pass</t>
        </is>
      </c>
      <c r="Y475" s="15" t="inlineStr">
        <is>
          <t>not_checked</t>
        </is>
      </c>
      <c r="Z475" s="15" t="inlineStr">
        <is>
          <t>not_checked</t>
        </is>
      </c>
      <c r="AA475" s="15" t="inlineStr">
        <is>
          <t>not_checked</t>
        </is>
      </c>
      <c r="AB475" s="15" t="inlineStr">
        <is>
          <t>not_checked</t>
        </is>
      </c>
      <c r="AC475" s="15" t="inlineStr">
        <is>
          <t>not_checked</t>
        </is>
      </c>
      <c r="AD475" s="15" t="inlineStr">
        <is>
          <t>not_checked</t>
        </is>
      </c>
      <c r="AE475" s="15" t="inlineStr">
        <is>
          <t>not_checked</t>
        </is>
      </c>
      <c r="AF475" s="15" t="inlineStr">
        <is>
          <t>not_checked</t>
        </is>
      </c>
      <c r="AG475" s="15" t="inlineStr">
        <is>
          <t>not_checked</t>
        </is>
      </c>
      <c r="AH475" s="15" t="inlineStr">
        <is>
          <t>not_checked</t>
        </is>
      </c>
      <c r="AI475" s="15" t="inlineStr">
        <is>
          <t>n.a.</t>
        </is>
      </c>
      <c r="AJ475" s="15" t="inlineStr">
        <is>
          <t>n.a.</t>
        </is>
      </c>
      <c r="AK475" s="4" t="inlineStr">
        <is>
          <t>link_live(warn)</t>
        </is>
      </c>
      <c r="AL475" s="17" t="inlineStr">
        <is>
          <t>https://data.humdata.org/dataset/ethiopian-health-facilities</t>
        </is>
      </c>
      <c r="AM475" s="4" t="inlineStr">
        <is>
          <t>hdx_ethiopia_health_facilities</t>
        </is>
      </c>
    </row>
    <row r="476">
      <c r="A476" s="4" t="inlineStr">
        <is>
          <t>European Health Information Gateway</t>
        </is>
      </c>
      <c r="B476" s="21" t="inlineStr">
        <is>
          <t>Browser needed</t>
        </is>
      </c>
      <c r="C476" s="4" t="n">
        <v>0</v>
      </c>
      <c r="D476" s="4" t="inlineStr">
        <is>
          <t>health_outcome</t>
        </is>
      </c>
      <c r="E476" s="4" t="inlineStr">
        <is>
          <t>blocked</t>
        </is>
      </c>
      <c r="F476" s="4" t="inlineStr">
        <is>
          <t>not checked</t>
        </is>
      </c>
      <c r="G476" s="4" t="inlineStr">
        <is>
          <t>country</t>
        </is>
      </c>
      <c r="H476" s="4" t="inlineStr">
        <is>
          <t>Not linkable as listed</t>
        </is>
      </c>
      <c r="I476" s="4" t="n">
        <v>3</v>
      </c>
      <c r="J476" s="4" t="inlineStr"/>
      <c r="K476" s="4" t="inlineStr">
        <is>
          <t>Curated</t>
        </is>
      </c>
      <c r="L476" s="4" t="inlineStr"/>
      <c r="M476" s="4" t="inlineStr">
        <is>
          <t>open</t>
        </is>
      </c>
      <c r="N476" s="4" t="inlineStr">
        <is>
          <t>2026-10-22</t>
        </is>
      </c>
      <c r="O476" s="18" t="inlineStr">
        <is>
          <t>fail</t>
        </is>
      </c>
      <c r="P476" s="15" t="inlineStr">
        <is>
          <t>n.a.</t>
        </is>
      </c>
      <c r="Q476" s="18" t="inlineStr">
        <is>
          <t>fail</t>
        </is>
      </c>
      <c r="R476" s="15" t="inlineStr">
        <is>
          <t>n.a.</t>
        </is>
      </c>
      <c r="S476" s="15" t="inlineStr">
        <is>
          <t>n.a.</t>
        </is>
      </c>
      <c r="T476" s="15" t="inlineStr">
        <is>
          <t>n.a.</t>
        </is>
      </c>
      <c r="U476" s="15" t="inlineStr">
        <is>
          <t>n.a.</t>
        </is>
      </c>
      <c r="V476" s="15" t="inlineStr">
        <is>
          <t>n.a.</t>
        </is>
      </c>
      <c r="W476" s="15" t="inlineStr">
        <is>
          <t>not_checked</t>
        </is>
      </c>
      <c r="X476" s="14" t="inlineStr">
        <is>
          <t>pass</t>
        </is>
      </c>
      <c r="Y476" s="15" t="inlineStr">
        <is>
          <t>not_checked</t>
        </is>
      </c>
      <c r="Z476" s="15" t="inlineStr">
        <is>
          <t>not_checked</t>
        </is>
      </c>
      <c r="AA476" s="15" t="inlineStr">
        <is>
          <t>not_checked</t>
        </is>
      </c>
      <c r="AB476" s="15" t="inlineStr">
        <is>
          <t>not_checked</t>
        </is>
      </c>
      <c r="AC476" s="15" t="inlineStr">
        <is>
          <t>not_checked</t>
        </is>
      </c>
      <c r="AD476" s="15" t="inlineStr">
        <is>
          <t>not_checked</t>
        </is>
      </c>
      <c r="AE476" s="15" t="inlineStr">
        <is>
          <t>not_checked</t>
        </is>
      </c>
      <c r="AF476" s="15" t="inlineStr">
        <is>
          <t>not_checked</t>
        </is>
      </c>
      <c r="AG476" s="15" t="inlineStr">
        <is>
          <t>not_checked</t>
        </is>
      </c>
      <c r="AH476" s="15" t="inlineStr">
        <is>
          <t>not_checked</t>
        </is>
      </c>
      <c r="AI476" s="15" t="inlineStr">
        <is>
          <t>n.a.</t>
        </is>
      </c>
      <c r="AJ476" s="15" t="inlineStr">
        <is>
          <t>n.a.</t>
        </is>
      </c>
      <c r="AK476" s="4" t="inlineStr">
        <is>
          <t>link_live;tls</t>
        </is>
      </c>
      <c r="AL476" s="17" t="inlineStr">
        <is>
          <t>https://gateway.euro.who.int/en/</t>
        </is>
      </c>
      <c r="AM476" s="4" t="inlineStr">
        <is>
          <t>global_who_euro_health_information_gateway</t>
        </is>
      </c>
    </row>
    <row r="477">
      <c r="A477" s="4" t="inlineStr">
        <is>
          <t>Global: Reported number of pregnant women presenting at antenatal clinics (ANC) who were tested for HIV or already knew their HIV positive status</t>
        </is>
      </c>
      <c r="B477" s="19" t="inlineStr">
        <is>
          <t>Silver</t>
        </is>
      </c>
      <c r="C477" s="4" t="n">
        <v>50</v>
      </c>
      <c r="D477" s="4" t="inlineStr">
        <is>
          <t>health_outcome</t>
        </is>
      </c>
      <c r="E477" s="4" t="inlineStr">
        <is>
          <t>blocked</t>
        </is>
      </c>
      <c r="F477" s="4" t="inlineStr">
        <is>
          <t>not checked</t>
        </is>
      </c>
      <c r="G477" s="4" t="inlineStr">
        <is>
          <t>country</t>
        </is>
      </c>
      <c r="H477" s="4" t="inlineStr">
        <is>
          <t>Needs a count/distance step</t>
        </is>
      </c>
      <c r="I477" s="4" t="n">
        <v>3</v>
      </c>
      <c r="J477" s="4" t="inlineStr"/>
      <c r="K477" s="4" t="inlineStr">
        <is>
          <t>Catalog lead</t>
        </is>
      </c>
      <c r="L477" s="4" t="n">
        <v>2024</v>
      </c>
      <c r="M477" s="4" t="inlineStr">
        <is>
          <t>open</t>
        </is>
      </c>
      <c r="N477" s="4" t="inlineStr">
        <is>
          <t>2026-10-29</t>
        </is>
      </c>
      <c r="O477" s="16" t="inlineStr">
        <is>
          <t>warn</t>
        </is>
      </c>
      <c r="P477" s="14" t="inlineStr">
        <is>
          <t>pass</t>
        </is>
      </c>
      <c r="Q477" s="14" t="inlineStr">
        <is>
          <t>pass</t>
        </is>
      </c>
      <c r="R477" s="15" t="inlineStr">
        <is>
          <t>not_checked</t>
        </is>
      </c>
      <c r="S477" s="15" t="inlineStr">
        <is>
          <t>not_checked</t>
        </is>
      </c>
      <c r="T477" s="18" t="inlineStr">
        <is>
          <t>fail</t>
        </is>
      </c>
      <c r="U477" s="15" t="inlineStr">
        <is>
          <t>n.a.</t>
        </is>
      </c>
      <c r="V477" s="15" t="inlineStr">
        <is>
          <t>not_checked</t>
        </is>
      </c>
      <c r="W477" s="15" t="inlineStr">
        <is>
          <t>not_checked</t>
        </is>
      </c>
      <c r="X477" s="14" t="inlineStr">
        <is>
          <t>pass</t>
        </is>
      </c>
      <c r="Y477" s="15" t="inlineStr">
        <is>
          <t>not_checked</t>
        </is>
      </c>
      <c r="Z477" s="15" t="inlineStr">
        <is>
          <t>not_checked</t>
        </is>
      </c>
      <c r="AA477" s="15" t="inlineStr">
        <is>
          <t>not_checked</t>
        </is>
      </c>
      <c r="AB477" s="15" t="inlineStr">
        <is>
          <t>not_checked</t>
        </is>
      </c>
      <c r="AC477" s="15" t="inlineStr">
        <is>
          <t>not_checked</t>
        </is>
      </c>
      <c r="AD477" s="15" t="inlineStr">
        <is>
          <t>not_checked</t>
        </is>
      </c>
      <c r="AE477" s="15" t="inlineStr">
        <is>
          <t>not_checked</t>
        </is>
      </c>
      <c r="AF477" s="15" t="inlineStr">
        <is>
          <t>not_checked</t>
        </is>
      </c>
      <c r="AG477" s="15" t="inlineStr">
        <is>
          <t>not_checked</t>
        </is>
      </c>
      <c r="AH477" s="15" t="inlineStr">
        <is>
          <t>not_checked</t>
        </is>
      </c>
      <c r="AI477" s="15" t="inlineStr">
        <is>
          <t>n.a.</t>
        </is>
      </c>
      <c r="AJ477" s="15" t="inlineStr">
        <is>
          <t>n.a.</t>
        </is>
      </c>
      <c r="AK477" s="4" t="inlineStr">
        <is>
          <t>access_url;link_live(warn)</t>
        </is>
      </c>
      <c r="AL477" s="17" t="inlineStr">
        <is>
          <t>https://data.humdata.org/dataset/unicef-hva-pmtct-stat-num</t>
        </is>
      </c>
      <c r="AM477" s="4" t="inlineStr">
        <is>
          <t>hdx_global_reported_number_of_pregnant_women_presenting_at</t>
        </is>
      </c>
    </row>
    <row r="478">
      <c r="A478" s="4" t="inlineStr">
        <is>
          <t>Health Facilities of Ghana</t>
        </is>
      </c>
      <c r="B478" s="19" t="inlineStr">
        <is>
          <t>Silver</t>
        </is>
      </c>
      <c r="C478" s="4" t="n">
        <v>50</v>
      </c>
      <c r="D478" s="4" t="inlineStr">
        <is>
          <t>health_outcome</t>
        </is>
      </c>
      <c r="E478" s="4" t="inlineStr">
        <is>
          <t>blocked</t>
        </is>
      </c>
      <c r="F478" s="4" t="inlineStr">
        <is>
          <t>not checked</t>
        </is>
      </c>
      <c r="G478" s="4" t="inlineStr">
        <is>
          <t>points (OSM)</t>
        </is>
      </c>
      <c r="H478" s="4" t="inlineStr">
        <is>
          <t>Needs a count/distance step</t>
        </is>
      </c>
      <c r="I478" s="4" t="n">
        <v>3</v>
      </c>
      <c r="J478" s="4" t="inlineStr"/>
      <c r="K478" s="4" t="inlineStr">
        <is>
          <t>Catalog lead</t>
        </is>
      </c>
      <c r="L478" s="4" t="n">
        <v>2026</v>
      </c>
      <c r="M478" s="4" t="inlineStr">
        <is>
          <t>open</t>
        </is>
      </c>
      <c r="N478" s="4" t="inlineStr">
        <is>
          <t>2026-10-29</t>
        </is>
      </c>
      <c r="O478" s="16" t="inlineStr">
        <is>
          <t>warn</t>
        </is>
      </c>
      <c r="P478" s="14" t="inlineStr">
        <is>
          <t>pass</t>
        </is>
      </c>
      <c r="Q478" s="14" t="inlineStr">
        <is>
          <t>pass</t>
        </is>
      </c>
      <c r="R478" s="15" t="inlineStr">
        <is>
          <t>not_checked</t>
        </is>
      </c>
      <c r="S478" s="15" t="inlineStr">
        <is>
          <t>not_checked</t>
        </is>
      </c>
      <c r="T478" s="14" t="inlineStr">
        <is>
          <t>pass</t>
        </is>
      </c>
      <c r="U478" s="14" t="inlineStr">
        <is>
          <t>pass</t>
        </is>
      </c>
      <c r="V478" s="15" t="inlineStr">
        <is>
          <t>not_checked</t>
        </is>
      </c>
      <c r="W478" s="15" t="inlineStr">
        <is>
          <t>not_checked</t>
        </is>
      </c>
      <c r="X478" s="14" t="inlineStr">
        <is>
          <t>pass</t>
        </is>
      </c>
      <c r="Y478" s="15" t="inlineStr">
        <is>
          <t>not_checked</t>
        </is>
      </c>
      <c r="Z478" s="15" t="inlineStr">
        <is>
          <t>not_checked</t>
        </is>
      </c>
      <c r="AA478" s="15" t="inlineStr">
        <is>
          <t>not_checked</t>
        </is>
      </c>
      <c r="AB478" s="15" t="inlineStr">
        <is>
          <t>not_checked</t>
        </is>
      </c>
      <c r="AC478" s="15" t="inlineStr">
        <is>
          <t>not_checked</t>
        </is>
      </c>
      <c r="AD478" s="15" t="inlineStr">
        <is>
          <t>not_checked</t>
        </is>
      </c>
      <c r="AE478" s="15" t="inlineStr">
        <is>
          <t>not_checked</t>
        </is>
      </c>
      <c r="AF478" s="15" t="inlineStr">
        <is>
          <t>not_checked</t>
        </is>
      </c>
      <c r="AG478" s="15" t="inlineStr">
        <is>
          <t>not_checked</t>
        </is>
      </c>
      <c r="AH478" s="15" t="inlineStr">
        <is>
          <t>not_checked</t>
        </is>
      </c>
      <c r="AI478" s="15" t="inlineStr">
        <is>
          <t>n.a.</t>
        </is>
      </c>
      <c r="AJ478" s="15" t="inlineStr">
        <is>
          <t>n.a.</t>
        </is>
      </c>
      <c r="AK478" s="4" t="inlineStr">
        <is>
          <t>link_live(warn)</t>
        </is>
      </c>
      <c r="AL478" s="17" t="inlineStr">
        <is>
          <t>https://data.humdata.org/dataset/hotosm_gha_health_facilities</t>
        </is>
      </c>
      <c r="AM478" s="4" t="inlineStr">
        <is>
          <t>hdx_health_facilities_of_ghana</t>
        </is>
      </c>
    </row>
    <row r="479">
      <c r="A479" s="4" t="inlineStr">
        <is>
          <t>Health Facilities of India</t>
        </is>
      </c>
      <c r="B479" s="19" t="inlineStr">
        <is>
          <t>Silver</t>
        </is>
      </c>
      <c r="C479" s="4" t="n">
        <v>50</v>
      </c>
      <c r="D479" s="4" t="inlineStr">
        <is>
          <t>health_outcome</t>
        </is>
      </c>
      <c r="E479" s="4" t="inlineStr">
        <is>
          <t>blocked</t>
        </is>
      </c>
      <c r="F479" s="4" t="inlineStr">
        <is>
          <t>not checked</t>
        </is>
      </c>
      <c r="G479" s="4" t="inlineStr">
        <is>
          <t>points (OSM)</t>
        </is>
      </c>
      <c r="H479" s="4" t="inlineStr">
        <is>
          <t>Needs a count/distance step</t>
        </is>
      </c>
      <c r="I479" s="4" t="n">
        <v>3</v>
      </c>
      <c r="J479" s="4" t="inlineStr"/>
      <c r="K479" s="4" t="inlineStr">
        <is>
          <t>Catalog lead</t>
        </is>
      </c>
      <c r="L479" s="4" t="n">
        <v>2026</v>
      </c>
      <c r="M479" s="4" t="inlineStr">
        <is>
          <t>open</t>
        </is>
      </c>
      <c r="N479" s="4" t="inlineStr">
        <is>
          <t>2026-10-29</t>
        </is>
      </c>
      <c r="O479" s="16" t="inlineStr">
        <is>
          <t>warn</t>
        </is>
      </c>
      <c r="P479" s="14" t="inlineStr">
        <is>
          <t>pass</t>
        </is>
      </c>
      <c r="Q479" s="14" t="inlineStr">
        <is>
          <t>pass</t>
        </is>
      </c>
      <c r="R479" s="15" t="inlineStr">
        <is>
          <t>not_checked</t>
        </is>
      </c>
      <c r="S479" s="15" t="inlineStr">
        <is>
          <t>not_checked</t>
        </is>
      </c>
      <c r="T479" s="14" t="inlineStr">
        <is>
          <t>pass</t>
        </is>
      </c>
      <c r="U479" s="14" t="inlineStr">
        <is>
          <t>pass</t>
        </is>
      </c>
      <c r="V479" s="15" t="inlineStr">
        <is>
          <t>not_checked</t>
        </is>
      </c>
      <c r="W479" s="15" t="inlineStr">
        <is>
          <t>not_checked</t>
        </is>
      </c>
      <c r="X479" s="18" t="inlineStr">
        <is>
          <t>fail</t>
        </is>
      </c>
      <c r="Y479" s="15" t="inlineStr">
        <is>
          <t>not_checked</t>
        </is>
      </c>
      <c r="Z479" s="15" t="inlineStr">
        <is>
          <t>not_checked</t>
        </is>
      </c>
      <c r="AA479" s="15" t="inlineStr">
        <is>
          <t>not_checked</t>
        </is>
      </c>
      <c r="AB479" s="15" t="inlineStr">
        <is>
          <t>not_checked</t>
        </is>
      </c>
      <c r="AC479" s="15" t="inlineStr">
        <is>
          <t>not_checked</t>
        </is>
      </c>
      <c r="AD479" s="15" t="inlineStr">
        <is>
          <t>not_checked</t>
        </is>
      </c>
      <c r="AE479" s="15" t="inlineStr">
        <is>
          <t>not_checked</t>
        </is>
      </c>
      <c r="AF479" s="15" t="inlineStr">
        <is>
          <t>not_checked</t>
        </is>
      </c>
      <c r="AG479" s="15" t="inlineStr">
        <is>
          <t>not_checked</t>
        </is>
      </c>
      <c r="AH479" s="15" t="inlineStr">
        <is>
          <t>not_checked</t>
        </is>
      </c>
      <c r="AI479" s="15" t="inlineStr">
        <is>
          <t>n.a.</t>
        </is>
      </c>
      <c r="AJ479" s="15" t="inlineStr">
        <is>
          <t>n.a.</t>
        </is>
      </c>
      <c r="AK479" s="4" t="inlineStr">
        <is>
          <t>archived;link_live(warn)</t>
        </is>
      </c>
      <c r="AL479" s="17" t="inlineStr">
        <is>
          <t>https://data.humdata.org/dataset/hotosm_ind_health_facilities</t>
        </is>
      </c>
      <c r="AM479" s="4" t="inlineStr">
        <is>
          <t>hdx_health_facilities_of_india</t>
        </is>
      </c>
    </row>
    <row r="480">
      <c r="A480" s="4" t="inlineStr">
        <is>
          <t>Health Facilities of Indonesia</t>
        </is>
      </c>
      <c r="B480" s="19" t="inlineStr">
        <is>
          <t>Silver</t>
        </is>
      </c>
      <c r="C480" s="4" t="n">
        <v>50</v>
      </c>
      <c r="D480" s="4" t="inlineStr">
        <is>
          <t>health_outcome</t>
        </is>
      </c>
      <c r="E480" s="4" t="inlineStr">
        <is>
          <t>blocked</t>
        </is>
      </c>
      <c r="F480" s="4" t="inlineStr">
        <is>
          <t>not checked</t>
        </is>
      </c>
      <c r="G480" s="4" t="inlineStr">
        <is>
          <t>points (OSM)</t>
        </is>
      </c>
      <c r="H480" s="4" t="inlineStr">
        <is>
          <t>Needs a count/distance step</t>
        </is>
      </c>
      <c r="I480" s="4" t="n">
        <v>3</v>
      </c>
      <c r="J480" s="4" t="inlineStr"/>
      <c r="K480" s="4" t="inlineStr">
        <is>
          <t>Catalog lead</t>
        </is>
      </c>
      <c r="L480" s="4" t="n">
        <v>2026</v>
      </c>
      <c r="M480" s="4" t="inlineStr">
        <is>
          <t>open</t>
        </is>
      </c>
      <c r="N480" s="4" t="inlineStr">
        <is>
          <t>2026-10-29</t>
        </is>
      </c>
      <c r="O480" s="16" t="inlineStr">
        <is>
          <t>warn</t>
        </is>
      </c>
      <c r="P480" s="14" t="inlineStr">
        <is>
          <t>pass</t>
        </is>
      </c>
      <c r="Q480" s="14" t="inlineStr">
        <is>
          <t>pass</t>
        </is>
      </c>
      <c r="R480" s="15" t="inlineStr">
        <is>
          <t>not_checked</t>
        </is>
      </c>
      <c r="S480" s="15" t="inlineStr">
        <is>
          <t>not_checked</t>
        </is>
      </c>
      <c r="T480" s="14" t="inlineStr">
        <is>
          <t>pass</t>
        </is>
      </c>
      <c r="U480" s="14" t="inlineStr">
        <is>
          <t>pass</t>
        </is>
      </c>
      <c r="V480" s="15" t="inlineStr">
        <is>
          <t>not_checked</t>
        </is>
      </c>
      <c r="W480" s="15" t="inlineStr">
        <is>
          <t>not_checked</t>
        </is>
      </c>
      <c r="X480" s="14" t="inlineStr">
        <is>
          <t>pass</t>
        </is>
      </c>
      <c r="Y480" s="15" t="inlineStr">
        <is>
          <t>not_checked</t>
        </is>
      </c>
      <c r="Z480" s="15" t="inlineStr">
        <is>
          <t>not_checked</t>
        </is>
      </c>
      <c r="AA480" s="15" t="inlineStr">
        <is>
          <t>not_checked</t>
        </is>
      </c>
      <c r="AB480" s="15" t="inlineStr">
        <is>
          <t>not_checked</t>
        </is>
      </c>
      <c r="AC480" s="15" t="inlineStr">
        <is>
          <t>not_checked</t>
        </is>
      </c>
      <c r="AD480" s="15" t="inlineStr">
        <is>
          <t>not_checked</t>
        </is>
      </c>
      <c r="AE480" s="15" t="inlineStr">
        <is>
          <t>not_checked</t>
        </is>
      </c>
      <c r="AF480" s="15" t="inlineStr">
        <is>
          <t>not_checked</t>
        </is>
      </c>
      <c r="AG480" s="15" t="inlineStr">
        <is>
          <t>not_checked</t>
        </is>
      </c>
      <c r="AH480" s="15" t="inlineStr">
        <is>
          <t>not_checked</t>
        </is>
      </c>
      <c r="AI480" s="15" t="inlineStr">
        <is>
          <t>n.a.</t>
        </is>
      </c>
      <c r="AJ480" s="15" t="inlineStr">
        <is>
          <t>n.a.</t>
        </is>
      </c>
      <c r="AK480" s="4" t="inlineStr">
        <is>
          <t>link_live(warn)</t>
        </is>
      </c>
      <c r="AL480" s="17" t="inlineStr">
        <is>
          <t>https://data.humdata.org/dataset/hotosm_idn_health_facilities</t>
        </is>
      </c>
      <c r="AM480" s="4" t="inlineStr">
        <is>
          <t>hdx_health_facilities_of_indonesia</t>
        </is>
      </c>
    </row>
    <row r="481">
      <c r="A481" s="4" t="inlineStr">
        <is>
          <t>Health Facilities of Kenya</t>
        </is>
      </c>
      <c r="B481" s="19" t="inlineStr">
        <is>
          <t>Silver</t>
        </is>
      </c>
      <c r="C481" s="4" t="n">
        <v>50</v>
      </c>
      <c r="D481" s="4" t="inlineStr">
        <is>
          <t>health_outcome</t>
        </is>
      </c>
      <c r="E481" s="4" t="inlineStr">
        <is>
          <t>blocked</t>
        </is>
      </c>
      <c r="F481" s="4" t="inlineStr">
        <is>
          <t>not checked</t>
        </is>
      </c>
      <c r="G481" s="4" t="inlineStr">
        <is>
          <t>points (OSM)</t>
        </is>
      </c>
      <c r="H481" s="4" t="inlineStr">
        <is>
          <t>Needs a count/distance step</t>
        </is>
      </c>
      <c r="I481" s="4" t="n">
        <v>3</v>
      </c>
      <c r="J481" s="4" t="inlineStr"/>
      <c r="K481" s="4" t="inlineStr">
        <is>
          <t>Catalog lead</t>
        </is>
      </c>
      <c r="L481" s="4" t="n">
        <v>2026</v>
      </c>
      <c r="M481" s="4" t="inlineStr">
        <is>
          <t>open</t>
        </is>
      </c>
      <c r="N481" s="4" t="inlineStr">
        <is>
          <t>2026-10-29</t>
        </is>
      </c>
      <c r="O481" s="16" t="inlineStr">
        <is>
          <t>warn</t>
        </is>
      </c>
      <c r="P481" s="14" t="inlineStr">
        <is>
          <t>pass</t>
        </is>
      </c>
      <c r="Q481" s="14" t="inlineStr">
        <is>
          <t>pass</t>
        </is>
      </c>
      <c r="R481" s="15" t="inlineStr">
        <is>
          <t>not_checked</t>
        </is>
      </c>
      <c r="S481" s="15" t="inlineStr">
        <is>
          <t>not_checked</t>
        </is>
      </c>
      <c r="T481" s="14" t="inlineStr">
        <is>
          <t>pass</t>
        </is>
      </c>
      <c r="U481" s="14" t="inlineStr">
        <is>
          <t>pass</t>
        </is>
      </c>
      <c r="V481" s="15" t="inlineStr">
        <is>
          <t>not_checked</t>
        </is>
      </c>
      <c r="W481" s="15" t="inlineStr">
        <is>
          <t>not_checked</t>
        </is>
      </c>
      <c r="X481" s="14" t="inlineStr">
        <is>
          <t>pass</t>
        </is>
      </c>
      <c r="Y481" s="15" t="inlineStr">
        <is>
          <t>not_checked</t>
        </is>
      </c>
      <c r="Z481" s="15" t="inlineStr">
        <is>
          <t>not_checked</t>
        </is>
      </c>
      <c r="AA481" s="15" t="inlineStr">
        <is>
          <t>not_checked</t>
        </is>
      </c>
      <c r="AB481" s="15" t="inlineStr">
        <is>
          <t>not_checked</t>
        </is>
      </c>
      <c r="AC481" s="15" t="inlineStr">
        <is>
          <t>not_checked</t>
        </is>
      </c>
      <c r="AD481" s="15" t="inlineStr">
        <is>
          <t>not_checked</t>
        </is>
      </c>
      <c r="AE481" s="15" t="inlineStr">
        <is>
          <t>not_checked</t>
        </is>
      </c>
      <c r="AF481" s="15" t="inlineStr">
        <is>
          <t>not_checked</t>
        </is>
      </c>
      <c r="AG481" s="15" t="inlineStr">
        <is>
          <t>not_checked</t>
        </is>
      </c>
      <c r="AH481" s="15" t="inlineStr">
        <is>
          <t>not_checked</t>
        </is>
      </c>
      <c r="AI481" s="15" t="inlineStr">
        <is>
          <t>n.a.</t>
        </is>
      </c>
      <c r="AJ481" s="15" t="inlineStr">
        <is>
          <t>n.a.</t>
        </is>
      </c>
      <c r="AK481" s="4" t="inlineStr">
        <is>
          <t>link_live(warn)</t>
        </is>
      </c>
      <c r="AL481" s="17" t="inlineStr">
        <is>
          <t>https://data.humdata.org/dataset/hotosm_ken_health_facilities</t>
        </is>
      </c>
      <c r="AM481" s="4" t="inlineStr">
        <is>
          <t>hdx_health_facilities_of_kenya</t>
        </is>
      </c>
    </row>
    <row r="482">
      <c r="A482" s="4" t="inlineStr">
        <is>
          <t>Health Facilities of Philippines</t>
        </is>
      </c>
      <c r="B482" s="19" t="inlineStr">
        <is>
          <t>Silver</t>
        </is>
      </c>
      <c r="C482" s="4" t="n">
        <v>50</v>
      </c>
      <c r="D482" s="4" t="inlineStr">
        <is>
          <t>health_outcome</t>
        </is>
      </c>
      <c r="E482" s="4" t="inlineStr">
        <is>
          <t>blocked</t>
        </is>
      </c>
      <c r="F482" s="4" t="inlineStr">
        <is>
          <t>not checked</t>
        </is>
      </c>
      <c r="G482" s="4" t="inlineStr">
        <is>
          <t>points (OSM)</t>
        </is>
      </c>
      <c r="H482" s="4" t="inlineStr">
        <is>
          <t>Needs a count/distance step</t>
        </is>
      </c>
      <c r="I482" s="4" t="n">
        <v>3</v>
      </c>
      <c r="J482" s="4" t="inlineStr"/>
      <c r="K482" s="4" t="inlineStr">
        <is>
          <t>Catalog lead</t>
        </is>
      </c>
      <c r="L482" s="4" t="n">
        <v>2026</v>
      </c>
      <c r="M482" s="4" t="inlineStr">
        <is>
          <t>open</t>
        </is>
      </c>
      <c r="N482" s="4" t="inlineStr">
        <is>
          <t>2026-10-29</t>
        </is>
      </c>
      <c r="O482" s="16" t="inlineStr">
        <is>
          <t>warn</t>
        </is>
      </c>
      <c r="P482" s="14" t="inlineStr">
        <is>
          <t>pass</t>
        </is>
      </c>
      <c r="Q482" s="14" t="inlineStr">
        <is>
          <t>pass</t>
        </is>
      </c>
      <c r="R482" s="15" t="inlineStr">
        <is>
          <t>not_checked</t>
        </is>
      </c>
      <c r="S482" s="15" t="inlineStr">
        <is>
          <t>not_checked</t>
        </is>
      </c>
      <c r="T482" s="14" t="inlineStr">
        <is>
          <t>pass</t>
        </is>
      </c>
      <c r="U482" s="14" t="inlineStr">
        <is>
          <t>pass</t>
        </is>
      </c>
      <c r="V482" s="15" t="inlineStr">
        <is>
          <t>not_checked</t>
        </is>
      </c>
      <c r="W482" s="15" t="inlineStr">
        <is>
          <t>not_checked</t>
        </is>
      </c>
      <c r="X482" s="14" t="inlineStr">
        <is>
          <t>pass</t>
        </is>
      </c>
      <c r="Y482" s="15" t="inlineStr">
        <is>
          <t>not_checked</t>
        </is>
      </c>
      <c r="Z482" s="15" t="inlineStr">
        <is>
          <t>not_checked</t>
        </is>
      </c>
      <c r="AA482" s="15" t="inlineStr">
        <is>
          <t>not_checked</t>
        </is>
      </c>
      <c r="AB482" s="15" t="inlineStr">
        <is>
          <t>not_checked</t>
        </is>
      </c>
      <c r="AC482" s="15" t="inlineStr">
        <is>
          <t>not_checked</t>
        </is>
      </c>
      <c r="AD482" s="15" t="inlineStr">
        <is>
          <t>not_checked</t>
        </is>
      </c>
      <c r="AE482" s="15" t="inlineStr">
        <is>
          <t>not_checked</t>
        </is>
      </c>
      <c r="AF482" s="15" t="inlineStr">
        <is>
          <t>not_checked</t>
        </is>
      </c>
      <c r="AG482" s="15" t="inlineStr">
        <is>
          <t>not_checked</t>
        </is>
      </c>
      <c r="AH482" s="15" t="inlineStr">
        <is>
          <t>not_checked</t>
        </is>
      </c>
      <c r="AI482" s="15" t="inlineStr">
        <is>
          <t>n.a.</t>
        </is>
      </c>
      <c r="AJ482" s="15" t="inlineStr">
        <is>
          <t>n.a.</t>
        </is>
      </c>
      <c r="AK482" s="4" t="inlineStr">
        <is>
          <t>link_live(warn)</t>
        </is>
      </c>
      <c r="AL482" s="17" t="inlineStr">
        <is>
          <t>https://data.humdata.org/dataset/hotosm_phl_health_facilities</t>
        </is>
      </c>
      <c r="AM482" s="4" t="inlineStr">
        <is>
          <t>hdx_health_facilities_of_philippines</t>
        </is>
      </c>
    </row>
    <row r="483">
      <c r="A483" s="4" t="inlineStr">
        <is>
          <t>Hospitals of Nepal</t>
        </is>
      </c>
      <c r="B483" s="20" t="inlineStr">
        <is>
          <t>Bronze</t>
        </is>
      </c>
      <c r="C483" s="4" t="n">
        <v>50</v>
      </c>
      <c r="D483" s="4" t="inlineStr">
        <is>
          <t>health_outcome</t>
        </is>
      </c>
      <c r="E483" s="4" t="inlineStr">
        <is>
          <t>blocked</t>
        </is>
      </c>
      <c r="F483" s="4" t="inlineStr">
        <is>
          <t>not checked</t>
        </is>
      </c>
      <c r="G483" s="4" t="inlineStr">
        <is>
          <t>points</t>
        </is>
      </c>
      <c r="H483" s="4" t="inlineStr">
        <is>
          <t>Needs a count/distance step</t>
        </is>
      </c>
      <c r="I483" s="4" t="n">
        <v>3</v>
      </c>
      <c r="J483" s="4" t="inlineStr"/>
      <c r="K483" s="4" t="inlineStr">
        <is>
          <t>Catalog lead</t>
        </is>
      </c>
      <c r="L483" s="4" t="n">
        <v>2026</v>
      </c>
      <c r="M483" s="4" t="inlineStr">
        <is>
          <t>open</t>
        </is>
      </c>
      <c r="N483" s="4" t="inlineStr">
        <is>
          <t>2026-10-29</t>
        </is>
      </c>
      <c r="O483" s="16" t="inlineStr">
        <is>
          <t>warn</t>
        </is>
      </c>
      <c r="P483" s="14" t="inlineStr">
        <is>
          <t>pass</t>
        </is>
      </c>
      <c r="Q483" s="14" t="inlineStr">
        <is>
          <t>pass</t>
        </is>
      </c>
      <c r="R483" s="15" t="inlineStr">
        <is>
          <t>not_checked</t>
        </is>
      </c>
      <c r="S483" s="15" t="inlineStr">
        <is>
          <t>not_checked</t>
        </is>
      </c>
      <c r="T483" s="14" t="inlineStr">
        <is>
          <t>pass</t>
        </is>
      </c>
      <c r="U483" s="14" t="inlineStr">
        <is>
          <t>pass</t>
        </is>
      </c>
      <c r="V483" s="15" t="inlineStr">
        <is>
          <t>not_checked</t>
        </is>
      </c>
      <c r="W483" s="15" t="inlineStr">
        <is>
          <t>not_checked</t>
        </is>
      </c>
      <c r="X483" s="14" t="inlineStr">
        <is>
          <t>pass</t>
        </is>
      </c>
      <c r="Y483" s="15" t="inlineStr">
        <is>
          <t>not_checked</t>
        </is>
      </c>
      <c r="Z483" s="15" t="inlineStr">
        <is>
          <t>not_checked</t>
        </is>
      </c>
      <c r="AA483" s="15" t="inlineStr">
        <is>
          <t>not_checked</t>
        </is>
      </c>
      <c r="AB483" s="15" t="inlineStr">
        <is>
          <t>not_checked</t>
        </is>
      </c>
      <c r="AC483" s="15" t="inlineStr">
        <is>
          <t>not_checked</t>
        </is>
      </c>
      <c r="AD483" s="15" t="inlineStr">
        <is>
          <t>not_checked</t>
        </is>
      </c>
      <c r="AE483" s="15" t="inlineStr">
        <is>
          <t>not_checked</t>
        </is>
      </c>
      <c r="AF483" s="15" t="inlineStr">
        <is>
          <t>not_checked</t>
        </is>
      </c>
      <c r="AG483" s="15" t="inlineStr">
        <is>
          <t>not_checked</t>
        </is>
      </c>
      <c r="AH483" s="15" t="inlineStr">
        <is>
          <t>not_checked</t>
        </is>
      </c>
      <c r="AI483" s="15" t="inlineStr">
        <is>
          <t>n.a.</t>
        </is>
      </c>
      <c r="AJ483" s="15" t="inlineStr">
        <is>
          <t>n.a.</t>
        </is>
      </c>
      <c r="AK483" s="4" t="inlineStr">
        <is>
          <t>link_live(warn)</t>
        </is>
      </c>
      <c r="AL483" s="17" t="inlineStr">
        <is>
          <t>https://data.humdata.org/dataset/osgeonepal_npl_hospitals</t>
        </is>
      </c>
      <c r="AM483" s="4" t="inlineStr">
        <is>
          <t>hdx_hospitals_of_nepal</t>
        </is>
      </c>
    </row>
    <row r="484">
      <c r="A484" s="4" t="inlineStr">
        <is>
          <t>Malaria Atlas Project (MAP) global rasters: Pf parasite rate, incidence, ITN coverage, accessibility to cities and healthcare travel time (Weiss et al.)</t>
        </is>
      </c>
      <c r="B484" s="19" t="inlineStr">
        <is>
          <t>Silver</t>
        </is>
      </c>
      <c r="C484" s="4" t="n">
        <v>86</v>
      </c>
      <c r="D484" s="4" t="inlineStr">
        <is>
          <t>health_outcome</t>
        </is>
      </c>
      <c r="E484" s="4" t="inlineStr">
        <is>
          <t>blocked</t>
        </is>
      </c>
      <c r="F484" s="4" t="inlineStr">
        <is>
          <t>unknown</t>
        </is>
      </c>
      <c r="G484" s="4" t="inlineStr">
        <is>
          <t>national, subnational, pixel</t>
        </is>
      </c>
      <c r="H484" s="4" t="inlineStr">
        <is>
          <t>Needs raster support</t>
        </is>
      </c>
      <c r="I484" s="4" t="n">
        <v>3</v>
      </c>
      <c r="J484" s="4" t="inlineStr"/>
      <c r="K484" s="4" t="inlineStr">
        <is>
          <t>Curated</t>
        </is>
      </c>
      <c r="L484" s="4" t="n">
        <v>2022</v>
      </c>
      <c r="M484" s="4" t="inlineStr">
        <is>
          <t>open</t>
        </is>
      </c>
      <c r="N484" s="4" t="inlineStr">
        <is>
          <t>2026-10-29</t>
        </is>
      </c>
      <c r="O484" s="14" t="inlineStr">
        <is>
          <t>pass</t>
        </is>
      </c>
      <c r="P484" s="14" t="inlineStr">
        <is>
          <t>pass</t>
        </is>
      </c>
      <c r="Q484" s="14" t="inlineStr">
        <is>
          <t>pass</t>
        </is>
      </c>
      <c r="R484" s="16" t="inlineStr">
        <is>
          <t>warn</t>
        </is>
      </c>
      <c r="S484" s="15" t="inlineStr">
        <is>
          <t>not_checked</t>
        </is>
      </c>
      <c r="T484" s="14" t="inlineStr">
        <is>
          <t>pass</t>
        </is>
      </c>
      <c r="U484" s="14" t="inlineStr">
        <is>
          <t>pass</t>
        </is>
      </c>
      <c r="V484" s="14" t="inlineStr">
        <is>
          <t>pass</t>
        </is>
      </c>
      <c r="W484" s="16" t="inlineStr">
        <is>
          <t>warn</t>
        </is>
      </c>
      <c r="X484" s="14" t="inlineStr">
        <is>
          <t>pass</t>
        </is>
      </c>
      <c r="Y484" s="15" t="inlineStr">
        <is>
          <t>not_checked</t>
        </is>
      </c>
      <c r="Z484" s="15" t="inlineStr">
        <is>
          <t>not_checked</t>
        </is>
      </c>
      <c r="AA484" s="15" t="inlineStr">
        <is>
          <t>not_checked</t>
        </is>
      </c>
      <c r="AB484" s="15" t="inlineStr">
        <is>
          <t>not_checked</t>
        </is>
      </c>
      <c r="AC484" s="15" t="inlineStr">
        <is>
          <t>not_checked</t>
        </is>
      </c>
      <c r="AD484" s="15" t="inlineStr">
        <is>
          <t>not_checked</t>
        </is>
      </c>
      <c r="AE484" s="15" t="inlineStr">
        <is>
          <t>not_checked</t>
        </is>
      </c>
      <c r="AF484" s="15" t="inlineStr">
        <is>
          <t>not_checked</t>
        </is>
      </c>
      <c r="AG484" s="15" t="inlineStr">
        <is>
          <t>not_checked</t>
        </is>
      </c>
      <c r="AH484" s="15" t="inlineStr">
        <is>
          <t>not_checked</t>
        </is>
      </c>
      <c r="AI484" s="15" t="inlineStr">
        <is>
          <t>n.a.</t>
        </is>
      </c>
      <c r="AJ484" s="15" t="inlineStr">
        <is>
          <t>n.a.</t>
        </is>
      </c>
      <c r="AK484" s="4" t="inlineStr">
        <is>
          <t>soft404(warn);persistent_id(warn)</t>
        </is>
      </c>
      <c r="AL484" s="17" t="inlineStr">
        <is>
          <t>https://data.malariaatlas.org/</t>
        </is>
      </c>
      <c r="AM484" s="4" t="inlineStr">
        <is>
          <t>global_malaria_atlas_project_rasters</t>
        </is>
      </c>
    </row>
    <row r="485">
      <c r="A485" s="4" t="inlineStr">
        <is>
          <t>Multiple Indicator Cluster Surveys (MICS)</t>
        </is>
      </c>
      <c r="B485" s="21" t="inlineStr">
        <is>
          <t>Browser needed</t>
        </is>
      </c>
      <c r="C485" s="4" t="n">
        <v>50</v>
      </c>
      <c r="D485" s="4" t="inlineStr">
        <is>
          <t>health_outcome</t>
        </is>
      </c>
      <c r="E485" s="4" t="inlineStr">
        <is>
          <t>blocked</t>
        </is>
      </c>
      <c r="F485" s="4" t="inlineStr">
        <is>
          <t>not checked</t>
        </is>
      </c>
      <c r="G485" s="4" t="inlineStr">
        <is>
          <t>unknown</t>
        </is>
      </c>
      <c r="H485" s="4" t="inlineStr">
        <is>
          <t>Not linkable as listed</t>
        </is>
      </c>
      <c r="I485" s="4" t="n">
        <v>3</v>
      </c>
      <c r="J485" s="4" t="inlineStr"/>
      <c r="K485" s="4" t="inlineStr">
        <is>
          <t>Curated</t>
        </is>
      </c>
      <c r="L485" s="4" t="inlineStr">
        <is>
          <t>current</t>
        </is>
      </c>
      <c r="M485" s="4" t="inlineStr">
        <is>
          <t>registration</t>
        </is>
      </c>
      <c r="N485" s="4" t="inlineStr">
        <is>
          <t>2026-10-22</t>
        </is>
      </c>
      <c r="O485" s="16" t="inlineStr">
        <is>
          <t>warn</t>
        </is>
      </c>
      <c r="P485" s="14" t="inlineStr">
        <is>
          <t>pass</t>
        </is>
      </c>
      <c r="Q485" s="14" t="inlineStr">
        <is>
          <t>pass</t>
        </is>
      </c>
      <c r="R485" s="15" t="inlineStr">
        <is>
          <t>not_checked</t>
        </is>
      </c>
      <c r="S485" s="15" t="inlineStr">
        <is>
          <t>not_checked</t>
        </is>
      </c>
      <c r="T485" s="15" t="inlineStr">
        <is>
          <t>n.a.</t>
        </is>
      </c>
      <c r="U485" s="15" t="inlineStr">
        <is>
          <t>n.a.</t>
        </is>
      </c>
      <c r="V485" s="15" t="inlineStr">
        <is>
          <t>not_checked</t>
        </is>
      </c>
      <c r="W485" s="15" t="inlineStr">
        <is>
          <t>not_checked</t>
        </is>
      </c>
      <c r="X485" s="14" t="inlineStr">
        <is>
          <t>pass</t>
        </is>
      </c>
      <c r="Y485" s="15" t="inlineStr">
        <is>
          <t>not_checked</t>
        </is>
      </c>
      <c r="Z485" s="15" t="inlineStr">
        <is>
          <t>not_checked</t>
        </is>
      </c>
      <c r="AA485" s="15" t="inlineStr">
        <is>
          <t>not_checked</t>
        </is>
      </c>
      <c r="AB485" s="15" t="inlineStr">
        <is>
          <t>not_checked</t>
        </is>
      </c>
      <c r="AC485" s="15" t="inlineStr">
        <is>
          <t>not_checked</t>
        </is>
      </c>
      <c r="AD485" s="15" t="inlineStr">
        <is>
          <t>not_checked</t>
        </is>
      </c>
      <c r="AE485" s="15" t="inlineStr">
        <is>
          <t>not_checked</t>
        </is>
      </c>
      <c r="AF485" s="15" t="inlineStr">
        <is>
          <t>not_checked</t>
        </is>
      </c>
      <c r="AG485" s="15" t="inlineStr">
        <is>
          <t>not_checked</t>
        </is>
      </c>
      <c r="AH485" s="15" t="inlineStr">
        <is>
          <t>not_checked</t>
        </is>
      </c>
      <c r="AI485" s="15" t="inlineStr">
        <is>
          <t>n.a.</t>
        </is>
      </c>
      <c r="AJ485" s="15" t="inlineStr">
        <is>
          <t>n.a.</t>
        </is>
      </c>
      <c r="AK485" s="4" t="inlineStr">
        <is>
          <t>link_live(warn)</t>
        </is>
      </c>
      <c r="AL485" s="17" t="inlineStr">
        <is>
          <t>https://mics.unicef.org/surveys</t>
        </is>
      </c>
      <c r="AM485" s="4" t="inlineStr">
        <is>
          <t>global_unicef_mics</t>
        </is>
      </c>
    </row>
    <row r="486">
      <c r="A486" s="4" t="inlineStr">
        <is>
          <t>Nigeria: Health facilities</t>
        </is>
      </c>
      <c r="B486" s="19" t="inlineStr">
        <is>
          <t>Silver</t>
        </is>
      </c>
      <c r="C486" s="4" t="n">
        <v>50</v>
      </c>
      <c r="D486" s="4" t="inlineStr">
        <is>
          <t>health_outcome</t>
        </is>
      </c>
      <c r="E486" s="4" t="inlineStr">
        <is>
          <t>blocked</t>
        </is>
      </c>
      <c r="F486" s="4" t="inlineStr">
        <is>
          <t>not checked</t>
        </is>
      </c>
      <c r="G486" s="4" t="inlineStr">
        <is>
          <t>points</t>
        </is>
      </c>
      <c r="H486" s="4" t="inlineStr">
        <is>
          <t>Needs a count/distance step</t>
        </is>
      </c>
      <c r="I486" s="4" t="n">
        <v>3</v>
      </c>
      <c r="J486" s="4" t="inlineStr"/>
      <c r="K486" s="4" t="inlineStr">
        <is>
          <t>Catalog lead</t>
        </is>
      </c>
      <c r="L486" s="4" t="n">
        <v>2020</v>
      </c>
      <c r="M486" s="4" t="inlineStr">
        <is>
          <t>open</t>
        </is>
      </c>
      <c r="N486" s="4" t="inlineStr">
        <is>
          <t>2026-10-29</t>
        </is>
      </c>
      <c r="O486" s="16" t="inlineStr">
        <is>
          <t>warn</t>
        </is>
      </c>
      <c r="P486" s="14" t="inlineStr">
        <is>
          <t>pass</t>
        </is>
      </c>
      <c r="Q486" s="14" t="inlineStr">
        <is>
          <t>pass</t>
        </is>
      </c>
      <c r="R486" s="15" t="inlineStr">
        <is>
          <t>not_checked</t>
        </is>
      </c>
      <c r="S486" s="15" t="inlineStr">
        <is>
          <t>not_checked</t>
        </is>
      </c>
      <c r="T486" s="14" t="inlineStr">
        <is>
          <t>pass</t>
        </is>
      </c>
      <c r="U486" s="14" t="inlineStr">
        <is>
          <t>pass</t>
        </is>
      </c>
      <c r="V486" s="15" t="inlineStr">
        <is>
          <t>not_checked</t>
        </is>
      </c>
      <c r="W486" s="15" t="inlineStr">
        <is>
          <t>not_checked</t>
        </is>
      </c>
      <c r="X486" s="14" t="inlineStr">
        <is>
          <t>pass</t>
        </is>
      </c>
      <c r="Y486" s="15" t="inlineStr">
        <is>
          <t>not_checked</t>
        </is>
      </c>
      <c r="Z486" s="15" t="inlineStr">
        <is>
          <t>not_checked</t>
        </is>
      </c>
      <c r="AA486" s="15" t="inlineStr">
        <is>
          <t>not_checked</t>
        </is>
      </c>
      <c r="AB486" s="15" t="inlineStr">
        <is>
          <t>not_checked</t>
        </is>
      </c>
      <c r="AC486" s="15" t="inlineStr">
        <is>
          <t>not_checked</t>
        </is>
      </c>
      <c r="AD486" s="15" t="inlineStr">
        <is>
          <t>not_checked</t>
        </is>
      </c>
      <c r="AE486" s="15" t="inlineStr">
        <is>
          <t>not_checked</t>
        </is>
      </c>
      <c r="AF486" s="15" t="inlineStr">
        <is>
          <t>not_checked</t>
        </is>
      </c>
      <c r="AG486" s="15" t="inlineStr">
        <is>
          <t>not_checked</t>
        </is>
      </c>
      <c r="AH486" s="15" t="inlineStr">
        <is>
          <t>not_checked</t>
        </is>
      </c>
      <c r="AI486" s="15" t="inlineStr">
        <is>
          <t>n.a.</t>
        </is>
      </c>
      <c r="AJ486" s="15" t="inlineStr">
        <is>
          <t>n.a.</t>
        </is>
      </c>
      <c r="AK486" s="4" t="inlineStr">
        <is>
          <t>link_live(warn)</t>
        </is>
      </c>
      <c r="AL486" s="17" t="inlineStr">
        <is>
          <t>https://data.humdata.org/dataset/nigeria-health-facilities</t>
        </is>
      </c>
      <c r="AM486" s="4" t="inlineStr">
        <is>
          <t>hdx_nigeria_health_facilities</t>
        </is>
      </c>
    </row>
    <row r="487">
      <c r="A487" s="4" t="inlineStr">
        <is>
          <t>Nigeria: Hospitals and Clinics with registration status and Location</t>
        </is>
      </c>
      <c r="B487" s="19" t="inlineStr">
        <is>
          <t>Silver</t>
        </is>
      </c>
      <c r="C487" s="4" t="n">
        <v>50</v>
      </c>
      <c r="D487" s="4" t="inlineStr">
        <is>
          <t>health_outcome</t>
        </is>
      </c>
      <c r="E487" s="4" t="inlineStr">
        <is>
          <t>blocked</t>
        </is>
      </c>
      <c r="F487" s="4" t="inlineStr">
        <is>
          <t>not checked</t>
        </is>
      </c>
      <c r="G487" s="4" t="inlineStr">
        <is>
          <t>facility list with location</t>
        </is>
      </c>
      <c r="H487" s="4" t="inlineStr">
        <is>
          <t>Needs a count/distance step</t>
        </is>
      </c>
      <c r="I487" s="4" t="n">
        <v>3</v>
      </c>
      <c r="J487" s="4" t="inlineStr"/>
      <c r="K487" s="4" t="inlineStr">
        <is>
          <t>Catalog lead</t>
        </is>
      </c>
      <c r="L487" s="4" t="n">
        <v>2021</v>
      </c>
      <c r="M487" s="4" t="inlineStr">
        <is>
          <t>open</t>
        </is>
      </c>
      <c r="N487" s="4" t="inlineStr">
        <is>
          <t>2026-10-29</t>
        </is>
      </c>
      <c r="O487" s="16" t="inlineStr">
        <is>
          <t>warn</t>
        </is>
      </c>
      <c r="P487" s="14" t="inlineStr">
        <is>
          <t>pass</t>
        </is>
      </c>
      <c r="Q487" s="14" t="inlineStr">
        <is>
          <t>pass</t>
        </is>
      </c>
      <c r="R487" s="15" t="inlineStr">
        <is>
          <t>not_checked</t>
        </is>
      </c>
      <c r="S487" s="15" t="inlineStr">
        <is>
          <t>not_checked</t>
        </is>
      </c>
      <c r="T487" s="14" t="inlineStr">
        <is>
          <t>pass</t>
        </is>
      </c>
      <c r="U487" s="14" t="inlineStr">
        <is>
          <t>pass</t>
        </is>
      </c>
      <c r="V487" s="15" t="inlineStr">
        <is>
          <t>not_checked</t>
        </is>
      </c>
      <c r="W487" s="15" t="inlineStr">
        <is>
          <t>not_checked</t>
        </is>
      </c>
      <c r="X487" s="14" t="inlineStr">
        <is>
          <t>pass</t>
        </is>
      </c>
      <c r="Y487" s="15" t="inlineStr">
        <is>
          <t>not_checked</t>
        </is>
      </c>
      <c r="Z487" s="15" t="inlineStr">
        <is>
          <t>not_checked</t>
        </is>
      </c>
      <c r="AA487" s="15" t="inlineStr">
        <is>
          <t>not_checked</t>
        </is>
      </c>
      <c r="AB487" s="15" t="inlineStr">
        <is>
          <t>not_checked</t>
        </is>
      </c>
      <c r="AC487" s="15" t="inlineStr">
        <is>
          <t>not_checked</t>
        </is>
      </c>
      <c r="AD487" s="15" t="inlineStr">
        <is>
          <t>not_checked</t>
        </is>
      </c>
      <c r="AE487" s="15" t="inlineStr">
        <is>
          <t>not_checked</t>
        </is>
      </c>
      <c r="AF487" s="15" t="inlineStr">
        <is>
          <t>not_checked</t>
        </is>
      </c>
      <c r="AG487" s="15" t="inlineStr">
        <is>
          <t>not_checked</t>
        </is>
      </c>
      <c r="AH487" s="15" t="inlineStr">
        <is>
          <t>not_checked</t>
        </is>
      </c>
      <c r="AI487" s="15" t="inlineStr">
        <is>
          <t>n.a.</t>
        </is>
      </c>
      <c r="AJ487" s="15" t="inlineStr">
        <is>
          <t>n.a.</t>
        </is>
      </c>
      <c r="AK487" s="4" t="inlineStr">
        <is>
          <t>link_live(warn)</t>
        </is>
      </c>
      <c r="AL487" s="17" t="inlineStr">
        <is>
          <t>https://data.humdata.org/dataset/nigeria-hospitals-and-clinics-with-registration-status-and-location</t>
        </is>
      </c>
      <c r="AM487" s="4" t="inlineStr">
        <is>
          <t>hdx_nigeria_hospitals_and_clinics_with_registration_status</t>
        </is>
      </c>
    </row>
    <row r="488">
      <c r="A488" s="4" t="inlineStr">
        <is>
          <t>Public Hospitals in Myanmar</t>
        </is>
      </c>
      <c r="B488" s="20" t="inlineStr">
        <is>
          <t>Bronze</t>
        </is>
      </c>
      <c r="C488" s="4" t="n">
        <v>50</v>
      </c>
      <c r="D488" s="4" t="inlineStr">
        <is>
          <t>health_outcome</t>
        </is>
      </c>
      <c r="E488" s="4" t="inlineStr">
        <is>
          <t>blocked</t>
        </is>
      </c>
      <c r="F488" s="4" t="inlineStr">
        <is>
          <t>not checked</t>
        </is>
      </c>
      <c r="G488" s="4" t="inlineStr">
        <is>
          <t>points</t>
        </is>
      </c>
      <c r="H488" s="4" t="inlineStr">
        <is>
          <t>Needs a count/distance step</t>
        </is>
      </c>
      <c r="I488" s="4" t="n">
        <v>3</v>
      </c>
      <c r="J488" s="4" t="inlineStr"/>
      <c r="K488" s="4" t="inlineStr">
        <is>
          <t>Catalog lead</t>
        </is>
      </c>
      <c r="L488" s="4" t="n">
        <v>2020</v>
      </c>
      <c r="M488" s="4" t="inlineStr">
        <is>
          <t>open</t>
        </is>
      </c>
      <c r="N488" s="4" t="inlineStr">
        <is>
          <t>2026-10-29</t>
        </is>
      </c>
      <c r="O488" s="16" t="inlineStr">
        <is>
          <t>warn</t>
        </is>
      </c>
      <c r="P488" s="14" t="inlineStr">
        <is>
          <t>pass</t>
        </is>
      </c>
      <c r="Q488" s="14" t="inlineStr">
        <is>
          <t>pass</t>
        </is>
      </c>
      <c r="R488" s="15" t="inlineStr">
        <is>
          <t>not_checked</t>
        </is>
      </c>
      <c r="S488" s="15" t="inlineStr">
        <is>
          <t>not_checked</t>
        </is>
      </c>
      <c r="T488" s="14" t="inlineStr">
        <is>
          <t>pass</t>
        </is>
      </c>
      <c r="U488" s="14" t="inlineStr">
        <is>
          <t>pass</t>
        </is>
      </c>
      <c r="V488" s="15" t="inlineStr">
        <is>
          <t>not_checked</t>
        </is>
      </c>
      <c r="W488" s="15" t="inlineStr">
        <is>
          <t>not_checked</t>
        </is>
      </c>
      <c r="X488" s="14" t="inlineStr">
        <is>
          <t>pass</t>
        </is>
      </c>
      <c r="Y488" s="15" t="inlineStr">
        <is>
          <t>not_checked</t>
        </is>
      </c>
      <c r="Z488" s="15" t="inlineStr">
        <is>
          <t>not_checked</t>
        </is>
      </c>
      <c r="AA488" s="15" t="inlineStr">
        <is>
          <t>not_checked</t>
        </is>
      </c>
      <c r="AB488" s="15" t="inlineStr">
        <is>
          <t>not_checked</t>
        </is>
      </c>
      <c r="AC488" s="15" t="inlineStr">
        <is>
          <t>not_checked</t>
        </is>
      </c>
      <c r="AD488" s="15" t="inlineStr">
        <is>
          <t>not_checked</t>
        </is>
      </c>
      <c r="AE488" s="15" t="inlineStr">
        <is>
          <t>not_checked</t>
        </is>
      </c>
      <c r="AF488" s="15" t="inlineStr">
        <is>
          <t>not_checked</t>
        </is>
      </c>
      <c r="AG488" s="15" t="inlineStr">
        <is>
          <t>not_checked</t>
        </is>
      </c>
      <c r="AH488" s="15" t="inlineStr">
        <is>
          <t>not_checked</t>
        </is>
      </c>
      <c r="AI488" s="15" t="inlineStr">
        <is>
          <t>n.a.</t>
        </is>
      </c>
      <c r="AJ488" s="15" t="inlineStr">
        <is>
          <t>n.a.</t>
        </is>
      </c>
      <c r="AK488" s="4" t="inlineStr">
        <is>
          <t>link_live(warn)</t>
        </is>
      </c>
      <c r="AL488" s="17" t="inlineStr">
        <is>
          <t>https://data.humdata.org/dataset/mimu-geonode-public-hospitals-in-myanmar</t>
        </is>
      </c>
      <c r="AM488" s="4" t="inlineStr">
        <is>
          <t>hdx_public_hospitals_in_myanmar</t>
        </is>
      </c>
    </row>
    <row r="489">
      <c r="A489" s="4" t="inlineStr">
        <is>
          <t>Somalia - Health Facilities</t>
        </is>
      </c>
      <c r="B489" s="19" t="inlineStr">
        <is>
          <t>Silver</t>
        </is>
      </c>
      <c r="C489" s="4" t="n">
        <v>50</v>
      </c>
      <c r="D489" s="4" t="inlineStr">
        <is>
          <t>health_outcome</t>
        </is>
      </c>
      <c r="E489" s="4" t="inlineStr">
        <is>
          <t>blocked</t>
        </is>
      </c>
      <c r="F489" s="4" t="inlineStr">
        <is>
          <t>not checked</t>
        </is>
      </c>
      <c r="G489" s="4" t="inlineStr">
        <is>
          <t>points</t>
        </is>
      </c>
      <c r="H489" s="4" t="inlineStr">
        <is>
          <t>Needs a count/distance step</t>
        </is>
      </c>
      <c r="I489" s="4" t="n">
        <v>3</v>
      </c>
      <c r="J489" s="4" t="inlineStr"/>
      <c r="K489" s="4" t="inlineStr">
        <is>
          <t>Catalog lead</t>
        </is>
      </c>
      <c r="L489" s="4" t="n">
        <v>2023</v>
      </c>
      <c r="M489" s="4" t="inlineStr">
        <is>
          <t>open</t>
        </is>
      </c>
      <c r="N489" s="4" t="inlineStr">
        <is>
          <t>2026-10-29</t>
        </is>
      </c>
      <c r="O489" s="16" t="inlineStr">
        <is>
          <t>warn</t>
        </is>
      </c>
      <c r="P489" s="14" t="inlineStr">
        <is>
          <t>pass</t>
        </is>
      </c>
      <c r="Q489" s="14" t="inlineStr">
        <is>
          <t>pass</t>
        </is>
      </c>
      <c r="R489" s="15" t="inlineStr">
        <is>
          <t>not_checked</t>
        </is>
      </c>
      <c r="S489" s="15" t="inlineStr">
        <is>
          <t>not_checked</t>
        </is>
      </c>
      <c r="T489" s="14" t="inlineStr">
        <is>
          <t>pass</t>
        </is>
      </c>
      <c r="U489" s="14" t="inlineStr">
        <is>
          <t>pass</t>
        </is>
      </c>
      <c r="V489" s="15" t="inlineStr">
        <is>
          <t>not_checked</t>
        </is>
      </c>
      <c r="W489" s="15" t="inlineStr">
        <is>
          <t>not_checked</t>
        </is>
      </c>
      <c r="X489" s="14" t="inlineStr">
        <is>
          <t>pass</t>
        </is>
      </c>
      <c r="Y489" s="15" t="inlineStr">
        <is>
          <t>not_checked</t>
        </is>
      </c>
      <c r="Z489" s="15" t="inlineStr">
        <is>
          <t>not_checked</t>
        </is>
      </c>
      <c r="AA489" s="15" t="inlineStr">
        <is>
          <t>not_checked</t>
        </is>
      </c>
      <c r="AB489" s="15" t="inlineStr">
        <is>
          <t>not_checked</t>
        </is>
      </c>
      <c r="AC489" s="15" t="inlineStr">
        <is>
          <t>not_checked</t>
        </is>
      </c>
      <c r="AD489" s="15" t="inlineStr">
        <is>
          <t>not_checked</t>
        </is>
      </c>
      <c r="AE489" s="15" t="inlineStr">
        <is>
          <t>not_checked</t>
        </is>
      </c>
      <c r="AF489" s="15" t="inlineStr">
        <is>
          <t>not_checked</t>
        </is>
      </c>
      <c r="AG489" s="15" t="inlineStr">
        <is>
          <t>not_checked</t>
        </is>
      </c>
      <c r="AH489" s="15" t="inlineStr">
        <is>
          <t>not_checked</t>
        </is>
      </c>
      <c r="AI489" s="15" t="inlineStr">
        <is>
          <t>n.a.</t>
        </is>
      </c>
      <c r="AJ489" s="15" t="inlineStr">
        <is>
          <t>n.a.</t>
        </is>
      </c>
      <c r="AK489" s="4" t="inlineStr">
        <is>
          <t>link_live(warn)</t>
        </is>
      </c>
      <c r="AL489" s="17" t="inlineStr">
        <is>
          <t>https://data.humdata.org/dataset/somalia-health-facilities-data</t>
        </is>
      </c>
      <c r="AM489" s="4" t="inlineStr">
        <is>
          <t>hdx_somalia_health_facilities</t>
        </is>
      </c>
    </row>
    <row r="490">
      <c r="A490" s="4" t="inlineStr">
        <is>
          <t>Sudan: Prevalence of diseases in outpatient clinics per state</t>
        </is>
      </c>
      <c r="B490" s="18" t="inlineStr">
        <is>
          <t>Failed</t>
        </is>
      </c>
      <c r="C490" s="4" t="n">
        <v>50</v>
      </c>
      <c r="D490" s="4" t="inlineStr">
        <is>
          <t>health_outcome</t>
        </is>
      </c>
      <c r="E490" s="4" t="inlineStr">
        <is>
          <t>blocked</t>
        </is>
      </c>
      <c r="F490" s="4" t="inlineStr">
        <is>
          <t>not checked</t>
        </is>
      </c>
      <c r="G490" s="4" t="inlineStr">
        <is>
          <t>state</t>
        </is>
      </c>
      <c r="H490" s="4" t="inlineStr">
        <is>
          <t>Needs a count/distance step</t>
        </is>
      </c>
      <c r="I490" s="4" t="n">
        <v>3</v>
      </c>
      <c r="J490" s="4" t="inlineStr"/>
      <c r="K490" s="4" t="inlineStr">
        <is>
          <t>Catalog lead</t>
        </is>
      </c>
      <c r="L490" s="4" t="n">
        <v>2018</v>
      </c>
      <c r="M490" s="4" t="inlineStr">
        <is>
          <t>open</t>
        </is>
      </c>
      <c r="N490" s="4" t="inlineStr">
        <is>
          <t>2026-10-29</t>
        </is>
      </c>
      <c r="O490" s="16" t="inlineStr">
        <is>
          <t>warn</t>
        </is>
      </c>
      <c r="P490" s="14" t="inlineStr">
        <is>
          <t>pass</t>
        </is>
      </c>
      <c r="Q490" s="14" t="inlineStr">
        <is>
          <t>pass</t>
        </is>
      </c>
      <c r="R490" s="15" t="inlineStr">
        <is>
          <t>not_checked</t>
        </is>
      </c>
      <c r="S490" s="15" t="inlineStr">
        <is>
          <t>not_checked</t>
        </is>
      </c>
      <c r="T490" s="14" t="inlineStr">
        <is>
          <t>pass</t>
        </is>
      </c>
      <c r="U490" s="14" t="inlineStr">
        <is>
          <t>pass</t>
        </is>
      </c>
      <c r="V490" s="15" t="inlineStr">
        <is>
          <t>not_checked</t>
        </is>
      </c>
      <c r="W490" s="15" t="inlineStr">
        <is>
          <t>not_checked</t>
        </is>
      </c>
      <c r="X490" s="14" t="inlineStr">
        <is>
          <t>pass</t>
        </is>
      </c>
      <c r="Y490" s="15" t="inlineStr">
        <is>
          <t>not_checked</t>
        </is>
      </c>
      <c r="Z490" s="15" t="inlineStr">
        <is>
          <t>not_checked</t>
        </is>
      </c>
      <c r="AA490" s="15" t="inlineStr">
        <is>
          <t>not_checked</t>
        </is>
      </c>
      <c r="AB490" s="15" t="inlineStr">
        <is>
          <t>not_checked</t>
        </is>
      </c>
      <c r="AC490" s="15" t="inlineStr">
        <is>
          <t>not_checked</t>
        </is>
      </c>
      <c r="AD490" s="15" t="inlineStr">
        <is>
          <t>not_checked</t>
        </is>
      </c>
      <c r="AE490" s="15" t="inlineStr">
        <is>
          <t>not_checked</t>
        </is>
      </c>
      <c r="AF490" s="15" t="inlineStr">
        <is>
          <t>not_checked</t>
        </is>
      </c>
      <c r="AG490" s="15" t="inlineStr">
        <is>
          <t>not_checked</t>
        </is>
      </c>
      <c r="AH490" s="15" t="inlineStr">
        <is>
          <t>not_checked</t>
        </is>
      </c>
      <c r="AI490" s="15" t="inlineStr">
        <is>
          <t>n.a.</t>
        </is>
      </c>
      <c r="AJ490" s="15" t="inlineStr">
        <is>
          <t>n.a.</t>
        </is>
      </c>
      <c r="AK490" s="4" t="inlineStr">
        <is>
          <t>link_live(warn)</t>
        </is>
      </c>
      <c r="AL490" s="17" t="inlineStr">
        <is>
          <t>https://data.humdata.org/dataset/sudan-prevalence-of-diseases-in-outpatient-clinics-per-state</t>
        </is>
      </c>
      <c r="AM490" s="4" t="inlineStr">
        <is>
          <t>hdx_sudan_prevalence_of_diseases_in_outpatient_clinics_per</t>
        </is>
      </c>
    </row>
    <row r="491">
      <c r="A491" s="4" t="inlineStr">
        <is>
          <t>Ugandan Regional and General Hospitals</t>
        </is>
      </c>
      <c r="B491" s="18" t="inlineStr">
        <is>
          <t>Failed</t>
        </is>
      </c>
      <c r="C491" s="4" t="n">
        <v>50</v>
      </c>
      <c r="D491" s="4" t="inlineStr">
        <is>
          <t>health_outcome</t>
        </is>
      </c>
      <c r="E491" s="4" t="inlineStr">
        <is>
          <t>blocked</t>
        </is>
      </c>
      <c r="F491" s="4" t="inlineStr">
        <is>
          <t>not checked</t>
        </is>
      </c>
      <c r="G491" s="4" t="inlineStr">
        <is>
          <t>facility list</t>
        </is>
      </c>
      <c r="H491" s="4" t="inlineStr">
        <is>
          <t>Needs a count/distance step</t>
        </is>
      </c>
      <c r="I491" s="4" t="n">
        <v>3</v>
      </c>
      <c r="J491" s="4" t="inlineStr"/>
      <c r="K491" s="4" t="inlineStr">
        <is>
          <t>Catalog lead</t>
        </is>
      </c>
      <c r="L491" s="4" t="n">
        <v>2018</v>
      </c>
      <c r="M491" s="4" t="inlineStr">
        <is>
          <t>open</t>
        </is>
      </c>
      <c r="N491" s="4" t="inlineStr">
        <is>
          <t>2026-10-29</t>
        </is>
      </c>
      <c r="O491" s="16" t="inlineStr">
        <is>
          <t>warn</t>
        </is>
      </c>
      <c r="P491" s="14" t="inlineStr">
        <is>
          <t>pass</t>
        </is>
      </c>
      <c r="Q491" s="14" t="inlineStr">
        <is>
          <t>pass</t>
        </is>
      </c>
      <c r="R491" s="15" t="inlineStr">
        <is>
          <t>not_checked</t>
        </is>
      </c>
      <c r="S491" s="15" t="inlineStr">
        <is>
          <t>not_checked</t>
        </is>
      </c>
      <c r="T491" s="14" t="inlineStr">
        <is>
          <t>pass</t>
        </is>
      </c>
      <c r="U491" s="14" t="inlineStr">
        <is>
          <t>pass</t>
        </is>
      </c>
      <c r="V491" s="15" t="inlineStr">
        <is>
          <t>not_checked</t>
        </is>
      </c>
      <c r="W491" s="15" t="inlineStr">
        <is>
          <t>not_checked</t>
        </is>
      </c>
      <c r="X491" s="16" t="inlineStr">
        <is>
          <t>warn</t>
        </is>
      </c>
      <c r="Y491" s="15" t="inlineStr">
        <is>
          <t>not_checked</t>
        </is>
      </c>
      <c r="Z491" s="15" t="inlineStr">
        <is>
          <t>not_checked</t>
        </is>
      </c>
      <c r="AA491" s="15" t="inlineStr">
        <is>
          <t>not_checked</t>
        </is>
      </c>
      <c r="AB491" s="15" t="inlineStr">
        <is>
          <t>not_checked</t>
        </is>
      </c>
      <c r="AC491" s="15" t="inlineStr">
        <is>
          <t>not_checked</t>
        </is>
      </c>
      <c r="AD491" s="15" t="inlineStr">
        <is>
          <t>not_checked</t>
        </is>
      </c>
      <c r="AE491" s="15" t="inlineStr">
        <is>
          <t>not_checked</t>
        </is>
      </c>
      <c r="AF491" s="15" t="inlineStr">
        <is>
          <t>not_checked</t>
        </is>
      </c>
      <c r="AG491" s="15" t="inlineStr">
        <is>
          <t>not_checked</t>
        </is>
      </c>
      <c r="AH491" s="15" t="inlineStr">
        <is>
          <t>not_checked</t>
        </is>
      </c>
      <c r="AI491" s="15" t="inlineStr">
        <is>
          <t>n.a.</t>
        </is>
      </c>
      <c r="AJ491" s="15" t="inlineStr">
        <is>
          <t>n.a.</t>
        </is>
      </c>
      <c r="AK491" s="4" t="inlineStr">
        <is>
          <t>link_live(warn);archived(warn)</t>
        </is>
      </c>
      <c r="AL491" s="17" t="inlineStr">
        <is>
          <t>https://data.humdata.org/dataset/ugandan-regional-and-general-hospitals</t>
        </is>
      </c>
      <c r="AM491" s="4" t="inlineStr">
        <is>
          <t>hdx_ugandan_regional_and_general_hospitals</t>
        </is>
      </c>
    </row>
    <row r="492">
      <c r="A492" s="4" t="inlineStr">
        <is>
          <t>ICPSR / openICPSR data archive (listing)</t>
        </is>
      </c>
      <c r="B492" s="21" t="inlineStr">
        <is>
          <t>Browser needed</t>
        </is>
      </c>
      <c r="C492" s="4" t="n">
        <v>94</v>
      </c>
      <c r="D492" s="4" t="inlineStr">
        <is>
          <t>other</t>
        </is>
      </c>
      <c r="E492" s="4" t="inlineStr">
        <is>
          <t>blocked</t>
        </is>
      </c>
      <c r="F492" s="4" t="inlineStr">
        <is>
          <t>unknown</t>
        </is>
      </c>
      <c r="G492" s="4" t="inlineStr">
        <is>
          <t>point</t>
        </is>
      </c>
      <c r="H492" s="4" t="inlineStr">
        <is>
          <t>Needs a count/distance step</t>
        </is>
      </c>
      <c r="I492" s="4" t="n">
        <v>3</v>
      </c>
      <c r="J492" s="4" t="inlineStr"/>
      <c r="K492" s="4" t="inlineStr">
        <is>
          <t>Curated</t>
        </is>
      </c>
      <c r="L492" s="4" t="inlineStr">
        <is>
          <t>current</t>
        </is>
      </c>
      <c r="M492" s="4" t="inlineStr">
        <is>
          <t>registration</t>
        </is>
      </c>
      <c r="N492" s="4" t="inlineStr">
        <is>
          <t>2026-10-22</t>
        </is>
      </c>
      <c r="O492" s="14" t="inlineStr">
        <is>
          <t>pass</t>
        </is>
      </c>
      <c r="P492" s="14" t="inlineStr">
        <is>
          <t>pass</t>
        </is>
      </c>
      <c r="Q492" s="14" t="inlineStr">
        <is>
          <t>pass</t>
        </is>
      </c>
      <c r="R492" s="14" t="inlineStr">
        <is>
          <t>pass</t>
        </is>
      </c>
      <c r="S492" s="14" t="inlineStr">
        <is>
          <t>pass</t>
        </is>
      </c>
      <c r="T492" s="16" t="inlineStr">
        <is>
          <t>warn</t>
        </is>
      </c>
      <c r="U492" s="15" t="inlineStr">
        <is>
          <t>n.a.</t>
        </is>
      </c>
      <c r="V492" s="16" t="inlineStr">
        <is>
          <t>warn</t>
        </is>
      </c>
      <c r="W492" s="16" t="inlineStr">
        <is>
          <t>warn</t>
        </is>
      </c>
      <c r="X492" s="14" t="inlineStr">
        <is>
          <t>pass</t>
        </is>
      </c>
      <c r="Y492" s="15" t="inlineStr">
        <is>
          <t>not_checked</t>
        </is>
      </c>
      <c r="Z492" s="15" t="inlineStr">
        <is>
          <t>not_checked</t>
        </is>
      </c>
      <c r="AA492" s="15" t="inlineStr">
        <is>
          <t>not_checked</t>
        </is>
      </c>
      <c r="AB492" s="15" t="inlineStr">
        <is>
          <t>not_checked</t>
        </is>
      </c>
      <c r="AC492" s="15" t="inlineStr">
        <is>
          <t>not_checked</t>
        </is>
      </c>
      <c r="AD492" s="15" t="inlineStr">
        <is>
          <t>not_checked</t>
        </is>
      </c>
      <c r="AE492" s="15" t="inlineStr">
        <is>
          <t>not_checked</t>
        </is>
      </c>
      <c r="AF492" s="15" t="inlineStr">
        <is>
          <t>not_checked</t>
        </is>
      </c>
      <c r="AG492" s="15" t="inlineStr">
        <is>
          <t>not_checked</t>
        </is>
      </c>
      <c r="AH492" s="15" t="inlineStr">
        <is>
          <t>not_checked</t>
        </is>
      </c>
      <c r="AI492" s="15" t="inlineStr">
        <is>
          <t>n.a.</t>
        </is>
      </c>
      <c r="AJ492" s="15" t="inlineStr">
        <is>
          <t>n.a.</t>
        </is>
      </c>
      <c r="AK492" s="4" t="inlineStr">
        <is>
          <t>access_url(warn);machine_metadata(warn);persistent_id(warn)</t>
        </is>
      </c>
      <c r="AL492" s="17" t="inlineStr">
        <is>
          <t>https://www.icpsr.umich.edu/web/pages/</t>
        </is>
      </c>
      <c r="AM492" s="4" t="inlineStr">
        <is>
          <t>us_icpsr_open_data</t>
        </is>
      </c>
    </row>
    <row r="493">
      <c r="A493" s="4" t="inlineStr">
        <is>
          <t>National COVID Cohort Collaborative (N3C) Data Enclave</t>
        </is>
      </c>
      <c r="B493" s="21" t="inlineStr">
        <is>
          <t>Browser needed</t>
        </is>
      </c>
      <c r="C493" s="4" t="n">
        <v>71</v>
      </c>
      <c r="D493" s="4" t="inlineStr">
        <is>
          <t>other</t>
        </is>
      </c>
      <c r="E493" s="4" t="inlineStr">
        <is>
          <t>blocked</t>
        </is>
      </c>
      <c r="F493" s="4" t="inlineStr">
        <is>
          <t>unknown</t>
        </is>
      </c>
      <c r="G493" s="4" t="inlineStr">
        <is>
          <t>unknown</t>
        </is>
      </c>
      <c r="H493" s="4" t="inlineStr">
        <is>
          <t>Unknown</t>
        </is>
      </c>
      <c r="I493" s="4" t="n">
        <v>3</v>
      </c>
      <c r="J493" s="4" t="inlineStr"/>
      <c r="K493" s="4" t="inlineStr">
        <is>
          <t>Curated</t>
        </is>
      </c>
      <c r="L493" s="4" t="inlineStr"/>
      <c r="M493" s="4" t="inlineStr">
        <is>
          <t>restricted</t>
        </is>
      </c>
      <c r="N493" s="4" t="inlineStr">
        <is>
          <t>2026-10-28</t>
        </is>
      </c>
      <c r="O493" s="14" t="inlineStr">
        <is>
          <t>pass</t>
        </is>
      </c>
      <c r="P493" s="14" t="inlineStr">
        <is>
          <t>pass</t>
        </is>
      </c>
      <c r="Q493" s="14" t="inlineStr">
        <is>
          <t>pass</t>
        </is>
      </c>
      <c r="R493" s="16" t="inlineStr">
        <is>
          <t>warn</t>
        </is>
      </c>
      <c r="S493" s="15" t="inlineStr">
        <is>
          <t>not_checked</t>
        </is>
      </c>
      <c r="T493" s="15" t="inlineStr">
        <is>
          <t>n.a.</t>
        </is>
      </c>
      <c r="U493" s="15" t="inlineStr">
        <is>
          <t>n.a.</t>
        </is>
      </c>
      <c r="V493" s="18" t="inlineStr">
        <is>
          <t>fail</t>
        </is>
      </c>
      <c r="W493" s="16" t="inlineStr">
        <is>
          <t>warn</t>
        </is>
      </c>
      <c r="X493" s="14" t="inlineStr">
        <is>
          <t>pass</t>
        </is>
      </c>
      <c r="Y493" s="15" t="inlineStr">
        <is>
          <t>not_checked</t>
        </is>
      </c>
      <c r="Z493" s="15" t="inlineStr">
        <is>
          <t>not_checked</t>
        </is>
      </c>
      <c r="AA493" s="15" t="inlineStr">
        <is>
          <t>not_checked</t>
        </is>
      </c>
      <c r="AB493" s="15" t="inlineStr">
        <is>
          <t>not_checked</t>
        </is>
      </c>
      <c r="AC493" s="15" t="inlineStr">
        <is>
          <t>not_checked</t>
        </is>
      </c>
      <c r="AD493" s="15" t="inlineStr">
        <is>
          <t>not_checked</t>
        </is>
      </c>
      <c r="AE493" s="15" t="inlineStr">
        <is>
          <t>not_checked</t>
        </is>
      </c>
      <c r="AF493" s="15" t="inlineStr">
        <is>
          <t>not_checked</t>
        </is>
      </c>
      <c r="AG493" s="15" t="inlineStr">
        <is>
          <t>not_checked</t>
        </is>
      </c>
      <c r="AH493" s="15" t="inlineStr">
        <is>
          <t>not_checked</t>
        </is>
      </c>
      <c r="AI493" s="15" t="inlineStr">
        <is>
          <t>n.a.</t>
        </is>
      </c>
      <c r="AJ493" s="15" t="inlineStr">
        <is>
          <t>n.a.</t>
        </is>
      </c>
      <c r="AK493" s="4" t="inlineStr">
        <is>
          <t>machine_metadata;soft404(warn);persistent_id(warn)</t>
        </is>
      </c>
      <c r="AL493" s="17" t="inlineStr">
        <is>
          <t>https://n3c.ncats.nih.gov/</t>
        </is>
      </c>
      <c r="AM493" s="4" t="inlineStr">
        <is>
          <t>us_ncats_n3c</t>
        </is>
      </c>
    </row>
    <row r="494">
      <c r="A494" s="4" t="inlineStr">
        <is>
          <t>Global Terrorism Database (GTD)</t>
        </is>
      </c>
      <c r="B494" s="21" t="inlineStr">
        <is>
          <t>Browser needed</t>
        </is>
      </c>
      <c r="C494" s="4" t="n">
        <v>89</v>
      </c>
      <c r="D494" s="4" t="inlineStr">
        <is>
          <t>other</t>
        </is>
      </c>
      <c r="E494" s="4" t="inlineStr">
        <is>
          <t>blocked</t>
        </is>
      </c>
      <c r="F494" s="4" t="inlineStr">
        <is>
          <t>unknown</t>
        </is>
      </c>
      <c r="G494" s="4" t="inlineStr">
        <is>
          <t>point</t>
        </is>
      </c>
      <c r="H494" s="4" t="inlineStr">
        <is>
          <t>Needs a count/distance step</t>
        </is>
      </c>
      <c r="I494" s="4" t="n">
        <v>2</v>
      </c>
      <c r="J494" s="4" t="inlineStr"/>
      <c r="K494" s="4" t="inlineStr">
        <is>
          <t>Curated</t>
        </is>
      </c>
      <c r="L494" s="4" t="n">
        <v>2020</v>
      </c>
      <c r="M494" s="4" t="inlineStr">
        <is>
          <t>registration</t>
        </is>
      </c>
      <c r="N494" s="4" t="inlineStr">
        <is>
          <t>2026-10-28</t>
        </is>
      </c>
      <c r="O494" s="14" t="inlineStr">
        <is>
          <t>pass</t>
        </is>
      </c>
      <c r="P494" s="14" t="inlineStr">
        <is>
          <t>pass</t>
        </is>
      </c>
      <c r="Q494" s="14" t="inlineStr">
        <is>
          <t>pass</t>
        </is>
      </c>
      <c r="R494" s="14" t="inlineStr">
        <is>
          <t>pass</t>
        </is>
      </c>
      <c r="S494" s="14" t="inlineStr">
        <is>
          <t>pass</t>
        </is>
      </c>
      <c r="T494" s="15" t="inlineStr">
        <is>
          <t>n.a.</t>
        </is>
      </c>
      <c r="U494" s="15" t="inlineStr">
        <is>
          <t>n.a.</t>
        </is>
      </c>
      <c r="V494" s="18" t="inlineStr">
        <is>
          <t>fail</t>
        </is>
      </c>
      <c r="W494" s="16" t="inlineStr">
        <is>
          <t>warn</t>
        </is>
      </c>
      <c r="X494" s="14" t="inlineStr">
        <is>
          <t>pass</t>
        </is>
      </c>
      <c r="Y494" s="15" t="inlineStr">
        <is>
          <t>not_checked</t>
        </is>
      </c>
      <c r="Z494" s="15" t="inlineStr">
        <is>
          <t>not_checked</t>
        </is>
      </c>
      <c r="AA494" s="15" t="inlineStr">
        <is>
          <t>not_checked</t>
        </is>
      </c>
      <c r="AB494" s="15" t="inlineStr">
        <is>
          <t>not_checked</t>
        </is>
      </c>
      <c r="AC494" s="15" t="inlineStr">
        <is>
          <t>not_checked</t>
        </is>
      </c>
      <c r="AD494" s="15" t="inlineStr">
        <is>
          <t>not_checked</t>
        </is>
      </c>
      <c r="AE494" s="15" t="inlineStr">
        <is>
          <t>not_checked</t>
        </is>
      </c>
      <c r="AF494" s="15" t="inlineStr">
        <is>
          <t>not_checked</t>
        </is>
      </c>
      <c r="AG494" s="15" t="inlineStr">
        <is>
          <t>not_checked</t>
        </is>
      </c>
      <c r="AH494" s="15" t="inlineStr">
        <is>
          <t>not_checked</t>
        </is>
      </c>
      <c r="AI494" s="15" t="inlineStr">
        <is>
          <t>n.a.</t>
        </is>
      </c>
      <c r="AJ494" s="15" t="inlineStr">
        <is>
          <t>n.a.</t>
        </is>
      </c>
      <c r="AK494" s="4" t="inlineStr">
        <is>
          <t>machine_metadata;persistent_id(warn)</t>
        </is>
      </c>
      <c r="AL494" s="17" t="inlineStr">
        <is>
          <t>https://www.start.umd.edu/gtd/</t>
        </is>
      </c>
      <c r="AM494" s="4" t="inlineStr">
        <is>
          <t>global_start_gtd</t>
        </is>
      </c>
    </row>
    <row r="495">
      <c r="A495" s="4" t="inlineStr">
        <is>
          <t>2015 Miami-Dade County DEM (10ft, 30ft, 100ft)</t>
        </is>
      </c>
      <c r="B495" s="21" t="inlineStr">
        <is>
          <t>Browser needed</t>
        </is>
      </c>
      <c r="C495" s="4" t="n">
        <v>94</v>
      </c>
      <c r="D495" s="4" t="inlineStr">
        <is>
          <t>other</t>
        </is>
      </c>
      <c r="E495" s="4" t="inlineStr">
        <is>
          <t>blocked</t>
        </is>
      </c>
      <c r="F495" s="4" t="inlineStr">
        <is>
          <t>unknown</t>
        </is>
      </c>
      <c r="G495" s="4" t="inlineStr">
        <is>
          <t>grid_</t>
        </is>
      </c>
      <c r="H495" s="4" t="inlineStr">
        <is>
          <t>Needs raster support</t>
        </is>
      </c>
      <c r="I495" s="4" t="n">
        <v>1</v>
      </c>
      <c r="J495" s="4" t="inlineStr"/>
      <c r="K495" s="4" t="inlineStr">
        <is>
          <t>Curated</t>
        </is>
      </c>
      <c r="L495" s="4" t="n">
        <v>2015</v>
      </c>
      <c r="M495" s="4" t="inlineStr">
        <is>
          <t>unknown</t>
        </is>
      </c>
      <c r="N495" s="4" t="inlineStr">
        <is>
          <t>2026-10-28</t>
        </is>
      </c>
      <c r="O495" s="14" t="inlineStr">
        <is>
          <t>pass</t>
        </is>
      </c>
      <c r="P495" s="14" t="inlineStr">
        <is>
          <t>pass</t>
        </is>
      </c>
      <c r="Q495" s="14" t="inlineStr">
        <is>
          <t>pass</t>
        </is>
      </c>
      <c r="R495" s="14" t="inlineStr">
        <is>
          <t>pass</t>
        </is>
      </c>
      <c r="S495" s="14" t="inlineStr">
        <is>
          <t>pass</t>
        </is>
      </c>
      <c r="T495" s="15" t="inlineStr">
        <is>
          <t>n.a.</t>
        </is>
      </c>
      <c r="U495" s="15" t="inlineStr">
        <is>
          <t>n.a.</t>
        </is>
      </c>
      <c r="V495" s="16" t="inlineStr">
        <is>
          <t>warn</t>
        </is>
      </c>
      <c r="W495" s="16" t="inlineStr">
        <is>
          <t>warn</t>
        </is>
      </c>
      <c r="X495" s="14" t="inlineStr">
        <is>
          <t>pass</t>
        </is>
      </c>
      <c r="Y495" s="15" t="inlineStr">
        <is>
          <t>not_checked</t>
        </is>
      </c>
      <c r="Z495" s="15" t="inlineStr">
        <is>
          <t>not_checked</t>
        </is>
      </c>
      <c r="AA495" s="15" t="inlineStr">
        <is>
          <t>not_checked</t>
        </is>
      </c>
      <c r="AB495" s="15" t="inlineStr">
        <is>
          <t>not_checked</t>
        </is>
      </c>
      <c r="AC495" s="15" t="inlineStr">
        <is>
          <t>not_checked</t>
        </is>
      </c>
      <c r="AD495" s="15" t="inlineStr">
        <is>
          <t>not_checked</t>
        </is>
      </c>
      <c r="AE495" s="15" t="inlineStr">
        <is>
          <t>not_checked</t>
        </is>
      </c>
      <c r="AF495" s="15" t="inlineStr">
        <is>
          <t>not_checked</t>
        </is>
      </c>
      <c r="AG495" s="15" t="inlineStr">
        <is>
          <t>not_checked</t>
        </is>
      </c>
      <c r="AH495" s="15" t="inlineStr">
        <is>
          <t>not_checked</t>
        </is>
      </c>
      <c r="AI495" s="15" t="inlineStr">
        <is>
          <t>n.a.</t>
        </is>
      </c>
      <c r="AJ495" s="15" t="inlineStr">
        <is>
          <t>n.a.</t>
        </is>
      </c>
      <c r="AK495" s="4" t="inlineStr">
        <is>
          <t>machine_metadata(warn);persistent_id(warn)</t>
        </is>
      </c>
      <c r="AL495" s="17" t="inlineStr">
        <is>
          <t>https://gis-mdc.opendata.arcgis.com/documents/MDC::2015-miami-dade-county-dem-10ft/about</t>
        </is>
      </c>
      <c r="AM495" s="4" t="inlineStr">
        <is>
          <t>us_mdc_2015_dem</t>
        </is>
      </c>
    </row>
    <row r="496">
      <c r="A496" s="4" t="inlineStr">
        <is>
          <t>Glaciares Huayhuash (ANA)</t>
        </is>
      </c>
      <c r="B496" s="21" t="inlineStr">
        <is>
          <t>Browser needed</t>
        </is>
      </c>
      <c r="C496" s="4" t="n">
        <v>50</v>
      </c>
      <c r="D496" s="4" t="inlineStr">
        <is>
          <t>other</t>
        </is>
      </c>
      <c r="E496" s="4" t="inlineStr">
        <is>
          <t>blocked</t>
        </is>
      </c>
      <c r="F496" s="4" t="inlineStr">
        <is>
          <t>not checked</t>
        </is>
      </c>
      <c r="G496" s="4" t="inlineStr">
        <is>
          <t>unknown</t>
        </is>
      </c>
      <c r="H496" s="4" t="inlineStr">
        <is>
          <t>Unknown</t>
        </is>
      </c>
      <c r="I496" s="4" t="n">
        <v>1</v>
      </c>
      <c r="J496" s="4" t="inlineStr"/>
      <c r="K496" s="4" t="inlineStr">
        <is>
          <t>Curated</t>
        </is>
      </c>
      <c r="L496" s="4" t="inlineStr"/>
      <c r="M496" s="4" t="inlineStr">
        <is>
          <t>unknown</t>
        </is>
      </c>
      <c r="N496" s="4" t="inlineStr">
        <is>
          <t>2026-10-22</t>
        </is>
      </c>
      <c r="O496" s="16" t="inlineStr">
        <is>
          <t>warn</t>
        </is>
      </c>
      <c r="P496" s="15" t="inlineStr">
        <is>
          <t>n.a.</t>
        </is>
      </c>
      <c r="Q496" s="15" t="inlineStr">
        <is>
          <t>n.a.</t>
        </is>
      </c>
      <c r="R496" s="15" t="inlineStr">
        <is>
          <t>n.a.</t>
        </is>
      </c>
      <c r="S496" s="15" t="inlineStr">
        <is>
          <t>n.a.</t>
        </is>
      </c>
      <c r="T496" s="15" t="inlineStr">
        <is>
          <t>n.a.</t>
        </is>
      </c>
      <c r="U496" s="15" t="inlineStr">
        <is>
          <t>n.a.</t>
        </is>
      </c>
      <c r="V496" s="15" t="inlineStr">
        <is>
          <t>n.a.</t>
        </is>
      </c>
      <c r="W496" s="15" t="inlineStr">
        <is>
          <t>not_checked</t>
        </is>
      </c>
      <c r="X496" s="14" t="inlineStr">
        <is>
          <t>pass</t>
        </is>
      </c>
      <c r="Y496" s="15" t="inlineStr">
        <is>
          <t>not_checked</t>
        </is>
      </c>
      <c r="Z496" s="15" t="inlineStr">
        <is>
          <t>not_checked</t>
        </is>
      </c>
      <c r="AA496" s="15" t="inlineStr">
        <is>
          <t>not_checked</t>
        </is>
      </c>
      <c r="AB496" s="15" t="inlineStr">
        <is>
          <t>not_checked</t>
        </is>
      </c>
      <c r="AC496" s="15" t="inlineStr">
        <is>
          <t>not_checked</t>
        </is>
      </c>
      <c r="AD496" s="15" t="inlineStr">
        <is>
          <t>not_checked</t>
        </is>
      </c>
      <c r="AE496" s="15" t="inlineStr">
        <is>
          <t>not_checked</t>
        </is>
      </c>
      <c r="AF496" s="15" t="inlineStr">
        <is>
          <t>not_checked</t>
        </is>
      </c>
      <c r="AG496" s="15" t="inlineStr">
        <is>
          <t>not_checked</t>
        </is>
      </c>
      <c r="AH496" s="15" t="inlineStr">
        <is>
          <t>not_checked</t>
        </is>
      </c>
      <c r="AI496" s="15" t="inlineStr">
        <is>
          <t>n.a.</t>
        </is>
      </c>
      <c r="AJ496" s="15" t="inlineStr">
        <is>
          <t>n.a.</t>
        </is>
      </c>
      <c r="AK496" s="4" t="inlineStr">
        <is>
          <t>link_live(warn)</t>
        </is>
      </c>
      <c r="AL496" s="17" t="inlineStr">
        <is>
          <t>https://geosnirh.ana.gob.pe/server/rest/services/P%C3%BAblico/Glaciares/MapServer</t>
        </is>
      </c>
      <c r="AM496" s="4" t="inlineStr">
        <is>
          <t>pe_glaciares_ana</t>
        </is>
      </c>
    </row>
    <row r="497">
      <c r="A497" s="4" t="inlineStr">
        <is>
          <t>Hand-in-Hand Geospatial Platform</t>
        </is>
      </c>
      <c r="B497" s="21" t="inlineStr">
        <is>
          <t>Browser needed</t>
        </is>
      </c>
      <c r="C497" s="4" t="n">
        <v>71</v>
      </c>
      <c r="D497" s="4" t="inlineStr">
        <is>
          <t>other</t>
        </is>
      </c>
      <c r="E497" s="4" t="inlineStr">
        <is>
          <t>blocked</t>
        </is>
      </c>
      <c r="F497" s="4" t="inlineStr">
        <is>
          <t>unknown</t>
        </is>
      </c>
      <c r="G497" s="4" t="inlineStr">
        <is>
          <t>grid_</t>
        </is>
      </c>
      <c r="H497" s="4" t="inlineStr">
        <is>
          <t>Needs raster support</t>
        </is>
      </c>
      <c r="I497" s="4" t="n">
        <v>1</v>
      </c>
      <c r="J497" s="4" t="inlineStr"/>
      <c r="K497" s="4" t="inlineStr">
        <is>
          <t>Curated</t>
        </is>
      </c>
      <c r="L497" s="4" t="inlineStr"/>
      <c r="M497" s="4" t="inlineStr">
        <is>
          <t>open</t>
        </is>
      </c>
      <c r="N497" s="4" t="inlineStr">
        <is>
          <t>2026-10-28</t>
        </is>
      </c>
      <c r="O497" s="14" t="inlineStr">
        <is>
          <t>pass</t>
        </is>
      </c>
      <c r="P497" s="14" t="inlineStr">
        <is>
          <t>pass</t>
        </is>
      </c>
      <c r="Q497" s="14" t="inlineStr">
        <is>
          <t>pass</t>
        </is>
      </c>
      <c r="R497" s="16" t="inlineStr">
        <is>
          <t>warn</t>
        </is>
      </c>
      <c r="S497" s="15" t="inlineStr">
        <is>
          <t>not_checked</t>
        </is>
      </c>
      <c r="T497" s="15" t="inlineStr">
        <is>
          <t>n.a.</t>
        </is>
      </c>
      <c r="U497" s="15" t="inlineStr">
        <is>
          <t>n.a.</t>
        </is>
      </c>
      <c r="V497" s="18" t="inlineStr">
        <is>
          <t>fail</t>
        </is>
      </c>
      <c r="W497" s="16" t="inlineStr">
        <is>
          <t>warn</t>
        </is>
      </c>
      <c r="X497" s="14" t="inlineStr">
        <is>
          <t>pass</t>
        </is>
      </c>
      <c r="Y497" s="15" t="inlineStr">
        <is>
          <t>not_checked</t>
        </is>
      </c>
      <c r="Z497" s="15" t="inlineStr">
        <is>
          <t>not_checked</t>
        </is>
      </c>
      <c r="AA497" s="15" t="inlineStr">
        <is>
          <t>not_checked</t>
        </is>
      </c>
      <c r="AB497" s="15" t="inlineStr">
        <is>
          <t>not_checked</t>
        </is>
      </c>
      <c r="AC497" s="15" t="inlineStr">
        <is>
          <t>not_checked</t>
        </is>
      </c>
      <c r="AD497" s="15" t="inlineStr">
        <is>
          <t>not_checked</t>
        </is>
      </c>
      <c r="AE497" s="15" t="inlineStr">
        <is>
          <t>not_checked</t>
        </is>
      </c>
      <c r="AF497" s="15" t="inlineStr">
        <is>
          <t>not_checked</t>
        </is>
      </c>
      <c r="AG497" s="15" t="inlineStr">
        <is>
          <t>not_checked</t>
        </is>
      </c>
      <c r="AH497" s="15" t="inlineStr">
        <is>
          <t>not_checked</t>
        </is>
      </c>
      <c r="AI497" s="15" t="inlineStr">
        <is>
          <t>n.a.</t>
        </is>
      </c>
      <c r="AJ497" s="15" t="inlineStr">
        <is>
          <t>n.a.</t>
        </is>
      </c>
      <c r="AK497" s="4" t="inlineStr">
        <is>
          <t>machine_metadata;soft404(warn);persistent_id(warn)</t>
        </is>
      </c>
      <c r="AL497" s="17" t="inlineStr">
        <is>
          <t>https://data.apps.fao.org/</t>
        </is>
      </c>
      <c r="AM497" s="4" t="inlineStr">
        <is>
          <t>global_fao_hih_geospatial_platform</t>
        </is>
      </c>
    </row>
    <row r="498">
      <c r="A498" s="4" t="inlineStr">
        <is>
          <t>Inventario Bofedales Huayhuash 2023 (INAIGEM)</t>
        </is>
      </c>
      <c r="B498" s="21" t="inlineStr">
        <is>
          <t>Browser needed</t>
        </is>
      </c>
      <c r="C498" s="4" t="n">
        <v>71</v>
      </c>
      <c r="D498" s="4" t="inlineStr">
        <is>
          <t>other</t>
        </is>
      </c>
      <c r="E498" s="4" t="inlineStr">
        <is>
          <t>blocked</t>
        </is>
      </c>
      <c r="F498" s="4" t="inlineStr">
        <is>
          <t>unknown</t>
        </is>
      </c>
      <c r="G498" s="4" t="inlineStr">
        <is>
          <t>unknown</t>
        </is>
      </c>
      <c r="H498" s="4" t="inlineStr">
        <is>
          <t>Unknown</t>
        </is>
      </c>
      <c r="I498" s="4" t="n">
        <v>1</v>
      </c>
      <c r="J498" s="4" t="inlineStr">
        <is>
          <t>hh_2023_bofedales_inaigem</t>
        </is>
      </c>
      <c r="K498" s="4" t="inlineStr">
        <is>
          <t>Curated</t>
        </is>
      </c>
      <c r="L498" s="4" t="n">
        <v>2023</v>
      </c>
      <c r="M498" s="4" t="inlineStr">
        <is>
          <t>unknown</t>
        </is>
      </c>
      <c r="N498" s="4" t="inlineStr">
        <is>
          <t>2026-10-28</t>
        </is>
      </c>
      <c r="O498" s="14" t="inlineStr">
        <is>
          <t>pass</t>
        </is>
      </c>
      <c r="P498" s="14" t="inlineStr">
        <is>
          <t>pass</t>
        </is>
      </c>
      <c r="Q498" s="14" t="inlineStr">
        <is>
          <t>pass</t>
        </is>
      </c>
      <c r="R498" s="16" t="inlineStr">
        <is>
          <t>warn</t>
        </is>
      </c>
      <c r="S498" s="15" t="inlineStr">
        <is>
          <t>not_checked</t>
        </is>
      </c>
      <c r="T498" s="15" t="inlineStr">
        <is>
          <t>n.a.</t>
        </is>
      </c>
      <c r="U498" s="15" t="inlineStr">
        <is>
          <t>n.a.</t>
        </is>
      </c>
      <c r="V498" s="18" t="inlineStr">
        <is>
          <t>fail</t>
        </is>
      </c>
      <c r="W498" s="16" t="inlineStr">
        <is>
          <t>warn</t>
        </is>
      </c>
      <c r="X498" s="18" t="inlineStr">
        <is>
          <t>fail</t>
        </is>
      </c>
      <c r="Y498" s="15" t="inlineStr">
        <is>
          <t>not_checked</t>
        </is>
      </c>
      <c r="Z498" s="15" t="inlineStr">
        <is>
          <t>not_checked</t>
        </is>
      </c>
      <c r="AA498" s="15" t="inlineStr">
        <is>
          <t>not_checked</t>
        </is>
      </c>
      <c r="AB498" s="15" t="inlineStr">
        <is>
          <t>not_checked</t>
        </is>
      </c>
      <c r="AC498" s="15" t="inlineStr">
        <is>
          <t>not_checked</t>
        </is>
      </c>
      <c r="AD498" s="15" t="inlineStr">
        <is>
          <t>not_checked</t>
        </is>
      </c>
      <c r="AE498" s="15" t="inlineStr">
        <is>
          <t>not_checked</t>
        </is>
      </c>
      <c r="AF498" s="15" t="inlineStr">
        <is>
          <t>not_checked</t>
        </is>
      </c>
      <c r="AG498" s="15" t="inlineStr">
        <is>
          <t>not_checked</t>
        </is>
      </c>
      <c r="AH498" s="15" t="inlineStr">
        <is>
          <t>not_checked</t>
        </is>
      </c>
      <c r="AI498" s="14" t="inlineStr">
        <is>
          <t>pass</t>
        </is>
      </c>
      <c r="AJ498" s="15" t="inlineStr">
        <is>
          <t>not_checked</t>
        </is>
      </c>
      <c r="AK498" s="4" t="inlineStr">
        <is>
          <t>machine_metadata;archived;soft404(warn);persistent_id(warn)</t>
        </is>
      </c>
      <c r="AL498" s="17" t="inlineStr">
        <is>
          <t>https://datacochageoespacial.inaigem.gob.pe/geonetwork/srv/spa/catalog.search#/metadata/0b17e18e-2622-4158-9cc5-a31a587743df</t>
        </is>
      </c>
      <c r="AM498" s="4" t="inlineStr">
        <is>
          <t>pe_2023_bofedales_inaigem</t>
        </is>
      </c>
    </row>
    <row r="499">
      <c r="A499" s="4" t="inlineStr">
        <is>
          <t>Lagos y Lagunas Huayhuash (ANA)</t>
        </is>
      </c>
      <c r="B499" s="21" t="inlineStr">
        <is>
          <t>Browser needed</t>
        </is>
      </c>
      <c r="C499" s="4" t="n">
        <v>50</v>
      </c>
      <c r="D499" s="4" t="inlineStr">
        <is>
          <t>other</t>
        </is>
      </c>
      <c r="E499" s="4" t="inlineStr">
        <is>
          <t>blocked</t>
        </is>
      </c>
      <c r="F499" s="4" t="inlineStr">
        <is>
          <t>not checked</t>
        </is>
      </c>
      <c r="G499" s="4" t="inlineStr">
        <is>
          <t>unknown</t>
        </is>
      </c>
      <c r="H499" s="4" t="inlineStr">
        <is>
          <t>Unknown</t>
        </is>
      </c>
      <c r="I499" s="4" t="n">
        <v>1</v>
      </c>
      <c r="J499" s="4" t="inlineStr">
        <is>
          <t>hh_lagunas_ana</t>
        </is>
      </c>
      <c r="K499" s="4" t="inlineStr">
        <is>
          <t>Curated</t>
        </is>
      </c>
      <c r="L499" s="4" t="inlineStr"/>
      <c r="M499" s="4" t="inlineStr">
        <is>
          <t>unknown</t>
        </is>
      </c>
      <c r="N499" s="4" t="inlineStr">
        <is>
          <t>2026-10-22</t>
        </is>
      </c>
      <c r="O499" s="16" t="inlineStr">
        <is>
          <t>warn</t>
        </is>
      </c>
      <c r="P499" s="15" t="inlineStr">
        <is>
          <t>n.a.</t>
        </is>
      </c>
      <c r="Q499" s="15" t="inlineStr">
        <is>
          <t>n.a.</t>
        </is>
      </c>
      <c r="R499" s="15" t="inlineStr">
        <is>
          <t>n.a.</t>
        </is>
      </c>
      <c r="S499" s="15" t="inlineStr">
        <is>
          <t>n.a.</t>
        </is>
      </c>
      <c r="T499" s="15" t="inlineStr">
        <is>
          <t>n.a.</t>
        </is>
      </c>
      <c r="U499" s="15" t="inlineStr">
        <is>
          <t>n.a.</t>
        </is>
      </c>
      <c r="V499" s="15" t="inlineStr">
        <is>
          <t>n.a.</t>
        </is>
      </c>
      <c r="W499" s="15" t="inlineStr">
        <is>
          <t>not_checked</t>
        </is>
      </c>
      <c r="X499" s="14" t="inlineStr">
        <is>
          <t>pass</t>
        </is>
      </c>
      <c r="Y499" s="15" t="inlineStr">
        <is>
          <t>not_checked</t>
        </is>
      </c>
      <c r="Z499" s="15" t="inlineStr">
        <is>
          <t>not_checked</t>
        </is>
      </c>
      <c r="AA499" s="15" t="inlineStr">
        <is>
          <t>not_checked</t>
        </is>
      </c>
      <c r="AB499" s="15" t="inlineStr">
        <is>
          <t>not_checked</t>
        </is>
      </c>
      <c r="AC499" s="15" t="inlineStr">
        <is>
          <t>not_checked</t>
        </is>
      </c>
      <c r="AD499" s="15" t="inlineStr">
        <is>
          <t>not_checked</t>
        </is>
      </c>
      <c r="AE499" s="15" t="inlineStr">
        <is>
          <t>not_checked</t>
        </is>
      </c>
      <c r="AF499" s="15" t="inlineStr">
        <is>
          <t>not_checked</t>
        </is>
      </c>
      <c r="AG499" s="15" t="inlineStr">
        <is>
          <t>not_checked</t>
        </is>
      </c>
      <c r="AH499" s="15" t="inlineStr">
        <is>
          <t>not_checked</t>
        </is>
      </c>
      <c r="AI499" s="14" t="inlineStr">
        <is>
          <t>pass</t>
        </is>
      </c>
      <c r="AJ499" s="15" t="inlineStr">
        <is>
          <t>not_checked</t>
        </is>
      </c>
      <c r="AK499" s="4" t="inlineStr">
        <is>
          <t>link_live(warn)</t>
        </is>
      </c>
      <c r="AL499" s="17" t="inlineStr">
        <is>
          <t>https://geosnirh.ana.gob.pe/server/rest/services/P%C3%BAblico/Lagunas/MapServer/36</t>
        </is>
      </c>
      <c r="AM499" s="4" t="inlineStr">
        <is>
          <t>pe_lagunas_ana</t>
        </is>
      </c>
    </row>
    <row r="500">
      <c r="A500" s="4" t="inlineStr">
        <is>
          <t>Miami-Dade Bodies of Water</t>
        </is>
      </c>
      <c r="B500" s="21" t="inlineStr">
        <is>
          <t>Browser needed</t>
        </is>
      </c>
      <c r="C500" s="4" t="n">
        <v>86</v>
      </c>
      <c r="D500" s="4" t="inlineStr">
        <is>
          <t>other</t>
        </is>
      </c>
      <c r="E500" s="4" t="inlineStr">
        <is>
          <t>blocked</t>
        </is>
      </c>
      <c r="F500" s="4" t="inlineStr">
        <is>
          <t>unknown</t>
        </is>
      </c>
      <c r="G500" s="4" t="inlineStr">
        <is>
          <t>unknown</t>
        </is>
      </c>
      <c r="H500" s="4" t="inlineStr">
        <is>
          <t>Unknown</t>
        </is>
      </c>
      <c r="I500" s="4" t="n">
        <v>1</v>
      </c>
      <c r="J500" s="4" t="inlineStr">
        <is>
          <t>mdc_water_polygons</t>
        </is>
      </c>
      <c r="K500" s="4" t="inlineStr">
        <is>
          <t>Curated</t>
        </is>
      </c>
      <c r="L500" s="4" t="inlineStr"/>
      <c r="M500" s="4" t="inlineStr">
        <is>
          <t>unknown</t>
        </is>
      </c>
      <c r="N500" s="4" t="inlineStr">
        <is>
          <t>2026-10-28</t>
        </is>
      </c>
      <c r="O500" s="14" t="inlineStr">
        <is>
          <t>pass</t>
        </is>
      </c>
      <c r="P500" s="14" t="inlineStr">
        <is>
          <t>pass</t>
        </is>
      </c>
      <c r="Q500" s="14" t="inlineStr">
        <is>
          <t>pass</t>
        </is>
      </c>
      <c r="R500" s="16" t="inlineStr">
        <is>
          <t>warn</t>
        </is>
      </c>
      <c r="S500" s="15" t="inlineStr">
        <is>
          <t>not_checked</t>
        </is>
      </c>
      <c r="T500" s="15" t="inlineStr">
        <is>
          <t>n.a.</t>
        </is>
      </c>
      <c r="U500" s="15" t="inlineStr">
        <is>
          <t>n.a.</t>
        </is>
      </c>
      <c r="V500" s="14" t="inlineStr">
        <is>
          <t>pass</t>
        </is>
      </c>
      <c r="W500" s="16" t="inlineStr">
        <is>
          <t>warn</t>
        </is>
      </c>
      <c r="X500" s="14" t="inlineStr">
        <is>
          <t>pass</t>
        </is>
      </c>
      <c r="Y500" s="15" t="inlineStr">
        <is>
          <t>not_checked</t>
        </is>
      </c>
      <c r="Z500" s="15" t="inlineStr">
        <is>
          <t>not_checked</t>
        </is>
      </c>
      <c r="AA500" s="15" t="inlineStr">
        <is>
          <t>not_checked</t>
        </is>
      </c>
      <c r="AB500" s="15" t="inlineStr">
        <is>
          <t>not_checked</t>
        </is>
      </c>
      <c r="AC500" s="15" t="inlineStr">
        <is>
          <t>not_checked</t>
        </is>
      </c>
      <c r="AD500" s="15" t="inlineStr">
        <is>
          <t>not_checked</t>
        </is>
      </c>
      <c r="AE500" s="15" t="inlineStr">
        <is>
          <t>not_checked</t>
        </is>
      </c>
      <c r="AF500" s="15" t="inlineStr">
        <is>
          <t>not_checked</t>
        </is>
      </c>
      <c r="AG500" s="15" t="inlineStr">
        <is>
          <t>not_checked</t>
        </is>
      </c>
      <c r="AH500" s="15" t="inlineStr">
        <is>
          <t>not_checked</t>
        </is>
      </c>
      <c r="AI500" s="14" t="inlineStr">
        <is>
          <t>pass</t>
        </is>
      </c>
      <c r="AJ500" s="15" t="inlineStr">
        <is>
          <t>not_checked</t>
        </is>
      </c>
      <c r="AK500" s="4" t="inlineStr">
        <is>
          <t>soft404(warn);persistent_id(warn)</t>
        </is>
      </c>
      <c r="AL500" s="17" t="inlineStr">
        <is>
          <t>https://gis-mdc.opendata.arcgis.com/datasets/MDC::water-p/about</t>
        </is>
      </c>
      <c r="AM500" s="4" t="inlineStr">
        <is>
          <t>us_mdc_water_polygons</t>
        </is>
      </c>
    </row>
    <row r="501">
      <c r="A501" s="4" t="inlineStr">
        <is>
          <t>ODS GP and GP practice related data (epraccur)</t>
        </is>
      </c>
      <c r="B501" s="21" t="inlineStr">
        <is>
          <t>Browser needed</t>
        </is>
      </c>
      <c r="C501" s="4" t="n">
        <v>50</v>
      </c>
      <c r="D501" s="4" t="inlineStr">
        <is>
          <t>other</t>
        </is>
      </c>
      <c r="E501" s="4" t="inlineStr">
        <is>
          <t>blocked</t>
        </is>
      </c>
      <c r="F501" s="4" t="inlineStr">
        <is>
          <t>not checked</t>
        </is>
      </c>
      <c r="G501" s="4" t="inlineStr">
        <is>
          <t>point</t>
        </is>
      </c>
      <c r="H501" s="4" t="inlineStr">
        <is>
          <t>Needs a count/distance step</t>
        </is>
      </c>
      <c r="I501" s="4" t="n">
        <v>1</v>
      </c>
      <c r="J501" s="4" t="inlineStr"/>
      <c r="K501" s="4" t="inlineStr">
        <is>
          <t>Curated</t>
        </is>
      </c>
      <c r="L501" s="4" t="inlineStr">
        <is>
          <t>current</t>
        </is>
      </c>
      <c r="M501" s="4" t="inlineStr">
        <is>
          <t>open</t>
        </is>
      </c>
      <c r="N501" s="4" t="inlineStr">
        <is>
          <t>2026-10-22</t>
        </is>
      </c>
      <c r="O501" s="16" t="inlineStr">
        <is>
          <t>warn</t>
        </is>
      </c>
      <c r="P501" s="14" t="inlineStr">
        <is>
          <t>pass</t>
        </is>
      </c>
      <c r="Q501" s="14" t="inlineStr">
        <is>
          <t>pass</t>
        </is>
      </c>
      <c r="R501" s="15" t="inlineStr">
        <is>
          <t>not_checked</t>
        </is>
      </c>
      <c r="S501" s="15" t="inlineStr">
        <is>
          <t>not_checked</t>
        </is>
      </c>
      <c r="T501" s="15" t="inlineStr">
        <is>
          <t>n.a.</t>
        </is>
      </c>
      <c r="U501" s="15" t="inlineStr">
        <is>
          <t>n.a.</t>
        </is>
      </c>
      <c r="V501" s="15" t="inlineStr">
        <is>
          <t>not_checked</t>
        </is>
      </c>
      <c r="W501" s="15" t="inlineStr">
        <is>
          <t>not_checked</t>
        </is>
      </c>
      <c r="X501" s="14" t="inlineStr">
        <is>
          <t>pass</t>
        </is>
      </c>
      <c r="Y501" s="15" t="inlineStr">
        <is>
          <t>not_checked</t>
        </is>
      </c>
      <c r="Z501" s="15" t="inlineStr">
        <is>
          <t>not_checked</t>
        </is>
      </c>
      <c r="AA501" s="15" t="inlineStr">
        <is>
          <t>not_checked</t>
        </is>
      </c>
      <c r="AB501" s="15" t="inlineStr">
        <is>
          <t>not_checked</t>
        </is>
      </c>
      <c r="AC501" s="15" t="inlineStr">
        <is>
          <t>not_checked</t>
        </is>
      </c>
      <c r="AD501" s="15" t="inlineStr">
        <is>
          <t>not_checked</t>
        </is>
      </c>
      <c r="AE501" s="15" t="inlineStr">
        <is>
          <t>not_checked</t>
        </is>
      </c>
      <c r="AF501" s="15" t="inlineStr">
        <is>
          <t>not_checked</t>
        </is>
      </c>
      <c r="AG501" s="15" t="inlineStr">
        <is>
          <t>not_checked</t>
        </is>
      </c>
      <c r="AH501" s="15" t="inlineStr">
        <is>
          <t>not_checked</t>
        </is>
      </c>
      <c r="AI501" s="15" t="inlineStr">
        <is>
          <t>n.a.</t>
        </is>
      </c>
      <c r="AJ501" s="15" t="inlineStr">
        <is>
          <t>n.a.</t>
        </is>
      </c>
      <c r="AK501" s="4" t="inlineStr">
        <is>
          <t>link_live(warn)</t>
        </is>
      </c>
      <c r="AL501" s="17" t="inlineStr">
        <is>
          <t>https://digital.nhs.uk/services/organisation-data-service/export-data-files/csv-downloads/gp-and-gp-practice-related-data</t>
        </is>
      </c>
      <c r="AM501" s="4" t="inlineStr">
        <is>
          <t>gb_nhs_ods_gp_practices</t>
        </is>
      </c>
    </row>
    <row r="502">
      <c r="A502" s="4" t="inlineStr">
        <is>
          <t>Ríos Huayhuash</t>
        </is>
      </c>
      <c r="B502" s="21" t="inlineStr">
        <is>
          <t>Browser needed</t>
        </is>
      </c>
      <c r="C502" s="4" t="n">
        <v>50</v>
      </c>
      <c r="D502" s="4" t="inlineStr">
        <is>
          <t>other</t>
        </is>
      </c>
      <c r="E502" s="4" t="inlineStr">
        <is>
          <t>blocked</t>
        </is>
      </c>
      <c r="F502" s="4" t="inlineStr">
        <is>
          <t>not checked</t>
        </is>
      </c>
      <c r="G502" s="4" t="inlineStr">
        <is>
          <t>unknown</t>
        </is>
      </c>
      <c r="H502" s="4" t="inlineStr">
        <is>
          <t>Unknown</t>
        </is>
      </c>
      <c r="I502" s="4" t="n">
        <v>1</v>
      </c>
      <c r="J502" s="4" t="inlineStr">
        <is>
          <t>hh_rios_ana</t>
        </is>
      </c>
      <c r="K502" s="4" t="inlineStr">
        <is>
          <t>Curated</t>
        </is>
      </c>
      <c r="L502" s="4" t="inlineStr"/>
      <c r="M502" s="4" t="inlineStr">
        <is>
          <t>unknown</t>
        </is>
      </c>
      <c r="N502" s="4" t="inlineStr">
        <is>
          <t>2026-10-22</t>
        </is>
      </c>
      <c r="O502" s="16" t="inlineStr">
        <is>
          <t>warn</t>
        </is>
      </c>
      <c r="P502" s="15" t="inlineStr">
        <is>
          <t>n.a.</t>
        </is>
      </c>
      <c r="Q502" s="15" t="inlineStr">
        <is>
          <t>n.a.</t>
        </is>
      </c>
      <c r="R502" s="15" t="inlineStr">
        <is>
          <t>n.a.</t>
        </is>
      </c>
      <c r="S502" s="15" t="inlineStr">
        <is>
          <t>n.a.</t>
        </is>
      </c>
      <c r="T502" s="16" t="inlineStr">
        <is>
          <t>warn</t>
        </is>
      </c>
      <c r="U502" s="15" t="inlineStr">
        <is>
          <t>n.a.</t>
        </is>
      </c>
      <c r="V502" s="15" t="inlineStr">
        <is>
          <t>n.a.</t>
        </is>
      </c>
      <c r="W502" s="15" t="inlineStr">
        <is>
          <t>not_checked</t>
        </is>
      </c>
      <c r="X502" s="14" t="inlineStr">
        <is>
          <t>pass</t>
        </is>
      </c>
      <c r="Y502" s="15" t="inlineStr">
        <is>
          <t>not_checked</t>
        </is>
      </c>
      <c r="Z502" s="15" t="inlineStr">
        <is>
          <t>not_checked</t>
        </is>
      </c>
      <c r="AA502" s="15" t="inlineStr">
        <is>
          <t>not_checked</t>
        </is>
      </c>
      <c r="AB502" s="15" t="inlineStr">
        <is>
          <t>not_checked</t>
        </is>
      </c>
      <c r="AC502" s="15" t="inlineStr">
        <is>
          <t>not_checked</t>
        </is>
      </c>
      <c r="AD502" s="15" t="inlineStr">
        <is>
          <t>not_checked</t>
        </is>
      </c>
      <c r="AE502" s="15" t="inlineStr">
        <is>
          <t>not_checked</t>
        </is>
      </c>
      <c r="AF502" s="15" t="inlineStr">
        <is>
          <t>not_checked</t>
        </is>
      </c>
      <c r="AG502" s="15" t="inlineStr">
        <is>
          <t>not_checked</t>
        </is>
      </c>
      <c r="AH502" s="15" t="inlineStr">
        <is>
          <t>not_checked</t>
        </is>
      </c>
      <c r="AI502" s="14" t="inlineStr">
        <is>
          <t>pass</t>
        </is>
      </c>
      <c r="AJ502" s="15" t="inlineStr">
        <is>
          <t>not_checked</t>
        </is>
      </c>
      <c r="AK502" s="4" t="inlineStr">
        <is>
          <t>link_live(warn);access_url(warn)</t>
        </is>
      </c>
      <c r="AL502" s="17" t="inlineStr">
        <is>
          <t>https://geosnirh.ana.gob.pe/server/rest/services/P%C3%BAblico/Rios/MapServer/37</t>
        </is>
      </c>
      <c r="AM502" s="4" t="inlineStr">
        <is>
          <t>gaia_hh_rios_ana</t>
        </is>
      </c>
    </row>
    <row r="503">
      <c r="A503" s="4" t="inlineStr">
        <is>
          <t>CIESIN subcollection (rescued SEDAC datasets) on Harvard Dataverse, CAFE collection</t>
        </is>
      </c>
      <c r="B503" s="21" t="inlineStr">
        <is>
          <t>Browser needed</t>
        </is>
      </c>
      <c r="C503" s="4" t="n">
        <v>50</v>
      </c>
      <c r="D503" s="4" t="inlineStr">
        <is>
          <t>other</t>
        </is>
      </c>
      <c r="E503" s="4" t="inlineStr">
        <is>
          <t>blocked</t>
        </is>
      </c>
      <c r="F503" s="4" t="inlineStr">
        <is>
          <t>not checked</t>
        </is>
      </c>
      <c r="G503" s="4" t="inlineStr">
        <is>
          <t>unknown</t>
        </is>
      </c>
      <c r="H503" s="4" t="inlineStr">
        <is>
          <t>Unknown</t>
        </is>
      </c>
      <c r="I503" s="4" t="inlineStr">
        <is>
          <t>unknown</t>
        </is>
      </c>
      <c r="J503" s="4" t="inlineStr"/>
      <c r="K503" s="4" t="inlineStr">
        <is>
          <t>Curated</t>
        </is>
      </c>
      <c r="L503" s="4" t="inlineStr"/>
      <c r="M503" s="4" t="inlineStr">
        <is>
          <t>open</t>
        </is>
      </c>
      <c r="N503" s="4" t="inlineStr">
        <is>
          <t>2026-10-22</t>
        </is>
      </c>
      <c r="O503" s="16" t="inlineStr">
        <is>
          <t>warn</t>
        </is>
      </c>
      <c r="P503" s="14" t="inlineStr">
        <is>
          <t>pass</t>
        </is>
      </c>
      <c r="Q503" s="14" t="inlineStr">
        <is>
          <t>pass</t>
        </is>
      </c>
      <c r="R503" s="15" t="inlineStr">
        <is>
          <t>not_checked</t>
        </is>
      </c>
      <c r="S503" s="15" t="inlineStr">
        <is>
          <t>not_checked</t>
        </is>
      </c>
      <c r="T503" s="14" t="inlineStr">
        <is>
          <t>pass</t>
        </is>
      </c>
      <c r="U503" s="15" t="inlineStr">
        <is>
          <t>n.a.</t>
        </is>
      </c>
      <c r="V503" s="15" t="inlineStr">
        <is>
          <t>not_checked</t>
        </is>
      </c>
      <c r="W503" s="15" t="inlineStr">
        <is>
          <t>not_checked</t>
        </is>
      </c>
      <c r="X503" s="14" t="inlineStr">
        <is>
          <t>pass</t>
        </is>
      </c>
      <c r="Y503" s="15" t="inlineStr">
        <is>
          <t>not_checked</t>
        </is>
      </c>
      <c r="Z503" s="15" t="inlineStr">
        <is>
          <t>not_checked</t>
        </is>
      </c>
      <c r="AA503" s="15" t="inlineStr">
        <is>
          <t>not_checked</t>
        </is>
      </c>
      <c r="AB503" s="15" t="inlineStr">
        <is>
          <t>not_checked</t>
        </is>
      </c>
      <c r="AC503" s="15" t="inlineStr">
        <is>
          <t>not_checked</t>
        </is>
      </c>
      <c r="AD503" s="15" t="inlineStr">
        <is>
          <t>not_checked</t>
        </is>
      </c>
      <c r="AE503" s="15" t="inlineStr">
        <is>
          <t>not_checked</t>
        </is>
      </c>
      <c r="AF503" s="15" t="inlineStr">
        <is>
          <t>not_checked</t>
        </is>
      </c>
      <c r="AG503" s="15" t="inlineStr">
        <is>
          <t>not_checked</t>
        </is>
      </c>
      <c r="AH503" s="15" t="inlineStr">
        <is>
          <t>not_checked</t>
        </is>
      </c>
      <c r="AI503" s="15" t="inlineStr">
        <is>
          <t>n.a.</t>
        </is>
      </c>
      <c r="AJ503" s="15" t="inlineStr">
        <is>
          <t>n.a.</t>
        </is>
      </c>
      <c r="AK503" s="4" t="inlineStr">
        <is>
          <t>link_live(warn)</t>
        </is>
      </c>
      <c r="AL503" s="17" t="inlineStr">
        <is>
          <t>https://dataverse.harvard.edu/dataverse/ciesin</t>
        </is>
      </c>
      <c r="AM503" s="4" t="inlineStr">
        <is>
          <t>global_ciesin_harvard_dataverse_sedac_collection</t>
        </is>
      </c>
    </row>
    <row r="504">
      <c r="A504" s="4" t="inlineStr">
        <is>
          <t>Harvard Dataverse (listing)</t>
        </is>
      </c>
      <c r="B504" s="21" t="inlineStr">
        <is>
          <t>Browser needed</t>
        </is>
      </c>
      <c r="C504" s="4" t="n">
        <v>50</v>
      </c>
      <c r="D504" s="4" t="inlineStr">
        <is>
          <t>other</t>
        </is>
      </c>
      <c r="E504" s="4" t="inlineStr">
        <is>
          <t>blocked</t>
        </is>
      </c>
      <c r="F504" s="4" t="inlineStr">
        <is>
          <t>not checked</t>
        </is>
      </c>
      <c r="G504" s="4" t="inlineStr">
        <is>
          <t>unknown</t>
        </is>
      </c>
      <c r="H504" s="4" t="inlineStr">
        <is>
          <t>Unknown</t>
        </is>
      </c>
      <c r="I504" s="4" t="inlineStr">
        <is>
          <t>unknown</t>
        </is>
      </c>
      <c r="J504" s="4" t="inlineStr"/>
      <c r="K504" s="4" t="inlineStr">
        <is>
          <t>Curated</t>
        </is>
      </c>
      <c r="L504" s="4" t="inlineStr">
        <is>
          <t>current</t>
        </is>
      </c>
      <c r="M504" s="4" t="inlineStr">
        <is>
          <t>open</t>
        </is>
      </c>
      <c r="N504" s="4" t="inlineStr">
        <is>
          <t>2026-10-22</t>
        </is>
      </c>
      <c r="O504" s="16" t="inlineStr">
        <is>
          <t>warn</t>
        </is>
      </c>
      <c r="P504" s="14" t="inlineStr">
        <is>
          <t>pass</t>
        </is>
      </c>
      <c r="Q504" s="14" t="inlineStr">
        <is>
          <t>pass</t>
        </is>
      </c>
      <c r="R504" s="15" t="inlineStr">
        <is>
          <t>not_checked</t>
        </is>
      </c>
      <c r="S504" s="15" t="inlineStr">
        <is>
          <t>not_checked</t>
        </is>
      </c>
      <c r="T504" s="14" t="inlineStr">
        <is>
          <t>pass</t>
        </is>
      </c>
      <c r="U504" s="14" t="inlineStr">
        <is>
          <t>pass</t>
        </is>
      </c>
      <c r="V504" s="15" t="inlineStr">
        <is>
          <t>not_checked</t>
        </is>
      </c>
      <c r="W504" s="15" t="inlineStr">
        <is>
          <t>not_checked</t>
        </is>
      </c>
      <c r="X504" s="14" t="inlineStr">
        <is>
          <t>pass</t>
        </is>
      </c>
      <c r="Y504" s="15" t="inlineStr">
        <is>
          <t>not_checked</t>
        </is>
      </c>
      <c r="Z504" s="15" t="inlineStr">
        <is>
          <t>not_checked</t>
        </is>
      </c>
      <c r="AA504" s="15" t="inlineStr">
        <is>
          <t>not_checked</t>
        </is>
      </c>
      <c r="AB504" s="15" t="inlineStr">
        <is>
          <t>not_checked</t>
        </is>
      </c>
      <c r="AC504" s="15" t="inlineStr">
        <is>
          <t>not_checked</t>
        </is>
      </c>
      <c r="AD504" s="15" t="inlineStr">
        <is>
          <t>not_checked</t>
        </is>
      </c>
      <c r="AE504" s="15" t="inlineStr">
        <is>
          <t>not_checked</t>
        </is>
      </c>
      <c r="AF504" s="15" t="inlineStr">
        <is>
          <t>not_checked</t>
        </is>
      </c>
      <c r="AG504" s="15" t="inlineStr">
        <is>
          <t>not_checked</t>
        </is>
      </c>
      <c r="AH504" s="15" t="inlineStr">
        <is>
          <t>not_checked</t>
        </is>
      </c>
      <c r="AI504" s="15" t="inlineStr">
        <is>
          <t>n.a.</t>
        </is>
      </c>
      <c r="AJ504" s="15" t="inlineStr">
        <is>
          <t>n.a.</t>
        </is>
      </c>
      <c r="AK504" s="4" t="inlineStr">
        <is>
          <t>link_live(warn)</t>
        </is>
      </c>
      <c r="AL504" s="17" t="inlineStr">
        <is>
          <t>https://dataverse.harvard.edu/</t>
        </is>
      </c>
      <c r="AM504" s="4" t="inlineStr">
        <is>
          <t>us_harvard_dataverse</t>
        </is>
      </c>
    </row>
    <row r="505">
      <c r="A505" s="4" t="inlineStr">
        <is>
          <t>Human Health Exposure Analysis Resource (HHEAR, formerly CHEAR)</t>
        </is>
      </c>
      <c r="B505" s="21" t="inlineStr">
        <is>
          <t>Browser needed</t>
        </is>
      </c>
      <c r="C505" s="4" t="n">
        <v>50</v>
      </c>
      <c r="D505" s="4" t="inlineStr">
        <is>
          <t>other</t>
        </is>
      </c>
      <c r="E505" s="4" t="inlineStr">
        <is>
          <t>blocked</t>
        </is>
      </c>
      <c r="F505" s="4" t="inlineStr">
        <is>
          <t>not checked</t>
        </is>
      </c>
      <c r="G505" s="4" t="inlineStr">
        <is>
          <t>unknown</t>
        </is>
      </c>
      <c r="H505" s="4" t="inlineStr">
        <is>
          <t>Unknown</t>
        </is>
      </c>
      <c r="I505" s="4" t="inlineStr">
        <is>
          <t>unknown</t>
        </is>
      </c>
      <c r="J505" s="4" t="inlineStr"/>
      <c r="K505" s="4" t="inlineStr">
        <is>
          <t>Curated</t>
        </is>
      </c>
      <c r="L505" s="4" t="inlineStr"/>
      <c r="M505" s="4" t="inlineStr">
        <is>
          <t>restricted</t>
        </is>
      </c>
      <c r="N505" s="4" t="inlineStr">
        <is>
          <t>2026-10-22</t>
        </is>
      </c>
      <c r="O505" s="16" t="inlineStr">
        <is>
          <t>warn</t>
        </is>
      </c>
      <c r="P505" s="15" t="inlineStr">
        <is>
          <t>n.a.</t>
        </is>
      </c>
      <c r="Q505" s="15" t="inlineStr">
        <is>
          <t>n.a.</t>
        </is>
      </c>
      <c r="R505" s="15" t="inlineStr">
        <is>
          <t>n.a.</t>
        </is>
      </c>
      <c r="S505" s="15" t="inlineStr">
        <is>
          <t>n.a.</t>
        </is>
      </c>
      <c r="T505" s="15" t="inlineStr">
        <is>
          <t>n.a.</t>
        </is>
      </c>
      <c r="U505" s="15" t="inlineStr">
        <is>
          <t>n.a.</t>
        </is>
      </c>
      <c r="V505" s="15" t="inlineStr">
        <is>
          <t>n.a.</t>
        </is>
      </c>
      <c r="W505" s="15" t="inlineStr">
        <is>
          <t>not_checked</t>
        </is>
      </c>
      <c r="X505" s="14" t="inlineStr">
        <is>
          <t>pass</t>
        </is>
      </c>
      <c r="Y505" s="15" t="inlineStr">
        <is>
          <t>not_checked</t>
        </is>
      </c>
      <c r="Z505" s="15" t="inlineStr">
        <is>
          <t>not_checked</t>
        </is>
      </c>
      <c r="AA505" s="15" t="inlineStr">
        <is>
          <t>not_checked</t>
        </is>
      </c>
      <c r="AB505" s="15" t="inlineStr">
        <is>
          <t>not_checked</t>
        </is>
      </c>
      <c r="AC505" s="15" t="inlineStr">
        <is>
          <t>not_checked</t>
        </is>
      </c>
      <c r="AD505" s="15" t="inlineStr">
        <is>
          <t>not_checked</t>
        </is>
      </c>
      <c r="AE505" s="15" t="inlineStr">
        <is>
          <t>not_checked</t>
        </is>
      </c>
      <c r="AF505" s="15" t="inlineStr">
        <is>
          <t>not_checked</t>
        </is>
      </c>
      <c r="AG505" s="15" t="inlineStr">
        <is>
          <t>not_checked</t>
        </is>
      </c>
      <c r="AH505" s="15" t="inlineStr">
        <is>
          <t>not_checked</t>
        </is>
      </c>
      <c r="AI505" s="15" t="inlineStr">
        <is>
          <t>n.a.</t>
        </is>
      </c>
      <c r="AJ505" s="15" t="inlineStr">
        <is>
          <t>n.a.</t>
        </is>
      </c>
      <c r="AK505" s="4" t="inlineStr">
        <is>
          <t>link_live(warn)</t>
        </is>
      </c>
      <c r="AL505" s="17" t="inlineStr">
        <is>
          <t>https://hhearprogram.org/</t>
        </is>
      </c>
      <c r="AM505" s="4" t="inlineStr">
        <is>
          <t>us_niehs_hhear</t>
        </is>
      </c>
    </row>
    <row r="506">
      <c r="A506" s="4" t="inlineStr">
        <is>
          <t>Estratos Socioeconómicos de Bogotá Según Manzanas</t>
        </is>
      </c>
      <c r="B506" s="21" t="inlineStr">
        <is>
          <t>Browser needed</t>
        </is>
      </c>
      <c r="C506" s="4" t="n">
        <v>100</v>
      </c>
      <c r="D506" s="4" t="inlineStr">
        <is>
          <t>sdoh</t>
        </is>
      </c>
      <c r="E506" s="4" t="inlineStr">
        <is>
          <t>blocked</t>
        </is>
      </c>
      <c r="F506" s="4" t="inlineStr">
        <is>
          <t>unknown</t>
        </is>
      </c>
      <c r="G506" s="4" t="inlineStr">
        <is>
          <t>unknown</t>
        </is>
      </c>
      <c r="H506" s="4" t="inlineStr">
        <is>
          <t>Unknown</t>
        </is>
      </c>
      <c r="I506" s="4" t="n">
        <v>3</v>
      </c>
      <c r="J506" s="4" t="inlineStr">
        <is>
          <t>bogota_2019_estratos_manzana_dane</t>
        </is>
      </c>
      <c r="K506" s="4" t="inlineStr">
        <is>
          <t>Curated</t>
        </is>
      </c>
      <c r="L506" s="4" t="inlineStr"/>
      <c r="M506" s="4" t="inlineStr">
        <is>
          <t>unknown</t>
        </is>
      </c>
      <c r="N506" s="4" t="inlineStr">
        <is>
          <t>2026-10-28</t>
        </is>
      </c>
      <c r="O506" s="14" t="inlineStr">
        <is>
          <t>pass</t>
        </is>
      </c>
      <c r="P506" s="14" t="inlineStr">
        <is>
          <t>pass</t>
        </is>
      </c>
      <c r="Q506" s="14" t="inlineStr">
        <is>
          <t>pass</t>
        </is>
      </c>
      <c r="R506" s="14" t="inlineStr">
        <is>
          <t>pass</t>
        </is>
      </c>
      <c r="S506" s="14" t="inlineStr">
        <is>
          <t>pass</t>
        </is>
      </c>
      <c r="T506" s="14" t="inlineStr">
        <is>
          <t>pass</t>
        </is>
      </c>
      <c r="U506" s="14" t="inlineStr">
        <is>
          <t>pass</t>
        </is>
      </c>
      <c r="V506" s="14" t="inlineStr">
        <is>
          <t>pass</t>
        </is>
      </c>
      <c r="W506" s="16" t="inlineStr">
        <is>
          <t>warn</t>
        </is>
      </c>
      <c r="X506" s="14" t="inlineStr">
        <is>
          <t>pass</t>
        </is>
      </c>
      <c r="Y506" s="15" t="inlineStr">
        <is>
          <t>not_checked</t>
        </is>
      </c>
      <c r="Z506" s="15" t="inlineStr">
        <is>
          <t>not_checked</t>
        </is>
      </c>
      <c r="AA506" s="15" t="inlineStr">
        <is>
          <t>not_checked</t>
        </is>
      </c>
      <c r="AB506" s="15" t="inlineStr">
        <is>
          <t>not_checked</t>
        </is>
      </c>
      <c r="AC506" s="15" t="inlineStr">
        <is>
          <t>not_checked</t>
        </is>
      </c>
      <c r="AD506" s="15" t="inlineStr">
        <is>
          <t>not_checked</t>
        </is>
      </c>
      <c r="AE506" s="15" t="inlineStr">
        <is>
          <t>not_checked</t>
        </is>
      </c>
      <c r="AF506" s="15" t="inlineStr">
        <is>
          <t>not_checked</t>
        </is>
      </c>
      <c r="AG506" s="15" t="inlineStr">
        <is>
          <t>not_checked</t>
        </is>
      </c>
      <c r="AH506" s="15" t="inlineStr">
        <is>
          <t>not_checked</t>
        </is>
      </c>
      <c r="AI506" s="14" t="inlineStr">
        <is>
          <t>pass</t>
        </is>
      </c>
      <c r="AJ506" s="15" t="inlineStr">
        <is>
          <t>not_checked</t>
        </is>
      </c>
      <c r="AK506" s="4" t="inlineStr">
        <is>
          <t>persistent_id(warn)</t>
        </is>
      </c>
      <c r="AL506" s="17" t="inlineStr">
        <is>
          <t>https://datosabiertos.bogota.gov.co/dataset/estratificacion-para-bogota</t>
        </is>
      </c>
      <c r="AM506" s="4" t="inlineStr">
        <is>
          <t>gaia_bogota_2019_estratos_manzana_dane</t>
        </is>
      </c>
    </row>
    <row r="507">
      <c r="A507" s="4" t="inlineStr">
        <is>
          <t>HUD Aggregated USPS Administrative Data on Address Vacancies</t>
        </is>
      </c>
      <c r="B507" s="21" t="inlineStr">
        <is>
          <t>Browser needed</t>
        </is>
      </c>
      <c r="C507" s="4" t="n">
        <v>71</v>
      </c>
      <c r="D507" s="4" t="inlineStr">
        <is>
          <t>sdoh</t>
        </is>
      </c>
      <c r="E507" s="4" t="inlineStr">
        <is>
          <t>blocked</t>
        </is>
      </c>
      <c r="F507" s="4" t="inlineStr">
        <is>
          <t>public_domain_us_federal</t>
        </is>
      </c>
      <c r="G507" s="4" t="inlineStr">
        <is>
          <t>tract</t>
        </is>
      </c>
      <c r="H507" s="4" t="inlineStr">
        <is>
          <t>Joins today</t>
        </is>
      </c>
      <c r="I507" s="4" t="n">
        <v>3</v>
      </c>
      <c r="J507" s="4" t="inlineStr"/>
      <c r="K507" s="4" t="inlineStr">
        <is>
          <t>Curated</t>
        </is>
      </c>
      <c r="L507" s="4" t="inlineStr">
        <is>
          <t>current</t>
        </is>
      </c>
      <c r="M507" s="4" t="inlineStr">
        <is>
          <t>restricted</t>
        </is>
      </c>
      <c r="N507" s="4" t="inlineStr">
        <is>
          <t>2026-10-29</t>
        </is>
      </c>
      <c r="O507" s="16" t="inlineStr">
        <is>
          <t>warn</t>
        </is>
      </c>
      <c r="P507" s="14" t="inlineStr">
        <is>
          <t>pass</t>
        </is>
      </c>
      <c r="Q507" s="14" t="inlineStr">
        <is>
          <t>pass</t>
        </is>
      </c>
      <c r="R507" s="15" t="inlineStr">
        <is>
          <t>not_checked</t>
        </is>
      </c>
      <c r="S507" s="15" t="inlineStr">
        <is>
          <t>not_checked</t>
        </is>
      </c>
      <c r="T507" s="14" t="inlineStr">
        <is>
          <t>pass</t>
        </is>
      </c>
      <c r="U507" s="16" t="inlineStr">
        <is>
          <t>warn</t>
        </is>
      </c>
      <c r="V507" s="15" t="inlineStr">
        <is>
          <t>not_checked</t>
        </is>
      </c>
      <c r="W507" s="15" t="inlineStr">
        <is>
          <t>not_checked</t>
        </is>
      </c>
      <c r="X507" s="14" t="inlineStr">
        <is>
          <t>pass</t>
        </is>
      </c>
      <c r="Y507" s="14" t="inlineStr">
        <is>
          <t>pass</t>
        </is>
      </c>
      <c r="Z507" s="15" t="inlineStr">
        <is>
          <t>not_checked</t>
        </is>
      </c>
      <c r="AA507" s="15" t="inlineStr">
        <is>
          <t>not_checked</t>
        </is>
      </c>
      <c r="AB507" s="15" t="inlineStr">
        <is>
          <t>not_checked</t>
        </is>
      </c>
      <c r="AC507" s="15" t="inlineStr">
        <is>
          <t>not_checked</t>
        </is>
      </c>
      <c r="AD507" s="15" t="inlineStr">
        <is>
          <t>not_checked</t>
        </is>
      </c>
      <c r="AE507" s="15" t="inlineStr">
        <is>
          <t>not_checked</t>
        </is>
      </c>
      <c r="AF507" s="15" t="inlineStr">
        <is>
          <t>not_checked</t>
        </is>
      </c>
      <c r="AG507" s="15" t="inlineStr">
        <is>
          <t>not_checked</t>
        </is>
      </c>
      <c r="AH507" s="15" t="inlineStr">
        <is>
          <t>not_checked</t>
        </is>
      </c>
      <c r="AI507" s="15" t="inlineStr">
        <is>
          <t>n.a.</t>
        </is>
      </c>
      <c r="AJ507" s="15" t="inlineStr">
        <is>
          <t>n.a.</t>
        </is>
      </c>
      <c r="AK507" s="4" t="inlineStr">
        <is>
          <t>link_live(warn);format_match(warn)</t>
        </is>
      </c>
      <c r="AL507" s="17" t="inlineStr">
        <is>
          <t>https://www.huduser.gov/portal/datasets/usps.html</t>
        </is>
      </c>
      <c r="AM507" s="4" t="inlineStr">
        <is>
          <t>us_hud_usps_vacancy</t>
        </is>
      </c>
    </row>
    <row r="508">
      <c r="A508" s="4" t="inlineStr">
        <is>
          <t>HUD eGIS Open Data (HUD-eGIS Storefront)</t>
        </is>
      </c>
      <c r="B508" s="21" t="inlineStr">
        <is>
          <t>Browser needed</t>
        </is>
      </c>
      <c r="C508" s="4" t="n">
        <v>96</v>
      </c>
      <c r="D508" s="4" t="inlineStr">
        <is>
          <t>sdoh</t>
        </is>
      </c>
      <c r="E508" s="4" t="inlineStr">
        <is>
          <t>blocked</t>
        </is>
      </c>
      <c r="F508" s="4" t="inlineStr">
        <is>
          <t>public_domain_us_federal</t>
        </is>
      </c>
      <c r="G508" s="4" t="inlineStr">
        <is>
          <t>point</t>
        </is>
      </c>
      <c r="H508" s="4" t="inlineStr">
        <is>
          <t>Needs a count/distance step</t>
        </is>
      </c>
      <c r="I508" s="4" t="n">
        <v>3</v>
      </c>
      <c r="J508" s="4" t="inlineStr"/>
      <c r="K508" s="4" t="inlineStr">
        <is>
          <t>Curated</t>
        </is>
      </c>
      <c r="L508" s="4" t="inlineStr"/>
      <c r="M508" s="4" t="inlineStr">
        <is>
          <t>open</t>
        </is>
      </c>
      <c r="N508" s="4" t="inlineStr">
        <is>
          <t>2026-10-29</t>
        </is>
      </c>
      <c r="O508" s="14" t="inlineStr">
        <is>
          <t>pass</t>
        </is>
      </c>
      <c r="P508" s="14" t="inlineStr">
        <is>
          <t>pass</t>
        </is>
      </c>
      <c r="Q508" s="14" t="inlineStr">
        <is>
          <t>pass</t>
        </is>
      </c>
      <c r="R508" s="14" t="inlineStr">
        <is>
          <t>pass</t>
        </is>
      </c>
      <c r="S508" s="14" t="inlineStr">
        <is>
          <t>pass</t>
        </is>
      </c>
      <c r="T508" s="14" t="inlineStr">
        <is>
          <t>pass</t>
        </is>
      </c>
      <c r="U508" s="14" t="inlineStr">
        <is>
          <t>pass</t>
        </is>
      </c>
      <c r="V508" s="16" t="inlineStr">
        <is>
          <t>warn</t>
        </is>
      </c>
      <c r="W508" s="16" t="inlineStr">
        <is>
          <t>warn</t>
        </is>
      </c>
      <c r="X508" s="14" t="inlineStr">
        <is>
          <t>pass</t>
        </is>
      </c>
      <c r="Y508" s="14" t="inlineStr">
        <is>
          <t>pass</t>
        </is>
      </c>
      <c r="Z508" s="15" t="inlineStr">
        <is>
          <t>not_checked</t>
        </is>
      </c>
      <c r="AA508" s="15" t="inlineStr">
        <is>
          <t>not_checked</t>
        </is>
      </c>
      <c r="AB508" s="15" t="inlineStr">
        <is>
          <t>not_checked</t>
        </is>
      </c>
      <c r="AC508" s="15" t="inlineStr">
        <is>
          <t>not_checked</t>
        </is>
      </c>
      <c r="AD508" s="15" t="inlineStr">
        <is>
          <t>not_checked</t>
        </is>
      </c>
      <c r="AE508" s="15" t="inlineStr">
        <is>
          <t>not_checked</t>
        </is>
      </c>
      <c r="AF508" s="15" t="inlineStr">
        <is>
          <t>not_checked</t>
        </is>
      </c>
      <c r="AG508" s="15" t="inlineStr">
        <is>
          <t>not_checked</t>
        </is>
      </c>
      <c r="AH508" s="15" t="inlineStr">
        <is>
          <t>not_checked</t>
        </is>
      </c>
      <c r="AI508" s="15" t="inlineStr">
        <is>
          <t>n.a.</t>
        </is>
      </c>
      <c r="AJ508" s="15" t="inlineStr">
        <is>
          <t>n.a.</t>
        </is>
      </c>
      <c r="AK508" s="4" t="inlineStr">
        <is>
          <t>machine_metadata(warn);persistent_id(warn)</t>
        </is>
      </c>
      <c r="AL508" s="17" t="inlineStr">
        <is>
          <t>https://hudgis-hud.opendata.arcgis.com/</t>
        </is>
      </c>
      <c r="AM508" s="4" t="inlineStr">
        <is>
          <t>us_hud_egis_open_data</t>
        </is>
      </c>
    </row>
    <row r="509">
      <c r="A509" s="4" t="inlineStr">
        <is>
          <t>Indice di vulnerabilita sociale e materiale (IVSM)</t>
        </is>
      </c>
      <c r="B509" s="21" t="inlineStr">
        <is>
          <t>Browser needed</t>
        </is>
      </c>
      <c r="C509" s="4" t="n">
        <v>0</v>
      </c>
      <c r="D509" s="4" t="inlineStr">
        <is>
          <t>sdoh</t>
        </is>
      </c>
      <c r="E509" s="4" t="inlineStr">
        <is>
          <t>blocked</t>
        </is>
      </c>
      <c r="F509" s="4" t="inlineStr">
        <is>
          <t>not checked</t>
        </is>
      </c>
      <c r="G509" s="4" t="inlineStr">
        <is>
          <t>unknown</t>
        </is>
      </c>
      <c r="H509" s="4" t="inlineStr">
        <is>
          <t>Unknown</t>
        </is>
      </c>
      <c r="I509" s="4" t="n">
        <v>3</v>
      </c>
      <c r="J509" s="4" t="inlineStr"/>
      <c r="K509" s="4" t="inlineStr">
        <is>
          <t>Curated</t>
        </is>
      </c>
      <c r="L509" s="4" t="n">
        <v>2021</v>
      </c>
      <c r="M509" s="4" t="inlineStr">
        <is>
          <t>open</t>
        </is>
      </c>
      <c r="N509" s="4" t="inlineStr">
        <is>
          <t>2026-10-22</t>
        </is>
      </c>
      <c r="O509" s="18" t="inlineStr">
        <is>
          <t>fail</t>
        </is>
      </c>
      <c r="P509" s="15" t="inlineStr">
        <is>
          <t>n.a.</t>
        </is>
      </c>
      <c r="Q509" s="18" t="inlineStr">
        <is>
          <t>fail</t>
        </is>
      </c>
      <c r="R509" s="15" t="inlineStr">
        <is>
          <t>n.a.</t>
        </is>
      </c>
      <c r="S509" s="15" t="inlineStr">
        <is>
          <t>n.a.</t>
        </is>
      </c>
      <c r="T509" s="18" t="inlineStr">
        <is>
          <t>fail</t>
        </is>
      </c>
      <c r="U509" s="15" t="inlineStr">
        <is>
          <t>n.a.</t>
        </is>
      </c>
      <c r="V509" s="15" t="inlineStr">
        <is>
          <t>n.a.</t>
        </is>
      </c>
      <c r="W509" s="15" t="inlineStr">
        <is>
          <t>not_checked</t>
        </is>
      </c>
      <c r="X509" s="14" t="inlineStr">
        <is>
          <t>pass</t>
        </is>
      </c>
      <c r="Y509" s="15" t="inlineStr">
        <is>
          <t>not_checked</t>
        </is>
      </c>
      <c r="Z509" s="15" t="inlineStr">
        <is>
          <t>not_checked</t>
        </is>
      </c>
      <c r="AA509" s="15" t="inlineStr">
        <is>
          <t>not_checked</t>
        </is>
      </c>
      <c r="AB509" s="15" t="inlineStr">
        <is>
          <t>not_checked</t>
        </is>
      </c>
      <c r="AC509" s="15" t="inlineStr">
        <is>
          <t>not_checked</t>
        </is>
      </c>
      <c r="AD509" s="15" t="inlineStr">
        <is>
          <t>not_checked</t>
        </is>
      </c>
      <c r="AE509" s="15" t="inlineStr">
        <is>
          <t>not_checked</t>
        </is>
      </c>
      <c r="AF509" s="15" t="inlineStr">
        <is>
          <t>not_checked</t>
        </is>
      </c>
      <c r="AG509" s="15" t="inlineStr">
        <is>
          <t>not_checked</t>
        </is>
      </c>
      <c r="AH509" s="15" t="inlineStr">
        <is>
          <t>not_checked</t>
        </is>
      </c>
      <c r="AI509" s="15" t="inlineStr">
        <is>
          <t>n.a.</t>
        </is>
      </c>
      <c r="AJ509" s="15" t="inlineStr">
        <is>
          <t>n.a.</t>
        </is>
      </c>
      <c r="AK509" s="4" t="inlineStr">
        <is>
          <t>link_live;tls;access_url</t>
        </is>
      </c>
      <c r="AL509" s="17" t="inlineStr">
        <is>
          <t>https://www.istat.it/produzione-editoriale/le-misure-della-vulnerabilita-unapplicazione-a-diversi-ambiti-territoriali</t>
        </is>
      </c>
      <c r="AM509" s="4" t="inlineStr">
        <is>
          <t>it_istat_ivsm</t>
        </is>
      </c>
    </row>
    <row r="510">
      <c r="A510" s="4" t="inlineStr">
        <is>
          <t>Kenya - Household income statistics in Bomet county</t>
        </is>
      </c>
      <c r="B510" s="21" t="inlineStr">
        <is>
          <t>Browser needed</t>
        </is>
      </c>
      <c r="C510" s="4" t="n">
        <v>50</v>
      </c>
      <c r="D510" s="4" t="inlineStr">
        <is>
          <t>sdoh</t>
        </is>
      </c>
      <c r="E510" s="4" t="inlineStr">
        <is>
          <t>blocked</t>
        </is>
      </c>
      <c r="F510" s="4" t="inlineStr">
        <is>
          <t>not checked</t>
        </is>
      </c>
      <c r="G510" s="4" t="inlineStr">
        <is>
          <t>county</t>
        </is>
      </c>
      <c r="H510" s="4" t="inlineStr">
        <is>
          <t>Joins today</t>
        </is>
      </c>
      <c r="I510" s="4" t="n">
        <v>3</v>
      </c>
      <c r="J510" s="4" t="inlineStr"/>
      <c r="K510" s="4" t="inlineStr">
        <is>
          <t>Catalog lead</t>
        </is>
      </c>
      <c r="L510" s="4" t="n">
        <v>2015</v>
      </c>
      <c r="M510" s="4" t="inlineStr">
        <is>
          <t>open</t>
        </is>
      </c>
      <c r="N510" s="4" t="inlineStr">
        <is>
          <t>2026-10-22</t>
        </is>
      </c>
      <c r="O510" s="16" t="inlineStr">
        <is>
          <t>warn</t>
        </is>
      </c>
      <c r="P510" s="14" t="inlineStr">
        <is>
          <t>pass</t>
        </is>
      </c>
      <c r="Q510" s="14" t="inlineStr">
        <is>
          <t>pass</t>
        </is>
      </c>
      <c r="R510" s="15" t="inlineStr">
        <is>
          <t>not_checked</t>
        </is>
      </c>
      <c r="S510" s="15" t="inlineStr">
        <is>
          <t>not_checked</t>
        </is>
      </c>
      <c r="T510" s="14" t="inlineStr">
        <is>
          <t>pass</t>
        </is>
      </c>
      <c r="U510" s="14" t="inlineStr">
        <is>
          <t>pass</t>
        </is>
      </c>
      <c r="V510" s="15" t="inlineStr">
        <is>
          <t>not_checked</t>
        </is>
      </c>
      <c r="W510" s="15" t="inlineStr">
        <is>
          <t>not_checked</t>
        </is>
      </c>
      <c r="X510" s="16" t="inlineStr">
        <is>
          <t>warn</t>
        </is>
      </c>
      <c r="Y510" s="15" t="inlineStr">
        <is>
          <t>not_checked</t>
        </is>
      </c>
      <c r="Z510" s="15" t="inlineStr">
        <is>
          <t>not_checked</t>
        </is>
      </c>
      <c r="AA510" s="15" t="inlineStr">
        <is>
          <t>not_checked</t>
        </is>
      </c>
      <c r="AB510" s="15" t="inlineStr">
        <is>
          <t>not_checked</t>
        </is>
      </c>
      <c r="AC510" s="15" t="inlineStr">
        <is>
          <t>not_checked</t>
        </is>
      </c>
      <c r="AD510" s="15" t="inlineStr">
        <is>
          <t>not_checked</t>
        </is>
      </c>
      <c r="AE510" s="15" t="inlineStr">
        <is>
          <t>not_checked</t>
        </is>
      </c>
      <c r="AF510" s="15" t="inlineStr">
        <is>
          <t>not_checked</t>
        </is>
      </c>
      <c r="AG510" s="15" t="inlineStr">
        <is>
          <t>not_checked</t>
        </is>
      </c>
      <c r="AH510" s="15" t="inlineStr">
        <is>
          <t>not_checked</t>
        </is>
      </c>
      <c r="AI510" s="15" t="inlineStr">
        <is>
          <t>n.a.</t>
        </is>
      </c>
      <c r="AJ510" s="15" t="inlineStr">
        <is>
          <t>n.a.</t>
        </is>
      </c>
      <c r="AK510" s="4" t="inlineStr">
        <is>
          <t>link_live(warn);archived(warn)</t>
        </is>
      </c>
      <c r="AL510" s="17" t="inlineStr">
        <is>
          <t>https://data.humdata.org/dataset/kenya-household-income-statistics-in-bomet-county</t>
        </is>
      </c>
      <c r="AM510" s="4" t="inlineStr">
        <is>
          <t>hdx_kenya_household_income_statistics_in_bomet_county</t>
        </is>
      </c>
    </row>
    <row r="511">
      <c r="A511" s="4" t="inlineStr">
        <is>
          <t>Low-Income Housing Tax Credit (LIHTC) Database</t>
        </is>
      </c>
      <c r="B511" s="21" t="inlineStr">
        <is>
          <t>Browser needed</t>
        </is>
      </c>
      <c r="C511" s="4" t="n">
        <v>71</v>
      </c>
      <c r="D511" s="4" t="inlineStr">
        <is>
          <t>sdoh</t>
        </is>
      </c>
      <c r="E511" s="4" t="inlineStr">
        <is>
          <t>blocked</t>
        </is>
      </c>
      <c r="F511" s="4" t="inlineStr">
        <is>
          <t>public_domain_us_federal</t>
        </is>
      </c>
      <c r="G511" s="4" t="inlineStr">
        <is>
          <t>point</t>
        </is>
      </c>
      <c r="H511" s="4" t="inlineStr">
        <is>
          <t>Needs a count/distance step</t>
        </is>
      </c>
      <c r="I511" s="4" t="n">
        <v>3</v>
      </c>
      <c r="J511" s="4" t="inlineStr"/>
      <c r="K511" s="4" t="inlineStr">
        <is>
          <t>Curated</t>
        </is>
      </c>
      <c r="L511" s="4" t="n">
        <v>2025</v>
      </c>
      <c r="M511" s="4" t="inlineStr">
        <is>
          <t>open</t>
        </is>
      </c>
      <c r="N511" s="4" t="inlineStr">
        <is>
          <t>2026-10-29</t>
        </is>
      </c>
      <c r="O511" s="16" t="inlineStr">
        <is>
          <t>warn</t>
        </is>
      </c>
      <c r="P511" s="14" t="inlineStr">
        <is>
          <t>pass</t>
        </is>
      </c>
      <c r="Q511" s="14" t="inlineStr">
        <is>
          <t>pass</t>
        </is>
      </c>
      <c r="R511" s="15" t="inlineStr">
        <is>
          <t>not_checked</t>
        </is>
      </c>
      <c r="S511" s="15" t="inlineStr">
        <is>
          <t>not_checked</t>
        </is>
      </c>
      <c r="T511" s="14" t="inlineStr">
        <is>
          <t>pass</t>
        </is>
      </c>
      <c r="U511" s="14" t="inlineStr">
        <is>
          <t>pass</t>
        </is>
      </c>
      <c r="V511" s="15" t="inlineStr">
        <is>
          <t>not_checked</t>
        </is>
      </c>
      <c r="W511" s="15" t="inlineStr">
        <is>
          <t>not_checked</t>
        </is>
      </c>
      <c r="X511" s="14" t="inlineStr">
        <is>
          <t>pass</t>
        </is>
      </c>
      <c r="Y511" s="14" t="inlineStr">
        <is>
          <t>pass</t>
        </is>
      </c>
      <c r="Z511" s="15" t="inlineStr">
        <is>
          <t>not_checked</t>
        </is>
      </c>
      <c r="AA511" s="15" t="inlineStr">
        <is>
          <t>not_checked</t>
        </is>
      </c>
      <c r="AB511" s="15" t="inlineStr">
        <is>
          <t>not_checked</t>
        </is>
      </c>
      <c r="AC511" s="15" t="inlineStr">
        <is>
          <t>not_checked</t>
        </is>
      </c>
      <c r="AD511" s="15" t="inlineStr">
        <is>
          <t>not_checked</t>
        </is>
      </c>
      <c r="AE511" s="15" t="inlineStr">
        <is>
          <t>not_checked</t>
        </is>
      </c>
      <c r="AF511" s="15" t="inlineStr">
        <is>
          <t>not_checked</t>
        </is>
      </c>
      <c r="AG511" s="15" t="inlineStr">
        <is>
          <t>not_checked</t>
        </is>
      </c>
      <c r="AH511" s="15" t="inlineStr">
        <is>
          <t>not_checked</t>
        </is>
      </c>
      <c r="AI511" s="15" t="inlineStr">
        <is>
          <t>n.a.</t>
        </is>
      </c>
      <c r="AJ511" s="15" t="inlineStr">
        <is>
          <t>n.a.</t>
        </is>
      </c>
      <c r="AK511" s="4" t="inlineStr">
        <is>
          <t>link_live(warn)</t>
        </is>
      </c>
      <c r="AL511" s="17" t="inlineStr">
        <is>
          <t>https://www.huduser.gov/portal/datasets/lihtc.html</t>
        </is>
      </c>
      <c r="AM511" s="4" t="inlineStr">
        <is>
          <t>us_hud_lihtc</t>
        </is>
      </c>
    </row>
    <row r="512">
      <c r="A512" s="4" t="inlineStr">
        <is>
          <t>Material and Social Deprivation Index (MSDI)</t>
        </is>
      </c>
      <c r="B512" s="21" t="inlineStr">
        <is>
          <t>Browser needed</t>
        </is>
      </c>
      <c r="C512" s="4" t="n">
        <v>50</v>
      </c>
      <c r="D512" s="4" t="inlineStr">
        <is>
          <t>sdoh</t>
        </is>
      </c>
      <c r="E512" s="4" t="inlineStr">
        <is>
          <t>blocked</t>
        </is>
      </c>
      <c r="F512" s="4" t="inlineStr">
        <is>
          <t>not checked</t>
        </is>
      </c>
      <c r="G512" s="4" t="inlineStr">
        <is>
          <t>postcode_small_area</t>
        </is>
      </c>
      <c r="H512" s="4" t="inlineStr">
        <is>
          <t>Joins today</t>
        </is>
      </c>
      <c r="I512" s="4" t="n">
        <v>3</v>
      </c>
      <c r="J512" s="4" t="inlineStr"/>
      <c r="K512" s="4" t="inlineStr">
        <is>
          <t>Curated</t>
        </is>
      </c>
      <c r="L512" s="4" t="n">
        <v>2024</v>
      </c>
      <c r="M512" s="4" t="inlineStr">
        <is>
          <t>open</t>
        </is>
      </c>
      <c r="N512" s="4" t="inlineStr">
        <is>
          <t>2026-10-22</t>
        </is>
      </c>
      <c r="O512" s="16" t="inlineStr">
        <is>
          <t>warn</t>
        </is>
      </c>
      <c r="P512" s="14" t="inlineStr">
        <is>
          <t>pass</t>
        </is>
      </c>
      <c r="Q512" s="14" t="inlineStr">
        <is>
          <t>pass</t>
        </is>
      </c>
      <c r="R512" s="15" t="inlineStr">
        <is>
          <t>not_checked</t>
        </is>
      </c>
      <c r="S512" s="15" t="inlineStr">
        <is>
          <t>not_checked</t>
        </is>
      </c>
      <c r="T512" s="14" t="inlineStr">
        <is>
          <t>pass</t>
        </is>
      </c>
      <c r="U512" s="16" t="inlineStr">
        <is>
          <t>warn</t>
        </is>
      </c>
      <c r="V512" s="15" t="inlineStr">
        <is>
          <t>not_checked</t>
        </is>
      </c>
      <c r="W512" s="15" t="inlineStr">
        <is>
          <t>not_checked</t>
        </is>
      </c>
      <c r="X512" s="14" t="inlineStr">
        <is>
          <t>pass</t>
        </is>
      </c>
      <c r="Y512" s="15" t="inlineStr">
        <is>
          <t>not_checked</t>
        </is>
      </c>
      <c r="Z512" s="15" t="inlineStr">
        <is>
          <t>not_checked</t>
        </is>
      </c>
      <c r="AA512" s="15" t="inlineStr">
        <is>
          <t>not_checked</t>
        </is>
      </c>
      <c r="AB512" s="15" t="inlineStr">
        <is>
          <t>not_checked</t>
        </is>
      </c>
      <c r="AC512" s="15" t="inlineStr">
        <is>
          <t>not_checked</t>
        </is>
      </c>
      <c r="AD512" s="15" t="inlineStr">
        <is>
          <t>not_checked</t>
        </is>
      </c>
      <c r="AE512" s="15" t="inlineStr">
        <is>
          <t>not_checked</t>
        </is>
      </c>
      <c r="AF512" s="15" t="inlineStr">
        <is>
          <t>not_checked</t>
        </is>
      </c>
      <c r="AG512" s="15" t="inlineStr">
        <is>
          <t>not_checked</t>
        </is>
      </c>
      <c r="AH512" s="15" t="inlineStr">
        <is>
          <t>not_checked</t>
        </is>
      </c>
      <c r="AI512" s="15" t="inlineStr">
        <is>
          <t>n.a.</t>
        </is>
      </c>
      <c r="AJ512" s="15" t="inlineStr">
        <is>
          <t>n.a.</t>
        </is>
      </c>
      <c r="AK512" s="4" t="inlineStr">
        <is>
          <t>link_live(warn);format_match(warn)</t>
        </is>
      </c>
      <c r="AL512" s="17" t="inlineStr">
        <is>
          <t>https://www.inspq.qc.ca/en/deprivation/material-and-social-deprivation-index</t>
        </is>
      </c>
      <c r="AM512" s="4" t="inlineStr">
        <is>
          <t>ca_inspq_msdi</t>
        </is>
      </c>
    </row>
    <row r="513">
      <c r="A513" s="4" t="inlineStr">
        <is>
          <t>Miami-Dade Community Redevelopment Areas</t>
        </is>
      </c>
      <c r="B513" s="21" t="inlineStr">
        <is>
          <t>Browser needed</t>
        </is>
      </c>
      <c r="C513" s="4" t="n">
        <v>86</v>
      </c>
      <c r="D513" s="4" t="inlineStr">
        <is>
          <t>sdoh</t>
        </is>
      </c>
      <c r="E513" s="4" t="inlineStr">
        <is>
          <t>blocked</t>
        </is>
      </c>
      <c r="F513" s="4" t="inlineStr">
        <is>
          <t>unknown</t>
        </is>
      </c>
      <c r="G513" s="4" t="inlineStr">
        <is>
          <t>unknown</t>
        </is>
      </c>
      <c r="H513" s="4" t="inlineStr">
        <is>
          <t>Unknown</t>
        </is>
      </c>
      <c r="I513" s="4" t="n">
        <v>3</v>
      </c>
      <c r="J513" s="4" t="inlineStr"/>
      <c r="K513" s="4" t="inlineStr">
        <is>
          <t>Curated</t>
        </is>
      </c>
      <c r="L513" s="4" t="inlineStr"/>
      <c r="M513" s="4" t="inlineStr">
        <is>
          <t>unknown</t>
        </is>
      </c>
      <c r="N513" s="4" t="inlineStr">
        <is>
          <t>2026-10-28</t>
        </is>
      </c>
      <c r="O513" s="14" t="inlineStr">
        <is>
          <t>pass</t>
        </is>
      </c>
      <c r="P513" s="14" t="inlineStr">
        <is>
          <t>pass</t>
        </is>
      </c>
      <c r="Q513" s="14" t="inlineStr">
        <is>
          <t>pass</t>
        </is>
      </c>
      <c r="R513" s="16" t="inlineStr">
        <is>
          <t>warn</t>
        </is>
      </c>
      <c r="S513" s="15" t="inlineStr">
        <is>
          <t>not_checked</t>
        </is>
      </c>
      <c r="T513" s="15" t="inlineStr">
        <is>
          <t>n.a.</t>
        </is>
      </c>
      <c r="U513" s="15" t="inlineStr">
        <is>
          <t>n.a.</t>
        </is>
      </c>
      <c r="V513" s="14" t="inlineStr">
        <is>
          <t>pass</t>
        </is>
      </c>
      <c r="W513" s="16" t="inlineStr">
        <is>
          <t>warn</t>
        </is>
      </c>
      <c r="X513" s="14" t="inlineStr">
        <is>
          <t>pass</t>
        </is>
      </c>
      <c r="Y513" s="15" t="inlineStr">
        <is>
          <t>not_checked</t>
        </is>
      </c>
      <c r="Z513" s="15" t="inlineStr">
        <is>
          <t>not_checked</t>
        </is>
      </c>
      <c r="AA513" s="15" t="inlineStr">
        <is>
          <t>not_checked</t>
        </is>
      </c>
      <c r="AB513" s="15" t="inlineStr">
        <is>
          <t>not_checked</t>
        </is>
      </c>
      <c r="AC513" s="15" t="inlineStr">
        <is>
          <t>not_checked</t>
        </is>
      </c>
      <c r="AD513" s="15" t="inlineStr">
        <is>
          <t>not_checked</t>
        </is>
      </c>
      <c r="AE513" s="15" t="inlineStr">
        <is>
          <t>not_checked</t>
        </is>
      </c>
      <c r="AF513" s="15" t="inlineStr">
        <is>
          <t>not_checked</t>
        </is>
      </c>
      <c r="AG513" s="15" t="inlineStr">
        <is>
          <t>not_checked</t>
        </is>
      </c>
      <c r="AH513" s="15" t="inlineStr">
        <is>
          <t>not_checked</t>
        </is>
      </c>
      <c r="AI513" s="15" t="inlineStr">
        <is>
          <t>n.a.</t>
        </is>
      </c>
      <c r="AJ513" s="15" t="inlineStr">
        <is>
          <t>n.a.</t>
        </is>
      </c>
      <c r="AK513" s="4" t="inlineStr">
        <is>
          <t>soft404(warn);persistent_id(warn)</t>
        </is>
      </c>
      <c r="AL513" s="17" t="inlineStr">
        <is>
          <t>https://gis-mdc.opendata.arcgis.com/datasets/MDC::community-redevelopment-area/about</t>
        </is>
      </c>
      <c r="AM513" s="4" t="inlineStr">
        <is>
          <t>us_mdc_community_redevelopment_agency</t>
        </is>
      </c>
    </row>
    <row r="514">
      <c r="A514" s="4" t="inlineStr">
        <is>
          <t>Miami-Dade Qualified Opportunity Zones</t>
        </is>
      </c>
      <c r="B514" s="21" t="inlineStr">
        <is>
          <t>Browser needed</t>
        </is>
      </c>
      <c r="C514" s="4" t="n">
        <v>100</v>
      </c>
      <c r="D514" s="4" t="inlineStr">
        <is>
          <t>sdoh</t>
        </is>
      </c>
      <c r="E514" s="4" t="inlineStr">
        <is>
          <t>blocked</t>
        </is>
      </c>
      <c r="F514" s="4" t="inlineStr">
        <is>
          <t>unknown</t>
        </is>
      </c>
      <c r="G514" s="4" t="inlineStr">
        <is>
          <t>unknown</t>
        </is>
      </c>
      <c r="H514" s="4" t="inlineStr">
        <is>
          <t>Unknown</t>
        </is>
      </c>
      <c r="I514" s="4" t="n">
        <v>3</v>
      </c>
      <c r="J514" s="4" t="inlineStr"/>
      <c r="K514" s="4" t="inlineStr">
        <is>
          <t>Curated</t>
        </is>
      </c>
      <c r="L514" s="4" t="inlineStr"/>
      <c r="M514" s="4" t="inlineStr">
        <is>
          <t>unknown</t>
        </is>
      </c>
      <c r="N514" s="4" t="inlineStr">
        <is>
          <t>2026-10-28</t>
        </is>
      </c>
      <c r="O514" s="14" t="inlineStr">
        <is>
          <t>pass</t>
        </is>
      </c>
      <c r="P514" s="14" t="inlineStr">
        <is>
          <t>pass</t>
        </is>
      </c>
      <c r="Q514" s="14" t="inlineStr">
        <is>
          <t>pass</t>
        </is>
      </c>
      <c r="R514" s="14" t="inlineStr">
        <is>
          <t>pass</t>
        </is>
      </c>
      <c r="S514" s="14" t="inlineStr">
        <is>
          <t>pass</t>
        </is>
      </c>
      <c r="T514" s="15" t="inlineStr">
        <is>
          <t>n.a.</t>
        </is>
      </c>
      <c r="U514" s="15" t="inlineStr">
        <is>
          <t>n.a.</t>
        </is>
      </c>
      <c r="V514" s="14" t="inlineStr">
        <is>
          <t>pass</t>
        </is>
      </c>
      <c r="W514" s="16" t="inlineStr">
        <is>
          <t>warn</t>
        </is>
      </c>
      <c r="X514" s="14" t="inlineStr">
        <is>
          <t>pass</t>
        </is>
      </c>
      <c r="Y514" s="15" t="inlineStr">
        <is>
          <t>not_checked</t>
        </is>
      </c>
      <c r="Z514" s="15" t="inlineStr">
        <is>
          <t>not_checked</t>
        </is>
      </c>
      <c r="AA514" s="15" t="inlineStr">
        <is>
          <t>not_checked</t>
        </is>
      </c>
      <c r="AB514" s="15" t="inlineStr">
        <is>
          <t>not_checked</t>
        </is>
      </c>
      <c r="AC514" s="15" t="inlineStr">
        <is>
          <t>not_checked</t>
        </is>
      </c>
      <c r="AD514" s="15" t="inlineStr">
        <is>
          <t>not_checked</t>
        </is>
      </c>
      <c r="AE514" s="15" t="inlineStr">
        <is>
          <t>not_checked</t>
        </is>
      </c>
      <c r="AF514" s="15" t="inlineStr">
        <is>
          <t>not_checked</t>
        </is>
      </c>
      <c r="AG514" s="15" t="inlineStr">
        <is>
          <t>not_checked</t>
        </is>
      </c>
      <c r="AH514" s="15" t="inlineStr">
        <is>
          <t>not_checked</t>
        </is>
      </c>
      <c r="AI514" s="15" t="inlineStr">
        <is>
          <t>n.a.</t>
        </is>
      </c>
      <c r="AJ514" s="15" t="inlineStr">
        <is>
          <t>n.a.</t>
        </is>
      </c>
      <c r="AK514" s="4" t="inlineStr">
        <is>
          <t>persistent_id(warn)</t>
        </is>
      </c>
      <c r="AL514" s="17" t="inlineStr">
        <is>
          <t>https://gis-mdc.opendata.arcgis.com/datasets/MDC::qualified-opportunity-zones/about</t>
        </is>
      </c>
      <c r="AM514" s="4" t="inlineStr">
        <is>
          <t>us_mdc_qualified_opportunity_zones</t>
        </is>
      </c>
    </row>
    <row r="515">
      <c r="A515" s="4" t="inlineStr">
        <is>
          <t>NaNDA: Broadband Internet Availability, Speed, and Adoption</t>
        </is>
      </c>
      <c r="B515" s="21" t="inlineStr">
        <is>
          <t>Browser needed</t>
        </is>
      </c>
      <c r="C515" s="4" t="n">
        <v>50</v>
      </c>
      <c r="D515" s="4" t="inlineStr">
        <is>
          <t>sdoh</t>
        </is>
      </c>
      <c r="E515" s="4" t="inlineStr">
        <is>
          <t>blocked</t>
        </is>
      </c>
      <c r="F515" s="4" t="inlineStr">
        <is>
          <t>not checked</t>
        </is>
      </c>
      <c r="G515" s="4" t="inlineStr">
        <is>
          <t>tract</t>
        </is>
      </c>
      <c r="H515" s="4" t="inlineStr">
        <is>
          <t>Joins today</t>
        </is>
      </c>
      <c r="I515" s="4" t="n">
        <v>3</v>
      </c>
      <c r="J515" s="4" t="inlineStr"/>
      <c r="K515" s="4" t="inlineStr">
        <is>
          <t>Curated</t>
        </is>
      </c>
      <c r="L515" s="4" t="n">
        <v>2020</v>
      </c>
      <c r="M515" s="4" t="inlineStr">
        <is>
          <t>open</t>
        </is>
      </c>
      <c r="N515" s="4" t="inlineStr">
        <is>
          <t>2026-10-22</t>
        </is>
      </c>
      <c r="O515" s="16" t="inlineStr">
        <is>
          <t>warn</t>
        </is>
      </c>
      <c r="P515" s="14" t="inlineStr">
        <is>
          <t>pass</t>
        </is>
      </c>
      <c r="Q515" s="14" t="inlineStr">
        <is>
          <t>pass</t>
        </is>
      </c>
      <c r="R515" s="15" t="inlineStr">
        <is>
          <t>not_checked</t>
        </is>
      </c>
      <c r="S515" s="15" t="inlineStr">
        <is>
          <t>not_checked</t>
        </is>
      </c>
      <c r="T515" s="14" t="inlineStr">
        <is>
          <t>pass</t>
        </is>
      </c>
      <c r="U515" s="16" t="inlineStr">
        <is>
          <t>warn</t>
        </is>
      </c>
      <c r="V515" s="15" t="inlineStr">
        <is>
          <t>not_checked</t>
        </is>
      </c>
      <c r="W515" s="15" t="inlineStr">
        <is>
          <t>not_checked</t>
        </is>
      </c>
      <c r="X515" s="14" t="inlineStr">
        <is>
          <t>pass</t>
        </is>
      </c>
      <c r="Y515" s="15" t="inlineStr">
        <is>
          <t>not_checked</t>
        </is>
      </c>
      <c r="Z515" s="15" t="inlineStr">
        <is>
          <t>not_checked</t>
        </is>
      </c>
      <c r="AA515" s="15" t="inlineStr">
        <is>
          <t>not_checked</t>
        </is>
      </c>
      <c r="AB515" s="15" t="inlineStr">
        <is>
          <t>not_checked</t>
        </is>
      </c>
      <c r="AC515" s="15" t="inlineStr">
        <is>
          <t>not_checked</t>
        </is>
      </c>
      <c r="AD515" s="15" t="inlineStr">
        <is>
          <t>not_checked</t>
        </is>
      </c>
      <c r="AE515" s="15" t="inlineStr">
        <is>
          <t>not_checked</t>
        </is>
      </c>
      <c r="AF515" s="15" t="inlineStr">
        <is>
          <t>not_checked</t>
        </is>
      </c>
      <c r="AG515" s="15" t="inlineStr">
        <is>
          <t>not_checked</t>
        </is>
      </c>
      <c r="AH515" s="15" t="inlineStr">
        <is>
          <t>not_checked</t>
        </is>
      </c>
      <c r="AI515" s="15" t="inlineStr">
        <is>
          <t>n.a.</t>
        </is>
      </c>
      <c r="AJ515" s="15" t="inlineStr">
        <is>
          <t>n.a.</t>
        </is>
      </c>
      <c r="AK515" s="4" t="inlineStr">
        <is>
          <t>link_live(warn);format_match(warn)</t>
        </is>
      </c>
      <c r="AL515" s="17" t="inlineStr">
        <is>
          <t>https://nanda.isr.umich.edu/data/</t>
        </is>
      </c>
      <c r="AM515" s="4" t="inlineStr">
        <is>
          <t>us_umich_nanda_broadband</t>
        </is>
      </c>
    </row>
    <row r="516">
      <c r="A516" s="4" t="inlineStr">
        <is>
          <t>NaNDA: Health Care Services by Census Tract and ZCTA</t>
        </is>
      </c>
      <c r="B516" s="19" t="inlineStr">
        <is>
          <t>Silver</t>
        </is>
      </c>
      <c r="C516" s="4" t="n">
        <v>50</v>
      </c>
      <c r="D516" s="4" t="inlineStr">
        <is>
          <t>sdoh</t>
        </is>
      </c>
      <c r="E516" s="4" t="inlineStr">
        <is>
          <t>blocked</t>
        </is>
      </c>
      <c r="F516" s="4" t="inlineStr">
        <is>
          <t>not checked</t>
        </is>
      </c>
      <c r="G516" s="4" t="inlineStr">
        <is>
          <t>census tract, ZCTA</t>
        </is>
      </c>
      <c r="H516" s="4" t="inlineStr">
        <is>
          <t>Joins today</t>
        </is>
      </c>
      <c r="I516" s="4" t="n">
        <v>3</v>
      </c>
      <c r="J516" s="4" t="inlineStr"/>
      <c r="K516" s="4" t="inlineStr">
        <is>
          <t>Curated</t>
        </is>
      </c>
      <c r="L516" s="4" t="n">
        <v>2026</v>
      </c>
      <c r="M516" s="4" t="inlineStr">
        <is>
          <t>open</t>
        </is>
      </c>
      <c r="N516" s="4" t="inlineStr">
        <is>
          <t>2026-10-29</t>
        </is>
      </c>
      <c r="O516" s="16" t="inlineStr">
        <is>
          <t>warn</t>
        </is>
      </c>
      <c r="P516" s="14" t="inlineStr">
        <is>
          <t>pass</t>
        </is>
      </c>
      <c r="Q516" s="14" t="inlineStr">
        <is>
          <t>pass</t>
        </is>
      </c>
      <c r="R516" s="15" t="inlineStr">
        <is>
          <t>not_checked</t>
        </is>
      </c>
      <c r="S516" s="15" t="inlineStr">
        <is>
          <t>not_checked</t>
        </is>
      </c>
      <c r="T516" s="14" t="inlineStr">
        <is>
          <t>pass</t>
        </is>
      </c>
      <c r="U516" s="16" t="inlineStr">
        <is>
          <t>warn</t>
        </is>
      </c>
      <c r="V516" s="15" t="inlineStr">
        <is>
          <t>not_checked</t>
        </is>
      </c>
      <c r="W516" s="15" t="inlineStr">
        <is>
          <t>not_checked</t>
        </is>
      </c>
      <c r="X516" s="18" t="inlineStr">
        <is>
          <t>fail</t>
        </is>
      </c>
      <c r="Y516" s="15" t="inlineStr">
        <is>
          <t>not_checked</t>
        </is>
      </c>
      <c r="Z516" s="15" t="inlineStr">
        <is>
          <t>not_checked</t>
        </is>
      </c>
      <c r="AA516" s="15" t="inlineStr">
        <is>
          <t>not_checked</t>
        </is>
      </c>
      <c r="AB516" s="15" t="inlineStr">
        <is>
          <t>not_checked</t>
        </is>
      </c>
      <c r="AC516" s="15" t="inlineStr">
        <is>
          <t>not_checked</t>
        </is>
      </c>
      <c r="AD516" s="15" t="inlineStr">
        <is>
          <t>not_checked</t>
        </is>
      </c>
      <c r="AE516" s="15" t="inlineStr">
        <is>
          <t>not_checked</t>
        </is>
      </c>
      <c r="AF516" s="15" t="inlineStr">
        <is>
          <t>not_checked</t>
        </is>
      </c>
      <c r="AG516" s="15" t="inlineStr">
        <is>
          <t>not_checked</t>
        </is>
      </c>
      <c r="AH516" s="15" t="inlineStr">
        <is>
          <t>not_checked</t>
        </is>
      </c>
      <c r="AI516" s="15" t="inlineStr">
        <is>
          <t>n.a.</t>
        </is>
      </c>
      <c r="AJ516" s="15" t="inlineStr">
        <is>
          <t>n.a.</t>
        </is>
      </c>
      <c r="AK516" s="4" t="inlineStr">
        <is>
          <t>archived;link_live(warn);format_match(warn)</t>
        </is>
      </c>
      <c r="AL516" s="17" t="inlineStr">
        <is>
          <t>https://nanda.isr.umich.edu/2026/04/09/12-nanda-datasets-updated-through-2022/</t>
        </is>
      </c>
      <c r="AM516" s="4" t="inlineStr">
        <is>
          <t>us_umich_nanda_health_care</t>
        </is>
      </c>
    </row>
    <row r="517">
      <c r="A517" s="4" t="inlineStr">
        <is>
          <t>NaNDA: Socioeconomic and Demographic Characteristics of Census Tracts and ZCTAs</t>
        </is>
      </c>
      <c r="B517" s="21" t="inlineStr">
        <is>
          <t>Browser needed</t>
        </is>
      </c>
      <c r="C517" s="4" t="n">
        <v>50</v>
      </c>
      <c r="D517" s="4" t="inlineStr">
        <is>
          <t>sdoh</t>
        </is>
      </c>
      <c r="E517" s="4" t="inlineStr">
        <is>
          <t>blocked</t>
        </is>
      </c>
      <c r="F517" s="4" t="inlineStr">
        <is>
          <t>not checked</t>
        </is>
      </c>
      <c r="G517" s="4" t="inlineStr">
        <is>
          <t>tract</t>
        </is>
      </c>
      <c r="H517" s="4" t="inlineStr">
        <is>
          <t>Joins today</t>
        </is>
      </c>
      <c r="I517" s="4" t="n">
        <v>3</v>
      </c>
      <c r="J517" s="4" t="inlineStr"/>
      <c r="K517" s="4" t="inlineStr">
        <is>
          <t>Curated</t>
        </is>
      </c>
      <c r="L517" s="4" t="n">
        <v>2022</v>
      </c>
      <c r="M517" s="4" t="inlineStr">
        <is>
          <t>open</t>
        </is>
      </c>
      <c r="N517" s="4" t="inlineStr">
        <is>
          <t>2026-10-22</t>
        </is>
      </c>
      <c r="O517" s="16" t="inlineStr">
        <is>
          <t>warn</t>
        </is>
      </c>
      <c r="P517" s="14" t="inlineStr">
        <is>
          <t>pass</t>
        </is>
      </c>
      <c r="Q517" s="14" t="inlineStr">
        <is>
          <t>pass</t>
        </is>
      </c>
      <c r="R517" s="15" t="inlineStr">
        <is>
          <t>not_checked</t>
        </is>
      </c>
      <c r="S517" s="15" t="inlineStr">
        <is>
          <t>not_checked</t>
        </is>
      </c>
      <c r="T517" s="16" t="inlineStr">
        <is>
          <t>warn</t>
        </is>
      </c>
      <c r="U517" s="15" t="inlineStr">
        <is>
          <t>n.a.</t>
        </is>
      </c>
      <c r="V517" s="15" t="inlineStr">
        <is>
          <t>not_checked</t>
        </is>
      </c>
      <c r="W517" s="15" t="inlineStr">
        <is>
          <t>not_checked</t>
        </is>
      </c>
      <c r="X517" s="14" t="inlineStr">
        <is>
          <t>pass</t>
        </is>
      </c>
      <c r="Y517" s="15" t="inlineStr">
        <is>
          <t>not_checked</t>
        </is>
      </c>
      <c r="Z517" s="15" t="inlineStr">
        <is>
          <t>not_checked</t>
        </is>
      </c>
      <c r="AA517" s="15" t="inlineStr">
        <is>
          <t>not_checked</t>
        </is>
      </c>
      <c r="AB517" s="15" t="inlineStr">
        <is>
          <t>not_checked</t>
        </is>
      </c>
      <c r="AC517" s="15" t="inlineStr">
        <is>
          <t>not_checked</t>
        </is>
      </c>
      <c r="AD517" s="15" t="inlineStr">
        <is>
          <t>not_checked</t>
        </is>
      </c>
      <c r="AE517" s="15" t="inlineStr">
        <is>
          <t>not_checked</t>
        </is>
      </c>
      <c r="AF517" s="15" t="inlineStr">
        <is>
          <t>not_checked</t>
        </is>
      </c>
      <c r="AG517" s="15" t="inlineStr">
        <is>
          <t>not_checked</t>
        </is>
      </c>
      <c r="AH517" s="15" t="inlineStr">
        <is>
          <t>not_checked</t>
        </is>
      </c>
      <c r="AI517" s="15" t="inlineStr">
        <is>
          <t>n.a.</t>
        </is>
      </c>
      <c r="AJ517" s="15" t="inlineStr">
        <is>
          <t>n.a.</t>
        </is>
      </c>
      <c r="AK517" s="4" t="inlineStr">
        <is>
          <t>link_live(warn);access_url(warn)</t>
        </is>
      </c>
      <c r="AL517" s="17" t="inlineStr">
        <is>
          <t>https://www.icpsr.umich.edu/web/ICPSR/studies/38528</t>
        </is>
      </c>
      <c r="AM517" s="4" t="inlineStr">
        <is>
          <t>us_umich_nanda_socioeconomic</t>
        </is>
      </c>
    </row>
    <row r="518">
      <c r="A518" s="4" t="inlineStr">
        <is>
          <t>NZDep Index of Socioeconomic Deprivation</t>
        </is>
      </c>
      <c r="B518" s="21" t="inlineStr">
        <is>
          <t>Browser needed</t>
        </is>
      </c>
      <c r="C518" s="4" t="n">
        <v>50</v>
      </c>
      <c r="D518" s="4" t="inlineStr">
        <is>
          <t>sdoh</t>
        </is>
      </c>
      <c r="E518" s="4" t="inlineStr">
        <is>
          <t>blocked</t>
        </is>
      </c>
      <c r="F518" s="4" t="inlineStr">
        <is>
          <t>not checked</t>
        </is>
      </c>
      <c r="G518" s="4" t="inlineStr">
        <is>
          <t>postcode_small_area</t>
        </is>
      </c>
      <c r="H518" s="4" t="inlineStr">
        <is>
          <t>Joins today</t>
        </is>
      </c>
      <c r="I518" s="4" t="n">
        <v>3</v>
      </c>
      <c r="J518" s="4" t="inlineStr"/>
      <c r="K518" s="4" t="inlineStr">
        <is>
          <t>Curated</t>
        </is>
      </c>
      <c r="L518" s="4" t="n">
        <v>2023</v>
      </c>
      <c r="M518" s="4" t="inlineStr">
        <is>
          <t>open</t>
        </is>
      </c>
      <c r="N518" s="4" t="inlineStr">
        <is>
          <t>2026-10-22</t>
        </is>
      </c>
      <c r="O518" s="16" t="inlineStr">
        <is>
          <t>warn</t>
        </is>
      </c>
      <c r="P518" s="14" t="inlineStr">
        <is>
          <t>pass</t>
        </is>
      </c>
      <c r="Q518" s="14" t="inlineStr">
        <is>
          <t>pass</t>
        </is>
      </c>
      <c r="R518" s="15" t="inlineStr">
        <is>
          <t>not_checked</t>
        </is>
      </c>
      <c r="S518" s="15" t="inlineStr">
        <is>
          <t>not_checked</t>
        </is>
      </c>
      <c r="T518" s="15" t="inlineStr">
        <is>
          <t>n.a.</t>
        </is>
      </c>
      <c r="U518" s="15" t="inlineStr">
        <is>
          <t>n.a.</t>
        </is>
      </c>
      <c r="V518" s="15" t="inlineStr">
        <is>
          <t>not_checked</t>
        </is>
      </c>
      <c r="W518" s="15" t="inlineStr">
        <is>
          <t>not_checked</t>
        </is>
      </c>
      <c r="X518" s="18" t="inlineStr">
        <is>
          <t>fail</t>
        </is>
      </c>
      <c r="Y518" s="15" t="inlineStr">
        <is>
          <t>not_checked</t>
        </is>
      </c>
      <c r="Z518" s="15" t="inlineStr">
        <is>
          <t>not_checked</t>
        </is>
      </c>
      <c r="AA518" s="15" t="inlineStr">
        <is>
          <t>not_checked</t>
        </is>
      </c>
      <c r="AB518" s="15" t="inlineStr">
        <is>
          <t>not_checked</t>
        </is>
      </c>
      <c r="AC518" s="15" t="inlineStr">
        <is>
          <t>not_checked</t>
        </is>
      </c>
      <c r="AD518" s="15" t="inlineStr">
        <is>
          <t>not_checked</t>
        </is>
      </c>
      <c r="AE518" s="15" t="inlineStr">
        <is>
          <t>not_checked</t>
        </is>
      </c>
      <c r="AF518" s="15" t="inlineStr">
        <is>
          <t>not_checked</t>
        </is>
      </c>
      <c r="AG518" s="15" t="inlineStr">
        <is>
          <t>not_checked</t>
        </is>
      </c>
      <c r="AH518" s="15" t="inlineStr">
        <is>
          <t>not_checked</t>
        </is>
      </c>
      <c r="AI518" s="15" t="inlineStr">
        <is>
          <t>n.a.</t>
        </is>
      </c>
      <c r="AJ518" s="15" t="inlineStr">
        <is>
          <t>n.a.</t>
        </is>
      </c>
      <c r="AK518" s="4" t="inlineStr">
        <is>
          <t>archived;link_live(warn)</t>
        </is>
      </c>
      <c r="AL518" s="17" t="inlineStr">
        <is>
          <t>https://www.otago.ac.nz/wellington/departments/publichealth/research/hirp/socioeconomic-deprivation-indexes-nzdep-and-nzidep-department-of-public-health</t>
        </is>
      </c>
      <c r="AM518" s="4" t="inlineStr">
        <is>
          <t>nz_otago_nzdep</t>
        </is>
      </c>
    </row>
    <row r="519">
      <c r="A519" s="4" t="inlineStr">
        <is>
          <t>OECD Regional Statistics (Regions and Cities database)</t>
        </is>
      </c>
      <c r="B519" s="21" t="inlineStr">
        <is>
          <t>Browser needed</t>
        </is>
      </c>
      <c r="C519" s="4" t="n">
        <v>50</v>
      </c>
      <c r="D519" s="4" t="inlineStr">
        <is>
          <t>sdoh</t>
        </is>
      </c>
      <c r="E519" s="4" t="inlineStr">
        <is>
          <t>blocked</t>
        </is>
      </c>
      <c r="F519" s="4" t="inlineStr">
        <is>
          <t>not checked</t>
        </is>
      </c>
      <c r="G519" s="4" t="inlineStr">
        <is>
          <t>postcode_small_area</t>
        </is>
      </c>
      <c r="H519" s="4" t="inlineStr">
        <is>
          <t>Joins today</t>
        </is>
      </c>
      <c r="I519" s="4" t="n">
        <v>3</v>
      </c>
      <c r="J519" s="4" t="inlineStr"/>
      <c r="K519" s="4" t="inlineStr">
        <is>
          <t>Curated</t>
        </is>
      </c>
      <c r="L519" s="4" t="n">
        <v>2023</v>
      </c>
      <c r="M519" s="4" t="inlineStr">
        <is>
          <t>open</t>
        </is>
      </c>
      <c r="N519" s="4" t="inlineStr">
        <is>
          <t>2026-10-22</t>
        </is>
      </c>
      <c r="O519" s="16" t="inlineStr">
        <is>
          <t>warn</t>
        </is>
      </c>
      <c r="P519" s="14" t="inlineStr">
        <is>
          <t>pass</t>
        </is>
      </c>
      <c r="Q519" s="14" t="inlineStr">
        <is>
          <t>pass</t>
        </is>
      </c>
      <c r="R519" s="15" t="inlineStr">
        <is>
          <t>not_checked</t>
        </is>
      </c>
      <c r="S519" s="15" t="inlineStr">
        <is>
          <t>not_checked</t>
        </is>
      </c>
      <c r="T519" s="14" t="inlineStr">
        <is>
          <t>pass</t>
        </is>
      </c>
      <c r="U519" s="14" t="inlineStr">
        <is>
          <t>pass</t>
        </is>
      </c>
      <c r="V519" s="15" t="inlineStr">
        <is>
          <t>not_checked</t>
        </is>
      </c>
      <c r="W519" s="15" t="inlineStr">
        <is>
          <t>not_checked</t>
        </is>
      </c>
      <c r="X519" s="18" t="inlineStr">
        <is>
          <t>fail</t>
        </is>
      </c>
      <c r="Y519" s="15" t="inlineStr">
        <is>
          <t>not_checked</t>
        </is>
      </c>
      <c r="Z519" s="15" t="inlineStr">
        <is>
          <t>not_checked</t>
        </is>
      </c>
      <c r="AA519" s="15" t="inlineStr">
        <is>
          <t>not_checked</t>
        </is>
      </c>
      <c r="AB519" s="15" t="inlineStr">
        <is>
          <t>not_checked</t>
        </is>
      </c>
      <c r="AC519" s="15" t="inlineStr">
        <is>
          <t>not_checked</t>
        </is>
      </c>
      <c r="AD519" s="15" t="inlineStr">
        <is>
          <t>not_checked</t>
        </is>
      </c>
      <c r="AE519" s="15" t="inlineStr">
        <is>
          <t>not_checked</t>
        </is>
      </c>
      <c r="AF519" s="15" t="inlineStr">
        <is>
          <t>not_checked</t>
        </is>
      </c>
      <c r="AG519" s="15" t="inlineStr">
        <is>
          <t>not_checked</t>
        </is>
      </c>
      <c r="AH519" s="15" t="inlineStr">
        <is>
          <t>not_checked</t>
        </is>
      </c>
      <c r="AI519" s="15" t="inlineStr">
        <is>
          <t>n.a.</t>
        </is>
      </c>
      <c r="AJ519" s="15" t="inlineStr">
        <is>
          <t>n.a.</t>
        </is>
      </c>
      <c r="AK519" s="4" t="inlineStr">
        <is>
          <t>archived;link_live(warn)</t>
        </is>
      </c>
      <c r="AL519" s="17" t="inlineStr">
        <is>
          <t>https://www.oecd.org/en/data/datasets/regional-statistics-database.html</t>
        </is>
      </c>
      <c r="AM519" s="4" t="inlineStr">
        <is>
          <t>global_oecd_regions_and_cities</t>
        </is>
      </c>
    </row>
    <row r="520">
      <c r="A520" s="4" t="inlineStr">
        <is>
          <t>Picture of Subsidized Households</t>
        </is>
      </c>
      <c r="B520" s="21" t="inlineStr">
        <is>
          <t>Browser needed</t>
        </is>
      </c>
      <c r="C520" s="4" t="n">
        <v>71</v>
      </c>
      <c r="D520" s="4" t="inlineStr">
        <is>
          <t>sdoh</t>
        </is>
      </c>
      <c r="E520" s="4" t="inlineStr">
        <is>
          <t>blocked</t>
        </is>
      </c>
      <c r="F520" s="4" t="inlineStr">
        <is>
          <t>public_domain_us_federal</t>
        </is>
      </c>
      <c r="G520" s="4" t="inlineStr">
        <is>
          <t>tract</t>
        </is>
      </c>
      <c r="H520" s="4" t="inlineStr">
        <is>
          <t>Joins today</t>
        </is>
      </c>
      <c r="I520" s="4" t="n">
        <v>3</v>
      </c>
      <c r="J520" s="4" t="inlineStr"/>
      <c r="K520" s="4" t="inlineStr">
        <is>
          <t>Curated</t>
        </is>
      </c>
      <c r="L520" s="4" t="n">
        <v>2023</v>
      </c>
      <c r="M520" s="4" t="inlineStr">
        <is>
          <t>open</t>
        </is>
      </c>
      <c r="N520" s="4" t="inlineStr">
        <is>
          <t>2026-10-29</t>
        </is>
      </c>
      <c r="O520" s="16" t="inlineStr">
        <is>
          <t>warn</t>
        </is>
      </c>
      <c r="P520" s="14" t="inlineStr">
        <is>
          <t>pass</t>
        </is>
      </c>
      <c r="Q520" s="14" t="inlineStr">
        <is>
          <t>pass</t>
        </is>
      </c>
      <c r="R520" s="15" t="inlineStr">
        <is>
          <t>not_checked</t>
        </is>
      </c>
      <c r="S520" s="15" t="inlineStr">
        <is>
          <t>not_checked</t>
        </is>
      </c>
      <c r="T520" s="14" t="inlineStr">
        <is>
          <t>pass</t>
        </is>
      </c>
      <c r="U520" s="16" t="inlineStr">
        <is>
          <t>warn</t>
        </is>
      </c>
      <c r="V520" s="15" t="inlineStr">
        <is>
          <t>not_checked</t>
        </is>
      </c>
      <c r="W520" s="15" t="inlineStr">
        <is>
          <t>not_checked</t>
        </is>
      </c>
      <c r="X520" s="14" t="inlineStr">
        <is>
          <t>pass</t>
        </is>
      </c>
      <c r="Y520" s="14" t="inlineStr">
        <is>
          <t>pass</t>
        </is>
      </c>
      <c r="Z520" s="15" t="inlineStr">
        <is>
          <t>not_checked</t>
        </is>
      </c>
      <c r="AA520" s="15" t="inlineStr">
        <is>
          <t>not_checked</t>
        </is>
      </c>
      <c r="AB520" s="15" t="inlineStr">
        <is>
          <t>not_checked</t>
        </is>
      </c>
      <c r="AC520" s="15" t="inlineStr">
        <is>
          <t>not_checked</t>
        </is>
      </c>
      <c r="AD520" s="15" t="inlineStr">
        <is>
          <t>not_checked</t>
        </is>
      </c>
      <c r="AE520" s="15" t="inlineStr">
        <is>
          <t>not_checked</t>
        </is>
      </c>
      <c r="AF520" s="15" t="inlineStr">
        <is>
          <t>not_checked</t>
        </is>
      </c>
      <c r="AG520" s="15" t="inlineStr">
        <is>
          <t>not_checked</t>
        </is>
      </c>
      <c r="AH520" s="15" t="inlineStr">
        <is>
          <t>not_checked</t>
        </is>
      </c>
      <c r="AI520" s="15" t="inlineStr">
        <is>
          <t>n.a.</t>
        </is>
      </c>
      <c r="AJ520" s="15" t="inlineStr">
        <is>
          <t>n.a.</t>
        </is>
      </c>
      <c r="AK520" s="4" t="inlineStr">
        <is>
          <t>link_live(warn);format_match(warn)</t>
        </is>
      </c>
      <c r="AL520" s="17" t="inlineStr">
        <is>
          <t>https://www.huduser.gov/portal/datasets/assthsg.html</t>
        </is>
      </c>
      <c r="AM520" s="4" t="inlineStr">
        <is>
          <t>us_hud_picture_of_subsidized_households</t>
        </is>
      </c>
    </row>
    <row r="521">
      <c r="A521" s="4" t="inlineStr">
        <is>
          <t>Pobal HP Deprivation Index</t>
        </is>
      </c>
      <c r="B521" s="21" t="inlineStr">
        <is>
          <t>Browser needed</t>
        </is>
      </c>
      <c r="C521" s="4" t="n">
        <v>50</v>
      </c>
      <c r="D521" s="4" t="inlineStr">
        <is>
          <t>sdoh</t>
        </is>
      </c>
      <c r="E521" s="4" t="inlineStr">
        <is>
          <t>blocked</t>
        </is>
      </c>
      <c r="F521" s="4" t="inlineStr">
        <is>
          <t>not checked</t>
        </is>
      </c>
      <c r="G521" s="4" t="inlineStr">
        <is>
          <t>unknown</t>
        </is>
      </c>
      <c r="H521" s="4" t="inlineStr">
        <is>
          <t>Unknown</t>
        </is>
      </c>
      <c r="I521" s="4" t="n">
        <v>3</v>
      </c>
      <c r="J521" s="4" t="inlineStr"/>
      <c r="K521" s="4" t="inlineStr">
        <is>
          <t>Curated</t>
        </is>
      </c>
      <c r="L521" s="4" t="n">
        <v>2022</v>
      </c>
      <c r="M521" s="4" t="inlineStr">
        <is>
          <t>open</t>
        </is>
      </c>
      <c r="N521" s="4" t="inlineStr">
        <is>
          <t>2026-10-22</t>
        </is>
      </c>
      <c r="O521" s="16" t="inlineStr">
        <is>
          <t>warn</t>
        </is>
      </c>
      <c r="P521" s="15" t="inlineStr">
        <is>
          <t>n.a.</t>
        </is>
      </c>
      <c r="Q521" s="15" t="inlineStr">
        <is>
          <t>n.a.</t>
        </is>
      </c>
      <c r="R521" s="15" t="inlineStr">
        <is>
          <t>n.a.</t>
        </is>
      </c>
      <c r="S521" s="15" t="inlineStr">
        <is>
          <t>n.a.</t>
        </is>
      </c>
      <c r="T521" s="18" t="inlineStr">
        <is>
          <t>fail</t>
        </is>
      </c>
      <c r="U521" s="15" t="inlineStr">
        <is>
          <t>n.a.</t>
        </is>
      </c>
      <c r="V521" s="15" t="inlineStr">
        <is>
          <t>n.a.</t>
        </is>
      </c>
      <c r="W521" s="15" t="inlineStr">
        <is>
          <t>not_checked</t>
        </is>
      </c>
      <c r="X521" s="14" t="inlineStr">
        <is>
          <t>pass</t>
        </is>
      </c>
      <c r="Y521" s="15" t="inlineStr">
        <is>
          <t>not_checked</t>
        </is>
      </c>
      <c r="Z521" s="15" t="inlineStr">
        <is>
          <t>not_checked</t>
        </is>
      </c>
      <c r="AA521" s="15" t="inlineStr">
        <is>
          <t>not_checked</t>
        </is>
      </c>
      <c r="AB521" s="15" t="inlineStr">
        <is>
          <t>not_checked</t>
        </is>
      </c>
      <c r="AC521" s="15" t="inlineStr">
        <is>
          <t>not_checked</t>
        </is>
      </c>
      <c r="AD521" s="15" t="inlineStr">
        <is>
          <t>not_checked</t>
        </is>
      </c>
      <c r="AE521" s="15" t="inlineStr">
        <is>
          <t>not_checked</t>
        </is>
      </c>
      <c r="AF521" s="15" t="inlineStr">
        <is>
          <t>not_checked</t>
        </is>
      </c>
      <c r="AG521" s="15" t="inlineStr">
        <is>
          <t>not_checked</t>
        </is>
      </c>
      <c r="AH521" s="15" t="inlineStr">
        <is>
          <t>not_checked</t>
        </is>
      </c>
      <c r="AI521" s="15" t="inlineStr">
        <is>
          <t>n.a.</t>
        </is>
      </c>
      <c r="AJ521" s="15" t="inlineStr">
        <is>
          <t>n.a.</t>
        </is>
      </c>
      <c r="AK521" s="4" t="inlineStr">
        <is>
          <t>access_url;link_live(warn)</t>
        </is>
      </c>
      <c r="AL521" s="17" t="inlineStr">
        <is>
          <t>https://www.pobal.ie/pobal-hp-deprivation-index/</t>
        </is>
      </c>
      <c r="AM521" s="4" t="inlineStr">
        <is>
          <t>ie_pobal_hp_deprivation_index</t>
        </is>
      </c>
    </row>
    <row r="522">
      <c r="A522" s="4" t="inlineStr">
        <is>
          <t>Provider of Services (POS) File - Hospital and Non-Hospital Facilities</t>
        </is>
      </c>
      <c r="B522" s="19" t="inlineStr">
        <is>
          <t>Silver</t>
        </is>
      </c>
      <c r="C522" s="4" t="n">
        <v>80</v>
      </c>
      <c r="D522" s="4" t="inlineStr">
        <is>
          <t>sdoh</t>
        </is>
      </c>
      <c r="E522" s="4" t="inlineStr">
        <is>
          <t>blocked</t>
        </is>
      </c>
      <c r="F522" s="4" t="inlineStr">
        <is>
          <t>public_domain_us_federal</t>
        </is>
      </c>
      <c r="G522" s="4" t="inlineStr">
        <is>
          <t>address (needs geocoding); CMS Certification Number</t>
        </is>
      </c>
      <c r="H522" s="4" t="inlineStr">
        <is>
          <t>Needs a count/distance step</t>
        </is>
      </c>
      <c r="I522" s="4" t="n">
        <v>3</v>
      </c>
      <c r="J522" s="4" t="inlineStr"/>
      <c r="K522" s="4" t="inlineStr">
        <is>
          <t>Curated</t>
        </is>
      </c>
      <c r="L522" s="4" t="inlineStr">
        <is>
          <t>current</t>
        </is>
      </c>
      <c r="M522" s="4" t="inlineStr">
        <is>
          <t>open</t>
        </is>
      </c>
      <c r="N522" s="4" t="inlineStr">
        <is>
          <t>2026-10-29</t>
        </is>
      </c>
      <c r="O522" s="14" t="inlineStr">
        <is>
          <t>pass</t>
        </is>
      </c>
      <c r="P522" s="14" t="inlineStr">
        <is>
          <t>pass</t>
        </is>
      </c>
      <c r="Q522" s="14" t="inlineStr">
        <is>
          <t>pass</t>
        </is>
      </c>
      <c r="R522" s="16" t="inlineStr">
        <is>
          <t>warn</t>
        </is>
      </c>
      <c r="S522" s="15" t="inlineStr">
        <is>
          <t>not_checked</t>
        </is>
      </c>
      <c r="T522" s="14" t="inlineStr">
        <is>
          <t>pass</t>
        </is>
      </c>
      <c r="U522" s="14" t="inlineStr">
        <is>
          <t>pass</t>
        </is>
      </c>
      <c r="V522" s="18" t="inlineStr">
        <is>
          <t>fail</t>
        </is>
      </c>
      <c r="W522" s="16" t="inlineStr">
        <is>
          <t>warn</t>
        </is>
      </c>
      <c r="X522" s="14" t="inlineStr">
        <is>
          <t>pass</t>
        </is>
      </c>
      <c r="Y522" s="14" t="inlineStr">
        <is>
          <t>pass</t>
        </is>
      </c>
      <c r="Z522" s="15" t="inlineStr">
        <is>
          <t>not_checked</t>
        </is>
      </c>
      <c r="AA522" s="15" t="inlineStr">
        <is>
          <t>not_checked</t>
        </is>
      </c>
      <c r="AB522" s="15" t="inlineStr">
        <is>
          <t>not_checked</t>
        </is>
      </c>
      <c r="AC522" s="15" t="inlineStr">
        <is>
          <t>not_checked</t>
        </is>
      </c>
      <c r="AD522" s="15" t="inlineStr">
        <is>
          <t>not_checked</t>
        </is>
      </c>
      <c r="AE522" s="15" t="inlineStr">
        <is>
          <t>not_checked</t>
        </is>
      </c>
      <c r="AF522" s="15" t="inlineStr">
        <is>
          <t>not_checked</t>
        </is>
      </c>
      <c r="AG522" s="15" t="inlineStr">
        <is>
          <t>not_checked</t>
        </is>
      </c>
      <c r="AH522" s="15" t="inlineStr">
        <is>
          <t>not_checked</t>
        </is>
      </c>
      <c r="AI522" s="15" t="inlineStr">
        <is>
          <t>n.a.</t>
        </is>
      </c>
      <c r="AJ522" s="15" t="inlineStr">
        <is>
          <t>n.a.</t>
        </is>
      </c>
      <c r="AK522" s="4" t="inlineStr">
        <is>
          <t>machine_metadata;soft404(warn);persistent_id(warn)</t>
        </is>
      </c>
      <c r="AL522" s="17" t="inlineStr">
        <is>
          <t>https://data.cms.gov/provider-characteristics/hospitals-and-other-facilities/provider-of-services-file-hospital-non-hospital-facilities</t>
        </is>
      </c>
      <c r="AM522" s="4" t="inlineStr">
        <is>
          <t>us_cms_provider_of_services</t>
        </is>
      </c>
    </row>
    <row r="523">
      <c r="A523" s="4" t="inlineStr">
        <is>
          <t>Public Housing Developments</t>
        </is>
      </c>
      <c r="B523" s="21" t="inlineStr">
        <is>
          <t>Browser needed</t>
        </is>
      </c>
      <c r="C523" s="4" t="n">
        <v>100</v>
      </c>
      <c r="D523" s="4" t="inlineStr">
        <is>
          <t>sdoh</t>
        </is>
      </c>
      <c r="E523" s="4" t="inlineStr">
        <is>
          <t>blocked</t>
        </is>
      </c>
      <c r="F523" s="4" t="inlineStr">
        <is>
          <t>public_domain_us_federal</t>
        </is>
      </c>
      <c r="G523" s="4" t="inlineStr">
        <is>
          <t>point</t>
        </is>
      </c>
      <c r="H523" s="4" t="inlineStr">
        <is>
          <t>Needs a count/distance step</t>
        </is>
      </c>
      <c r="I523" s="4" t="n">
        <v>3</v>
      </c>
      <c r="J523" s="4" t="inlineStr"/>
      <c r="K523" s="4" t="inlineStr">
        <is>
          <t>Curated</t>
        </is>
      </c>
      <c r="L523" s="4" t="inlineStr">
        <is>
          <t>current</t>
        </is>
      </c>
      <c r="M523" s="4" t="inlineStr">
        <is>
          <t>open</t>
        </is>
      </c>
      <c r="N523" s="4" t="inlineStr">
        <is>
          <t>2026-10-29</t>
        </is>
      </c>
      <c r="O523" s="14" t="inlineStr">
        <is>
          <t>pass</t>
        </is>
      </c>
      <c r="P523" s="14" t="inlineStr">
        <is>
          <t>pass</t>
        </is>
      </c>
      <c r="Q523" s="14" t="inlineStr">
        <is>
          <t>pass</t>
        </is>
      </c>
      <c r="R523" s="14" t="inlineStr">
        <is>
          <t>pass</t>
        </is>
      </c>
      <c r="S523" s="14" t="inlineStr">
        <is>
          <t>pass</t>
        </is>
      </c>
      <c r="T523" s="14" t="inlineStr">
        <is>
          <t>pass</t>
        </is>
      </c>
      <c r="U523" s="16" t="inlineStr">
        <is>
          <t>warn</t>
        </is>
      </c>
      <c r="V523" s="14" t="inlineStr">
        <is>
          <t>pass</t>
        </is>
      </c>
      <c r="W523" s="16" t="inlineStr">
        <is>
          <t>warn</t>
        </is>
      </c>
      <c r="X523" s="14" t="inlineStr">
        <is>
          <t>pass</t>
        </is>
      </c>
      <c r="Y523" s="14" t="inlineStr">
        <is>
          <t>pass</t>
        </is>
      </c>
      <c r="Z523" s="15" t="inlineStr">
        <is>
          <t>not_checked</t>
        </is>
      </c>
      <c r="AA523" s="15" t="inlineStr">
        <is>
          <t>not_checked</t>
        </is>
      </c>
      <c r="AB523" s="15" t="inlineStr">
        <is>
          <t>not_checked</t>
        </is>
      </c>
      <c r="AC523" s="15" t="inlineStr">
        <is>
          <t>not_checked</t>
        </is>
      </c>
      <c r="AD523" s="15" t="inlineStr">
        <is>
          <t>not_checked</t>
        </is>
      </c>
      <c r="AE523" s="15" t="inlineStr">
        <is>
          <t>not_checked</t>
        </is>
      </c>
      <c r="AF523" s="15" t="inlineStr">
        <is>
          <t>not_checked</t>
        </is>
      </c>
      <c r="AG523" s="15" t="inlineStr">
        <is>
          <t>not_checked</t>
        </is>
      </c>
      <c r="AH523" s="15" t="inlineStr">
        <is>
          <t>not_checked</t>
        </is>
      </c>
      <c r="AI523" s="15" t="inlineStr">
        <is>
          <t>n.a.</t>
        </is>
      </c>
      <c r="AJ523" s="15" t="inlineStr">
        <is>
          <t>n.a.</t>
        </is>
      </c>
      <c r="AK523" s="4" t="inlineStr">
        <is>
          <t>format_match(warn);persistent_id(warn)</t>
        </is>
      </c>
      <c r="AL523" s="17" t="inlineStr">
        <is>
          <t>https://hudgis-hud.opendata.arcgis.com/datasets/HUD::public-housing-developments-1/about</t>
        </is>
      </c>
      <c r="AM523" s="4" t="inlineStr">
        <is>
          <t>us_hud_public_housing_developments</t>
        </is>
      </c>
    </row>
    <row r="524">
      <c r="A524" s="4" t="inlineStr">
        <is>
          <t>Scottish Index of Multiple Deprivation 2020</t>
        </is>
      </c>
      <c r="B524" s="21" t="inlineStr">
        <is>
          <t>Browser needed</t>
        </is>
      </c>
      <c r="C524" s="4" t="n">
        <v>50</v>
      </c>
      <c r="D524" s="4" t="inlineStr">
        <is>
          <t>sdoh</t>
        </is>
      </c>
      <c r="E524" s="4" t="inlineStr">
        <is>
          <t>blocked</t>
        </is>
      </c>
      <c r="F524" s="4" t="inlineStr">
        <is>
          <t>not checked</t>
        </is>
      </c>
      <c r="G524" s="4" t="inlineStr">
        <is>
          <t>zcta_zip</t>
        </is>
      </c>
      <c r="H524" s="4" t="inlineStr">
        <is>
          <t>Joins today</t>
        </is>
      </c>
      <c r="I524" s="4" t="n">
        <v>3</v>
      </c>
      <c r="J524" s="4" t="inlineStr"/>
      <c r="K524" s="4" t="inlineStr">
        <is>
          <t>Curated</t>
        </is>
      </c>
      <c r="L524" s="4" t="n">
        <v>2020</v>
      </c>
      <c r="M524" s="4" t="inlineStr">
        <is>
          <t>open</t>
        </is>
      </c>
      <c r="N524" s="4" t="inlineStr">
        <is>
          <t>2026-10-22</t>
        </is>
      </c>
      <c r="O524" s="16" t="inlineStr">
        <is>
          <t>warn</t>
        </is>
      </c>
      <c r="P524" s="14" t="inlineStr">
        <is>
          <t>pass</t>
        </is>
      </c>
      <c r="Q524" s="14" t="inlineStr">
        <is>
          <t>pass</t>
        </is>
      </c>
      <c r="R524" s="15" t="inlineStr">
        <is>
          <t>not_checked</t>
        </is>
      </c>
      <c r="S524" s="15" t="inlineStr">
        <is>
          <t>not_checked</t>
        </is>
      </c>
      <c r="T524" s="14" t="inlineStr">
        <is>
          <t>pass</t>
        </is>
      </c>
      <c r="U524" s="15" t="inlineStr">
        <is>
          <t>n.a.</t>
        </is>
      </c>
      <c r="V524" s="15" t="inlineStr">
        <is>
          <t>not_checked</t>
        </is>
      </c>
      <c r="W524" s="15" t="inlineStr">
        <is>
          <t>not_checked</t>
        </is>
      </c>
      <c r="X524" s="14" t="inlineStr">
        <is>
          <t>pass</t>
        </is>
      </c>
      <c r="Y524" s="15" t="inlineStr">
        <is>
          <t>not_checked</t>
        </is>
      </c>
      <c r="Z524" s="15" t="inlineStr">
        <is>
          <t>not_checked</t>
        </is>
      </c>
      <c r="AA524" s="15" t="inlineStr">
        <is>
          <t>not_checked</t>
        </is>
      </c>
      <c r="AB524" s="15" t="inlineStr">
        <is>
          <t>not_checked</t>
        </is>
      </c>
      <c r="AC524" s="15" t="inlineStr">
        <is>
          <t>not_checked</t>
        </is>
      </c>
      <c r="AD524" s="15" t="inlineStr">
        <is>
          <t>not_checked</t>
        </is>
      </c>
      <c r="AE524" s="15" t="inlineStr">
        <is>
          <t>not_checked</t>
        </is>
      </c>
      <c r="AF524" s="15" t="inlineStr">
        <is>
          <t>not_checked</t>
        </is>
      </c>
      <c r="AG524" s="15" t="inlineStr">
        <is>
          <t>not_checked</t>
        </is>
      </c>
      <c r="AH524" s="15" t="inlineStr">
        <is>
          <t>not_checked</t>
        </is>
      </c>
      <c r="AI524" s="15" t="inlineStr">
        <is>
          <t>n.a.</t>
        </is>
      </c>
      <c r="AJ524" s="15" t="inlineStr">
        <is>
          <t>n.a.</t>
        </is>
      </c>
      <c r="AK524" s="4" t="inlineStr">
        <is>
          <t>link_live(warn)</t>
        </is>
      </c>
      <c r="AL524" s="17" t="inlineStr">
        <is>
          <t>https://www.gov.scot/collections/scottish-index-of-multiple-deprivation-2020/</t>
        </is>
      </c>
      <c r="AM524" s="4" t="inlineStr">
        <is>
          <t>gb_scotgov_simd</t>
        </is>
      </c>
    </row>
    <row r="525">
      <c r="A525" s="4" t="inlineStr">
        <is>
          <t>SDG Global Database (SDG Indicators Database)</t>
        </is>
      </c>
      <c r="B525" s="21" t="inlineStr">
        <is>
          <t>Browser needed</t>
        </is>
      </c>
      <c r="C525" s="4" t="n">
        <v>71</v>
      </c>
      <c r="D525" s="4" t="inlineStr">
        <is>
          <t>sdoh</t>
        </is>
      </c>
      <c r="E525" s="4" t="inlineStr">
        <is>
          <t>blocked</t>
        </is>
      </c>
      <c r="F525" s="4" t="inlineStr">
        <is>
          <t>unknown</t>
        </is>
      </c>
      <c r="G525" s="4" t="inlineStr">
        <is>
          <t>country (the API's location dimension is ALLAREA/URBAN/RURAL only; no sub-national areas)</t>
        </is>
      </c>
      <c r="H525" s="4" t="inlineStr">
        <is>
          <t>Not linkable as listed</t>
        </is>
      </c>
      <c r="I525" s="4" t="n">
        <v>3</v>
      </c>
      <c r="J525" s="4" t="inlineStr"/>
      <c r="K525" s="4" t="inlineStr">
        <is>
          <t>Curated</t>
        </is>
      </c>
      <c r="L525" s="4" t="inlineStr">
        <is>
          <t>current</t>
        </is>
      </c>
      <c r="M525" s="4" t="inlineStr">
        <is>
          <t>open</t>
        </is>
      </c>
      <c r="N525" s="4" t="inlineStr">
        <is>
          <t>2026-10-28</t>
        </is>
      </c>
      <c r="O525" s="14" t="inlineStr">
        <is>
          <t>pass</t>
        </is>
      </c>
      <c r="P525" s="14" t="inlineStr">
        <is>
          <t>pass</t>
        </is>
      </c>
      <c r="Q525" s="14" t="inlineStr">
        <is>
          <t>pass</t>
        </is>
      </c>
      <c r="R525" s="16" t="inlineStr">
        <is>
          <t>warn</t>
        </is>
      </c>
      <c r="S525" s="15" t="inlineStr">
        <is>
          <t>not_checked</t>
        </is>
      </c>
      <c r="T525" s="14" t="inlineStr">
        <is>
          <t>pass</t>
        </is>
      </c>
      <c r="U525" s="14" t="inlineStr">
        <is>
          <t>pass</t>
        </is>
      </c>
      <c r="V525" s="18" t="inlineStr">
        <is>
          <t>fail</t>
        </is>
      </c>
      <c r="W525" s="16" t="inlineStr">
        <is>
          <t>warn</t>
        </is>
      </c>
      <c r="X525" s="14" t="inlineStr">
        <is>
          <t>pass</t>
        </is>
      </c>
      <c r="Y525" s="15" t="inlineStr">
        <is>
          <t>not_checked</t>
        </is>
      </c>
      <c r="Z525" s="15" t="inlineStr">
        <is>
          <t>not_checked</t>
        </is>
      </c>
      <c r="AA525" s="15" t="inlineStr">
        <is>
          <t>not_checked</t>
        </is>
      </c>
      <c r="AB525" s="15" t="inlineStr">
        <is>
          <t>not_checked</t>
        </is>
      </c>
      <c r="AC525" s="15" t="inlineStr">
        <is>
          <t>not_checked</t>
        </is>
      </c>
      <c r="AD525" s="15" t="inlineStr">
        <is>
          <t>not_checked</t>
        </is>
      </c>
      <c r="AE525" s="15" t="inlineStr">
        <is>
          <t>not_checked</t>
        </is>
      </c>
      <c r="AF525" s="15" t="inlineStr">
        <is>
          <t>not_checked</t>
        </is>
      </c>
      <c r="AG525" s="15" t="inlineStr">
        <is>
          <t>not_checked</t>
        </is>
      </c>
      <c r="AH525" s="15" t="inlineStr">
        <is>
          <t>not_checked</t>
        </is>
      </c>
      <c r="AI525" s="15" t="inlineStr">
        <is>
          <t>n.a.</t>
        </is>
      </c>
      <c r="AJ525" s="15" t="inlineStr">
        <is>
          <t>n.a.</t>
        </is>
      </c>
      <c r="AK525" s="4" t="inlineStr">
        <is>
          <t>machine_metadata;soft404(warn);persistent_id(warn)</t>
        </is>
      </c>
      <c r="AL525" s="17" t="inlineStr">
        <is>
          <t>https://unstats.un.org/sdgs/dataportal</t>
        </is>
      </c>
      <c r="AM525" s="4" t="inlineStr">
        <is>
          <t>global_un_sdg_global_database</t>
        </is>
      </c>
    </row>
    <row r="526">
      <c r="A526" s="4" t="inlineStr">
        <is>
          <t>Zillow Research Data (ZHVI, ZORI, inventory, sales)</t>
        </is>
      </c>
      <c r="B526" s="21" t="inlineStr">
        <is>
          <t>Browser needed</t>
        </is>
      </c>
      <c r="C526" s="4" t="n">
        <v>94</v>
      </c>
      <c r="D526" s="4" t="inlineStr">
        <is>
          <t>sdoh</t>
        </is>
      </c>
      <c r="E526" s="4" t="inlineStr">
        <is>
          <t>blocked</t>
        </is>
      </c>
      <c r="F526" s="4" t="inlineStr">
        <is>
          <t>unknown</t>
        </is>
      </c>
      <c r="G526" s="4" t="inlineStr">
        <is>
          <t>zcta_zip</t>
        </is>
      </c>
      <c r="H526" s="4" t="inlineStr">
        <is>
          <t>Joins today</t>
        </is>
      </c>
      <c r="I526" s="4" t="n">
        <v>3</v>
      </c>
      <c r="J526" s="4" t="inlineStr"/>
      <c r="K526" s="4" t="inlineStr">
        <is>
          <t>Curated</t>
        </is>
      </c>
      <c r="L526" s="4" t="inlineStr">
        <is>
          <t>current</t>
        </is>
      </c>
      <c r="M526" s="4" t="inlineStr">
        <is>
          <t>open</t>
        </is>
      </c>
      <c r="N526" s="4" t="inlineStr">
        <is>
          <t>2026-10-22</t>
        </is>
      </c>
      <c r="O526" s="14" t="inlineStr">
        <is>
          <t>pass</t>
        </is>
      </c>
      <c r="P526" s="14" t="inlineStr">
        <is>
          <t>pass</t>
        </is>
      </c>
      <c r="Q526" s="14" t="inlineStr">
        <is>
          <t>pass</t>
        </is>
      </c>
      <c r="R526" s="14" t="inlineStr">
        <is>
          <t>pass</t>
        </is>
      </c>
      <c r="S526" s="14" t="inlineStr">
        <is>
          <t>pass</t>
        </is>
      </c>
      <c r="T526" s="14" t="inlineStr">
        <is>
          <t>pass</t>
        </is>
      </c>
      <c r="U526" s="16" t="inlineStr">
        <is>
          <t>warn</t>
        </is>
      </c>
      <c r="V526" s="16" t="inlineStr">
        <is>
          <t>warn</t>
        </is>
      </c>
      <c r="W526" s="16" t="inlineStr">
        <is>
          <t>warn</t>
        </is>
      </c>
      <c r="X526" s="14" t="inlineStr">
        <is>
          <t>pass</t>
        </is>
      </c>
      <c r="Y526" s="15" t="inlineStr">
        <is>
          <t>not_checked</t>
        </is>
      </c>
      <c r="Z526" s="15" t="inlineStr">
        <is>
          <t>not_checked</t>
        </is>
      </c>
      <c r="AA526" s="15" t="inlineStr">
        <is>
          <t>not_checked</t>
        </is>
      </c>
      <c r="AB526" s="15" t="inlineStr">
        <is>
          <t>not_checked</t>
        </is>
      </c>
      <c r="AC526" s="15" t="inlineStr">
        <is>
          <t>not_checked</t>
        </is>
      </c>
      <c r="AD526" s="15" t="inlineStr">
        <is>
          <t>not_checked</t>
        </is>
      </c>
      <c r="AE526" s="15" t="inlineStr">
        <is>
          <t>not_checked</t>
        </is>
      </c>
      <c r="AF526" s="15" t="inlineStr">
        <is>
          <t>not_checked</t>
        </is>
      </c>
      <c r="AG526" s="15" t="inlineStr">
        <is>
          <t>not_checked</t>
        </is>
      </c>
      <c r="AH526" s="15" t="inlineStr">
        <is>
          <t>not_checked</t>
        </is>
      </c>
      <c r="AI526" s="15" t="inlineStr">
        <is>
          <t>n.a.</t>
        </is>
      </c>
      <c r="AJ526" s="15" t="inlineStr">
        <is>
          <t>n.a.</t>
        </is>
      </c>
      <c r="AK526" s="4" t="inlineStr">
        <is>
          <t>format_match(warn);machine_metadata(warn);persistent_id(warn)</t>
        </is>
      </c>
      <c r="AL526" s="17" t="inlineStr">
        <is>
          <t>https://www.zillow.com/research/data/</t>
        </is>
      </c>
      <c r="AM526" s="4" t="inlineStr">
        <is>
          <t>us_zillow_research_data</t>
        </is>
      </c>
    </row>
    <row r="527">
      <c r="A527" s="4" t="inlineStr">
        <is>
          <t>Florida Superfund Waste Cleanup Sites</t>
        </is>
      </c>
      <c r="B527" s="21" t="inlineStr">
        <is>
          <t>Browser needed</t>
        </is>
      </c>
      <c r="C527" s="4" t="n">
        <v>100</v>
      </c>
      <c r="D527" s="4" t="inlineStr">
        <is>
          <t>toxics</t>
        </is>
      </c>
      <c r="E527" s="4" t="inlineStr">
        <is>
          <t>blocked</t>
        </is>
      </c>
      <c r="F527" s="4" t="inlineStr">
        <is>
          <t>unknown</t>
        </is>
      </c>
      <c r="G527" s="4" t="inlineStr">
        <is>
          <t>unknown</t>
        </is>
      </c>
      <c r="H527" s="4" t="inlineStr">
        <is>
          <t>Unknown</t>
        </is>
      </c>
      <c r="I527" s="4" t="n">
        <v>3</v>
      </c>
      <c r="J527" s="4" t="inlineStr">
        <is>
          <t>fl_superfund_waste_cleanup_sites</t>
        </is>
      </c>
      <c r="K527" s="4" t="inlineStr">
        <is>
          <t>Curated</t>
        </is>
      </c>
      <c r="L527" s="4" t="inlineStr"/>
      <c r="M527" s="4" t="inlineStr">
        <is>
          <t>unknown</t>
        </is>
      </c>
      <c r="N527" s="4" t="inlineStr">
        <is>
          <t>2026-10-28</t>
        </is>
      </c>
      <c r="O527" s="14" t="inlineStr">
        <is>
          <t>pass</t>
        </is>
      </c>
      <c r="P527" s="14" t="inlineStr">
        <is>
          <t>pass</t>
        </is>
      </c>
      <c r="Q527" s="14" t="inlineStr">
        <is>
          <t>pass</t>
        </is>
      </c>
      <c r="R527" s="14" t="inlineStr">
        <is>
          <t>pass</t>
        </is>
      </c>
      <c r="S527" s="14" t="inlineStr">
        <is>
          <t>pass</t>
        </is>
      </c>
      <c r="T527" s="14" t="inlineStr">
        <is>
          <t>pass</t>
        </is>
      </c>
      <c r="U527" s="14" t="inlineStr">
        <is>
          <t>pass</t>
        </is>
      </c>
      <c r="V527" s="14" t="inlineStr">
        <is>
          <t>pass</t>
        </is>
      </c>
      <c r="W527" s="16" t="inlineStr">
        <is>
          <t>warn</t>
        </is>
      </c>
      <c r="X527" s="14" t="inlineStr">
        <is>
          <t>pass</t>
        </is>
      </c>
      <c r="Y527" s="15" t="inlineStr">
        <is>
          <t>not_checked</t>
        </is>
      </c>
      <c r="Z527" s="15" t="inlineStr">
        <is>
          <t>not_checked</t>
        </is>
      </c>
      <c r="AA527" s="15" t="inlineStr">
        <is>
          <t>not_checked</t>
        </is>
      </c>
      <c r="AB527" s="15" t="inlineStr">
        <is>
          <t>not_checked</t>
        </is>
      </c>
      <c r="AC527" s="15" t="inlineStr">
        <is>
          <t>not_checked</t>
        </is>
      </c>
      <c r="AD527" s="15" t="inlineStr">
        <is>
          <t>not_checked</t>
        </is>
      </c>
      <c r="AE527" s="15" t="inlineStr">
        <is>
          <t>not_checked</t>
        </is>
      </c>
      <c r="AF527" s="15" t="inlineStr">
        <is>
          <t>not_checked</t>
        </is>
      </c>
      <c r="AG527" s="15" t="inlineStr">
        <is>
          <t>not_checked</t>
        </is>
      </c>
      <c r="AH527" s="15" t="inlineStr">
        <is>
          <t>not_checked</t>
        </is>
      </c>
      <c r="AI527" s="14" t="inlineStr">
        <is>
          <t>pass</t>
        </is>
      </c>
      <c r="AJ527" s="15" t="inlineStr">
        <is>
          <t>not_checked</t>
        </is>
      </c>
      <c r="AK527" s="4" t="inlineStr">
        <is>
          <t>persistent_id(warn)</t>
        </is>
      </c>
      <c r="AL527" s="17" t="inlineStr">
        <is>
          <t>https://geodata.dep.state.fl.us/datasets/FDEP::florida-superfund-waste-cleanup-sites/about</t>
        </is>
      </c>
      <c r="AM527" s="4" t="inlineStr">
        <is>
          <t>gaia_fl_superfund_waste_cleanup_sites</t>
        </is>
      </c>
    </row>
    <row r="528">
      <c r="A528" s="4" t="inlineStr">
        <is>
          <t>Lead Pipes Are Widespread and Used in Every State (lead service line estimates)</t>
        </is>
      </c>
      <c r="B528" s="21" t="inlineStr">
        <is>
          <t>Browser needed</t>
        </is>
      </c>
      <c r="C528" s="4" t="n">
        <v>50</v>
      </c>
      <c r="D528" s="4" t="inlineStr">
        <is>
          <t>toxics</t>
        </is>
      </c>
      <c r="E528" s="4" t="inlineStr">
        <is>
          <t>blocked</t>
        </is>
      </c>
      <c r="F528" s="4" t="inlineStr">
        <is>
          <t>not checked</t>
        </is>
      </c>
      <c r="G528" s="4" t="inlineStr">
        <is>
          <t>admin1</t>
        </is>
      </c>
      <c r="H528" s="4" t="inlineStr">
        <is>
          <t>Joins today</t>
        </is>
      </c>
      <c r="I528" s="4" t="n">
        <v>3</v>
      </c>
      <c r="J528" s="4" t="inlineStr"/>
      <c r="K528" s="4" t="inlineStr">
        <is>
          <t>Curated</t>
        </is>
      </c>
      <c r="L528" s="4" t="inlineStr"/>
      <c r="M528" s="4" t="inlineStr">
        <is>
          <t>open</t>
        </is>
      </c>
      <c r="N528" s="4" t="inlineStr">
        <is>
          <t>2026-10-28</t>
        </is>
      </c>
      <c r="O528" s="16" t="inlineStr">
        <is>
          <t>warn</t>
        </is>
      </c>
      <c r="P528" s="14" t="inlineStr">
        <is>
          <t>pass</t>
        </is>
      </c>
      <c r="Q528" s="14" t="inlineStr">
        <is>
          <t>pass</t>
        </is>
      </c>
      <c r="R528" s="15" t="inlineStr">
        <is>
          <t>not_checked</t>
        </is>
      </c>
      <c r="S528" s="15" t="inlineStr">
        <is>
          <t>not_checked</t>
        </is>
      </c>
      <c r="T528" s="15" t="inlineStr">
        <is>
          <t>n.a.</t>
        </is>
      </c>
      <c r="U528" s="15" t="inlineStr">
        <is>
          <t>n.a.</t>
        </is>
      </c>
      <c r="V528" s="15" t="inlineStr">
        <is>
          <t>not_checked</t>
        </is>
      </c>
      <c r="W528" s="15" t="inlineStr">
        <is>
          <t>not_checked</t>
        </is>
      </c>
      <c r="X528" s="14" t="inlineStr">
        <is>
          <t>pass</t>
        </is>
      </c>
      <c r="Y528" s="15" t="inlineStr">
        <is>
          <t>not_checked</t>
        </is>
      </c>
      <c r="Z528" s="15" t="inlineStr">
        <is>
          <t>not_checked</t>
        </is>
      </c>
      <c r="AA528" s="15" t="inlineStr">
        <is>
          <t>not_checked</t>
        </is>
      </c>
      <c r="AB528" s="15" t="inlineStr">
        <is>
          <t>not_checked</t>
        </is>
      </c>
      <c r="AC528" s="15" t="inlineStr">
        <is>
          <t>not_checked</t>
        </is>
      </c>
      <c r="AD528" s="15" t="inlineStr">
        <is>
          <t>not_checked</t>
        </is>
      </c>
      <c r="AE528" s="15" t="inlineStr">
        <is>
          <t>not_checked</t>
        </is>
      </c>
      <c r="AF528" s="15" t="inlineStr">
        <is>
          <t>not_checked</t>
        </is>
      </c>
      <c r="AG528" s="15" t="inlineStr">
        <is>
          <t>not_checked</t>
        </is>
      </c>
      <c r="AH528" s="15" t="inlineStr">
        <is>
          <t>not_checked</t>
        </is>
      </c>
      <c r="AI528" s="15" t="inlineStr">
        <is>
          <t>n.a.</t>
        </is>
      </c>
      <c r="AJ528" s="15" t="inlineStr">
        <is>
          <t>n.a.</t>
        </is>
      </c>
      <c r="AK528" s="4" t="inlineStr">
        <is>
          <t>link_live(warn)</t>
        </is>
      </c>
      <c r="AL528" s="17" t="inlineStr">
        <is>
          <t>https://www.nrdc.org/resources/lead-pipes-are-widespread-and-used-every-state</t>
        </is>
      </c>
      <c r="AM528" s="4" t="inlineStr">
        <is>
          <t>us_nrdc_lead_service_lines</t>
        </is>
      </c>
    </row>
    <row r="529">
      <c r="A529" s="4" t="inlineStr">
        <is>
          <t>Miami-Dade Brownfield Sites</t>
        </is>
      </c>
      <c r="B529" s="21" t="inlineStr">
        <is>
          <t>Browser needed</t>
        </is>
      </c>
      <c r="C529" s="4" t="n">
        <v>86</v>
      </c>
      <c r="D529" s="4" t="inlineStr">
        <is>
          <t>toxics</t>
        </is>
      </c>
      <c r="E529" s="4" t="inlineStr">
        <is>
          <t>blocked</t>
        </is>
      </c>
      <c r="F529" s="4" t="inlineStr">
        <is>
          <t>unknown</t>
        </is>
      </c>
      <c r="G529" s="4" t="inlineStr">
        <is>
          <t>unknown</t>
        </is>
      </c>
      <c r="H529" s="4" t="inlineStr">
        <is>
          <t>Unknown</t>
        </is>
      </c>
      <c r="I529" s="4" t="n">
        <v>3</v>
      </c>
      <c r="J529" s="4" t="inlineStr">
        <is>
          <t>mdc_brownfield_site</t>
        </is>
      </c>
      <c r="K529" s="4" t="inlineStr">
        <is>
          <t>Curated</t>
        </is>
      </c>
      <c r="L529" s="4" t="inlineStr"/>
      <c r="M529" s="4" t="inlineStr">
        <is>
          <t>unknown</t>
        </is>
      </c>
      <c r="N529" s="4" t="inlineStr">
        <is>
          <t>2026-10-28</t>
        </is>
      </c>
      <c r="O529" s="14" t="inlineStr">
        <is>
          <t>pass</t>
        </is>
      </c>
      <c r="P529" s="14" t="inlineStr">
        <is>
          <t>pass</t>
        </is>
      </c>
      <c r="Q529" s="14" t="inlineStr">
        <is>
          <t>pass</t>
        </is>
      </c>
      <c r="R529" s="16" t="inlineStr">
        <is>
          <t>warn</t>
        </is>
      </c>
      <c r="S529" s="15" t="inlineStr">
        <is>
          <t>not_checked</t>
        </is>
      </c>
      <c r="T529" s="14" t="inlineStr">
        <is>
          <t>pass</t>
        </is>
      </c>
      <c r="U529" s="14" t="inlineStr">
        <is>
          <t>pass</t>
        </is>
      </c>
      <c r="V529" s="14" t="inlineStr">
        <is>
          <t>pass</t>
        </is>
      </c>
      <c r="W529" s="16" t="inlineStr">
        <is>
          <t>warn</t>
        </is>
      </c>
      <c r="X529" s="14" t="inlineStr">
        <is>
          <t>pass</t>
        </is>
      </c>
      <c r="Y529" s="15" t="inlineStr">
        <is>
          <t>not_checked</t>
        </is>
      </c>
      <c r="Z529" s="15" t="inlineStr">
        <is>
          <t>not_checked</t>
        </is>
      </c>
      <c r="AA529" s="15" t="inlineStr">
        <is>
          <t>not_checked</t>
        </is>
      </c>
      <c r="AB529" s="15" t="inlineStr">
        <is>
          <t>not_checked</t>
        </is>
      </c>
      <c r="AC529" s="15" t="inlineStr">
        <is>
          <t>not_checked</t>
        </is>
      </c>
      <c r="AD529" s="15" t="inlineStr">
        <is>
          <t>not_checked</t>
        </is>
      </c>
      <c r="AE529" s="15" t="inlineStr">
        <is>
          <t>not_checked</t>
        </is>
      </c>
      <c r="AF529" s="15" t="inlineStr">
        <is>
          <t>not_checked</t>
        </is>
      </c>
      <c r="AG529" s="15" t="inlineStr">
        <is>
          <t>not_checked</t>
        </is>
      </c>
      <c r="AH529" s="15" t="inlineStr">
        <is>
          <t>not_checked</t>
        </is>
      </c>
      <c r="AI529" s="14" t="inlineStr">
        <is>
          <t>pass</t>
        </is>
      </c>
      <c r="AJ529" s="15" t="inlineStr">
        <is>
          <t>not_checked</t>
        </is>
      </c>
      <c r="AK529" s="4" t="inlineStr">
        <is>
          <t>soft404(warn);persistent_id(warn)</t>
        </is>
      </c>
      <c r="AL529" s="17" t="inlineStr">
        <is>
          <t>https://gis-mdc.opendata.arcgis.com/datasets/MDC::brownfield/about</t>
        </is>
      </c>
      <c r="AM529" s="4" t="inlineStr">
        <is>
          <t>gaia_mdc_brownfield_site</t>
        </is>
      </c>
    </row>
    <row r="530">
      <c r="A530" s="4" t="inlineStr">
        <is>
          <t>Miami-Dade Superfund Sites</t>
        </is>
      </c>
      <c r="B530" s="21" t="inlineStr">
        <is>
          <t>Browser needed</t>
        </is>
      </c>
      <c r="C530" s="4" t="n">
        <v>86</v>
      </c>
      <c r="D530" s="4" t="inlineStr">
        <is>
          <t>toxics</t>
        </is>
      </c>
      <c r="E530" s="4" t="inlineStr">
        <is>
          <t>blocked</t>
        </is>
      </c>
      <c r="F530" s="4" t="inlineStr">
        <is>
          <t>unknown</t>
        </is>
      </c>
      <c r="G530" s="4" t="inlineStr">
        <is>
          <t>unknown</t>
        </is>
      </c>
      <c r="H530" s="4" t="inlineStr">
        <is>
          <t>Unknown</t>
        </is>
      </c>
      <c r="I530" s="4" t="n">
        <v>3</v>
      </c>
      <c r="J530" s="4" t="inlineStr"/>
      <c r="K530" s="4" t="inlineStr">
        <is>
          <t>Curated</t>
        </is>
      </c>
      <c r="L530" s="4" t="inlineStr"/>
      <c r="M530" s="4" t="inlineStr">
        <is>
          <t>unknown</t>
        </is>
      </c>
      <c r="N530" s="4" t="inlineStr">
        <is>
          <t>2026-10-28</t>
        </is>
      </c>
      <c r="O530" s="14" t="inlineStr">
        <is>
          <t>pass</t>
        </is>
      </c>
      <c r="P530" s="14" t="inlineStr">
        <is>
          <t>pass</t>
        </is>
      </c>
      <c r="Q530" s="14" t="inlineStr">
        <is>
          <t>pass</t>
        </is>
      </c>
      <c r="R530" s="16" t="inlineStr">
        <is>
          <t>warn</t>
        </is>
      </c>
      <c r="S530" s="15" t="inlineStr">
        <is>
          <t>not_checked</t>
        </is>
      </c>
      <c r="T530" s="15" t="inlineStr">
        <is>
          <t>n.a.</t>
        </is>
      </c>
      <c r="U530" s="15" t="inlineStr">
        <is>
          <t>n.a.</t>
        </is>
      </c>
      <c r="V530" s="14" t="inlineStr">
        <is>
          <t>pass</t>
        </is>
      </c>
      <c r="W530" s="16" t="inlineStr">
        <is>
          <t>warn</t>
        </is>
      </c>
      <c r="X530" s="14" t="inlineStr">
        <is>
          <t>pass</t>
        </is>
      </c>
      <c r="Y530" s="15" t="inlineStr">
        <is>
          <t>not_checked</t>
        </is>
      </c>
      <c r="Z530" s="15" t="inlineStr">
        <is>
          <t>not_checked</t>
        </is>
      </c>
      <c r="AA530" s="15" t="inlineStr">
        <is>
          <t>not_checked</t>
        </is>
      </c>
      <c r="AB530" s="15" t="inlineStr">
        <is>
          <t>not_checked</t>
        </is>
      </c>
      <c r="AC530" s="15" t="inlineStr">
        <is>
          <t>not_checked</t>
        </is>
      </c>
      <c r="AD530" s="15" t="inlineStr">
        <is>
          <t>not_checked</t>
        </is>
      </c>
      <c r="AE530" s="15" t="inlineStr">
        <is>
          <t>not_checked</t>
        </is>
      </c>
      <c r="AF530" s="15" t="inlineStr">
        <is>
          <t>not_checked</t>
        </is>
      </c>
      <c r="AG530" s="15" t="inlineStr">
        <is>
          <t>not_checked</t>
        </is>
      </c>
      <c r="AH530" s="15" t="inlineStr">
        <is>
          <t>not_checked</t>
        </is>
      </c>
      <c r="AI530" s="15" t="inlineStr">
        <is>
          <t>n.a.</t>
        </is>
      </c>
      <c r="AJ530" s="15" t="inlineStr">
        <is>
          <t>n.a.</t>
        </is>
      </c>
      <c r="AK530" s="4" t="inlineStr">
        <is>
          <t>soft404(warn);persistent_id(warn)</t>
        </is>
      </c>
      <c r="AL530" s="17" t="inlineStr">
        <is>
          <t>https://gis-mdc.opendata.arcgis.com/datasets/MDC::super-fund-site/about</t>
        </is>
      </c>
      <c r="AM530" s="4" t="inlineStr">
        <is>
          <t>us_mdc_superfund_site</t>
        </is>
      </c>
    </row>
    <row r="531">
      <c r="A531" s="4" t="inlineStr">
        <is>
          <t>RCRAInfo Public Data Export (hazardous waste handlers, Biennial Report)</t>
        </is>
      </c>
      <c r="B531" s="21" t="inlineStr">
        <is>
          <t>Browser needed</t>
        </is>
      </c>
      <c r="C531" s="4" t="n">
        <v>80</v>
      </c>
      <c r="D531" s="4" t="inlineStr">
        <is>
          <t>toxics</t>
        </is>
      </c>
      <c r="E531" s="4" t="inlineStr">
        <is>
          <t>blocked</t>
        </is>
      </c>
      <c r="F531" s="4" t="inlineStr">
        <is>
          <t>public_domain_us_federal</t>
        </is>
      </c>
      <c r="G531" s="4" t="inlineStr">
        <is>
          <t>point</t>
        </is>
      </c>
      <c r="H531" s="4" t="inlineStr">
        <is>
          <t>Needs a count/distance step</t>
        </is>
      </c>
      <c r="I531" s="4" t="n">
        <v>3</v>
      </c>
      <c r="J531" s="4" t="inlineStr"/>
      <c r="K531" s="4" t="inlineStr">
        <is>
          <t>Curated</t>
        </is>
      </c>
      <c r="L531" s="4" t="inlineStr">
        <is>
          <t>current</t>
        </is>
      </c>
      <c r="M531" s="4" t="inlineStr">
        <is>
          <t>open</t>
        </is>
      </c>
      <c r="N531" s="4" t="inlineStr">
        <is>
          <t>2026-10-29</t>
        </is>
      </c>
      <c r="O531" s="14" t="inlineStr">
        <is>
          <t>pass</t>
        </is>
      </c>
      <c r="P531" s="14" t="inlineStr">
        <is>
          <t>pass</t>
        </is>
      </c>
      <c r="Q531" s="14" t="inlineStr">
        <is>
          <t>pass</t>
        </is>
      </c>
      <c r="R531" s="16" t="inlineStr">
        <is>
          <t>warn</t>
        </is>
      </c>
      <c r="S531" s="15" t="inlineStr">
        <is>
          <t>not_checked</t>
        </is>
      </c>
      <c r="T531" s="14" t="inlineStr">
        <is>
          <t>pass</t>
        </is>
      </c>
      <c r="U531" s="16" t="inlineStr">
        <is>
          <t>warn</t>
        </is>
      </c>
      <c r="V531" s="18" t="inlineStr">
        <is>
          <t>fail</t>
        </is>
      </c>
      <c r="W531" s="16" t="inlineStr">
        <is>
          <t>warn</t>
        </is>
      </c>
      <c r="X531" s="14" t="inlineStr">
        <is>
          <t>pass</t>
        </is>
      </c>
      <c r="Y531" s="14" t="inlineStr">
        <is>
          <t>pass</t>
        </is>
      </c>
      <c r="Z531" s="15" t="inlineStr">
        <is>
          <t>not_checked</t>
        </is>
      </c>
      <c r="AA531" s="15" t="inlineStr">
        <is>
          <t>not_checked</t>
        </is>
      </c>
      <c r="AB531" s="15" t="inlineStr">
        <is>
          <t>not_checked</t>
        </is>
      </c>
      <c r="AC531" s="15" t="inlineStr">
        <is>
          <t>not_checked</t>
        </is>
      </c>
      <c r="AD531" s="15" t="inlineStr">
        <is>
          <t>not_checked</t>
        </is>
      </c>
      <c r="AE531" s="15" t="inlineStr">
        <is>
          <t>not_checked</t>
        </is>
      </c>
      <c r="AF531" s="15" t="inlineStr">
        <is>
          <t>not_checked</t>
        </is>
      </c>
      <c r="AG531" s="15" t="inlineStr">
        <is>
          <t>not_checked</t>
        </is>
      </c>
      <c r="AH531" s="15" t="inlineStr">
        <is>
          <t>not_checked</t>
        </is>
      </c>
      <c r="AI531" s="15" t="inlineStr">
        <is>
          <t>n.a.</t>
        </is>
      </c>
      <c r="AJ531" s="15" t="inlineStr">
        <is>
          <t>n.a.</t>
        </is>
      </c>
      <c r="AK531" s="4" t="inlineStr">
        <is>
          <t>machine_metadata;soft404(warn);format_match(warn);persistent_id(warn)</t>
        </is>
      </c>
      <c r="AL531" s="17" t="inlineStr">
        <is>
          <t>https://rcrapublic.epa.gov/rcra-public-export</t>
        </is>
      </c>
      <c r="AM531" s="4" t="inlineStr">
        <is>
          <t>us_epa_rcrainfo_public_export</t>
        </is>
      </c>
    </row>
    <row r="532">
      <c r="A532" s="4" t="inlineStr">
        <is>
          <t>USDA Pesticide Data Program (PDP) residue database</t>
        </is>
      </c>
      <c r="B532" s="21" t="inlineStr">
        <is>
          <t>Browser needed</t>
        </is>
      </c>
      <c r="C532" s="4" t="n">
        <v>92</v>
      </c>
      <c r="D532" s="4" t="inlineStr">
        <is>
          <t>toxics</t>
        </is>
      </c>
      <c r="E532" s="4" t="inlineStr">
        <is>
          <t>blocked</t>
        </is>
      </c>
      <c r="F532" s="4" t="inlineStr">
        <is>
          <t>public_domain_us_federal</t>
        </is>
      </c>
      <c r="G532" s="4" t="inlineStr">
        <is>
          <t>admin1</t>
        </is>
      </c>
      <c r="H532" s="4" t="inlineStr">
        <is>
          <t>Joins today</t>
        </is>
      </c>
      <c r="I532" s="4" t="n">
        <v>3</v>
      </c>
      <c r="J532" s="4" t="inlineStr"/>
      <c r="K532" s="4" t="inlineStr">
        <is>
          <t>Curated</t>
        </is>
      </c>
      <c r="L532" s="4" t="n">
        <v>2024</v>
      </c>
      <c r="M532" s="4" t="inlineStr">
        <is>
          <t>open</t>
        </is>
      </c>
      <c r="N532" s="4" t="inlineStr">
        <is>
          <t>2026-10-29</t>
        </is>
      </c>
      <c r="O532" s="14" t="inlineStr">
        <is>
          <t>pass</t>
        </is>
      </c>
      <c r="P532" s="14" t="inlineStr">
        <is>
          <t>pass</t>
        </is>
      </c>
      <c r="Q532" s="14" t="inlineStr">
        <is>
          <t>pass</t>
        </is>
      </c>
      <c r="R532" s="14" t="inlineStr">
        <is>
          <t>pass</t>
        </is>
      </c>
      <c r="S532" s="14" t="inlineStr">
        <is>
          <t>pass</t>
        </is>
      </c>
      <c r="T532" s="14" t="inlineStr">
        <is>
          <t>pass</t>
        </is>
      </c>
      <c r="U532" s="16" t="inlineStr">
        <is>
          <t>warn</t>
        </is>
      </c>
      <c r="V532" s="18" t="inlineStr">
        <is>
          <t>fail</t>
        </is>
      </c>
      <c r="W532" s="16" t="inlineStr">
        <is>
          <t>warn</t>
        </is>
      </c>
      <c r="X532" s="14" t="inlineStr">
        <is>
          <t>pass</t>
        </is>
      </c>
      <c r="Y532" s="14" t="inlineStr">
        <is>
          <t>pass</t>
        </is>
      </c>
      <c r="Z532" s="15" t="inlineStr">
        <is>
          <t>not_checked</t>
        </is>
      </c>
      <c r="AA532" s="15" t="inlineStr">
        <is>
          <t>not_checked</t>
        </is>
      </c>
      <c r="AB532" s="15" t="inlineStr">
        <is>
          <t>not_checked</t>
        </is>
      </c>
      <c r="AC532" s="15" t="inlineStr">
        <is>
          <t>not_checked</t>
        </is>
      </c>
      <c r="AD532" s="15" t="inlineStr">
        <is>
          <t>not_checked</t>
        </is>
      </c>
      <c r="AE532" s="15" t="inlineStr">
        <is>
          <t>not_checked</t>
        </is>
      </c>
      <c r="AF532" s="15" t="inlineStr">
        <is>
          <t>not_checked</t>
        </is>
      </c>
      <c r="AG532" s="15" t="inlineStr">
        <is>
          <t>not_checked</t>
        </is>
      </c>
      <c r="AH532" s="15" t="inlineStr">
        <is>
          <t>not_checked</t>
        </is>
      </c>
      <c r="AI532" s="15" t="inlineStr">
        <is>
          <t>n.a.</t>
        </is>
      </c>
      <c r="AJ532" s="15" t="inlineStr">
        <is>
          <t>n.a.</t>
        </is>
      </c>
      <c r="AK532" s="4" t="inlineStr">
        <is>
          <t>machine_metadata;format_match(warn);persistent_id(warn)</t>
        </is>
      </c>
      <c r="AL532" s="17" t="inlineStr">
        <is>
          <t>https://www.ams.usda.gov/datasets/pdp</t>
        </is>
      </c>
      <c r="AM532" s="4" t="inlineStr">
        <is>
          <t>us_usda_pdp_pesticide_residues</t>
        </is>
      </c>
    </row>
    <row r="533">
      <c r="A533" s="4" t="inlineStr">
        <is>
          <t>Base Geografica de Referenciacao de Informacao (BGRI) 2021</t>
        </is>
      </c>
      <c r="B533" s="18" t="inlineStr">
        <is>
          <t>Failed</t>
        </is>
      </c>
      <c r="C533" s="4" t="n">
        <v>0</v>
      </c>
      <c r="D533" s="4" t="inlineStr">
        <is>
          <t>boundaries</t>
        </is>
      </c>
      <c r="E533" s="4" t="inlineStr">
        <is>
          <t>dead</t>
        </is>
      </c>
      <c r="F533" s="4" t="inlineStr">
        <is>
          <t>not checked</t>
        </is>
      </c>
      <c r="G533" s="4" t="inlineStr">
        <is>
          <t>grid_1km</t>
        </is>
      </c>
      <c r="H533" s="4" t="inlineStr">
        <is>
          <t>Needs raster support</t>
        </is>
      </c>
      <c r="I533" s="4" t="n">
        <v>1</v>
      </c>
      <c r="J533" s="4" t="inlineStr"/>
      <c r="K533" s="4" t="inlineStr">
        <is>
          <t>Curated</t>
        </is>
      </c>
      <c r="L533" s="4" t="n">
        <v>2021</v>
      </c>
      <c r="M533" s="4" t="inlineStr">
        <is>
          <t>open</t>
        </is>
      </c>
      <c r="N533" s="4" t="inlineStr">
        <is>
          <t>2026-10-22</t>
        </is>
      </c>
      <c r="O533" s="18" t="inlineStr">
        <is>
          <t>fail</t>
        </is>
      </c>
      <c r="P533" s="14" t="inlineStr">
        <is>
          <t>pass</t>
        </is>
      </c>
      <c r="Q533" s="14" t="inlineStr">
        <is>
          <t>pass</t>
        </is>
      </c>
      <c r="R533" s="15" t="inlineStr">
        <is>
          <t>n.a.</t>
        </is>
      </c>
      <c r="S533" s="15" t="inlineStr">
        <is>
          <t>n.a.</t>
        </is>
      </c>
      <c r="T533" s="15" t="inlineStr">
        <is>
          <t>n.a.</t>
        </is>
      </c>
      <c r="U533" s="15" t="inlineStr">
        <is>
          <t>n.a.</t>
        </is>
      </c>
      <c r="V533" s="15" t="inlineStr">
        <is>
          <t>n.a.</t>
        </is>
      </c>
      <c r="W533" s="15" t="inlineStr">
        <is>
          <t>not_checked</t>
        </is>
      </c>
      <c r="X533" s="14" t="inlineStr">
        <is>
          <t>pass</t>
        </is>
      </c>
      <c r="Y533" s="15" t="inlineStr">
        <is>
          <t>not_checked</t>
        </is>
      </c>
      <c r="Z533" s="15" t="inlineStr">
        <is>
          <t>not_checked</t>
        </is>
      </c>
      <c r="AA533" s="15" t="inlineStr">
        <is>
          <t>not_checked</t>
        </is>
      </c>
      <c r="AB533" s="15" t="inlineStr">
        <is>
          <t>not_checked</t>
        </is>
      </c>
      <c r="AC533" s="15" t="inlineStr">
        <is>
          <t>not_checked</t>
        </is>
      </c>
      <c r="AD533" s="15" t="inlineStr">
        <is>
          <t>not_checked</t>
        </is>
      </c>
      <c r="AE533" s="15" t="inlineStr">
        <is>
          <t>not_checked</t>
        </is>
      </c>
      <c r="AF533" s="15" t="inlineStr">
        <is>
          <t>not_checked</t>
        </is>
      </c>
      <c r="AG533" s="15" t="inlineStr">
        <is>
          <t>not_checked</t>
        </is>
      </c>
      <c r="AH533" s="15" t="inlineStr">
        <is>
          <t>not_checked</t>
        </is>
      </c>
      <c r="AI533" s="15" t="inlineStr">
        <is>
          <t>n.a.</t>
        </is>
      </c>
      <c r="AJ533" s="15" t="inlineStr">
        <is>
          <t>n.a.</t>
        </is>
      </c>
      <c r="AK533" s="4" t="inlineStr">
        <is>
          <t>link_live</t>
        </is>
      </c>
      <c r="AL533" s="17" t="inlineStr">
        <is>
          <t>https://mapas.ine.pt/download/index2021.phtml</t>
        </is>
      </c>
      <c r="AM533" s="4" t="inlineStr">
        <is>
          <t>pt_ine_bgri</t>
        </is>
      </c>
    </row>
    <row r="534">
      <c r="A534" s="4" t="inlineStr">
        <is>
          <t>Centros Poblados Huayhuash (INEI)</t>
        </is>
      </c>
      <c r="B534" s="18" t="inlineStr">
        <is>
          <t>Failed</t>
        </is>
      </c>
      <c r="C534" s="4" t="n">
        <v>0</v>
      </c>
      <c r="D534" s="4" t="inlineStr">
        <is>
          <t>boundaries</t>
        </is>
      </c>
      <c r="E534" s="4" t="inlineStr">
        <is>
          <t>dead</t>
        </is>
      </c>
      <c r="F534" s="4" t="inlineStr">
        <is>
          <t>not checked</t>
        </is>
      </c>
      <c r="G534" s="4" t="inlineStr">
        <is>
          <t>unknown</t>
        </is>
      </c>
      <c r="H534" s="4" t="inlineStr">
        <is>
          <t>Unknown</t>
        </is>
      </c>
      <c r="I534" s="4" t="n">
        <v>1</v>
      </c>
      <c r="J534" s="4" t="inlineStr"/>
      <c r="K534" s="4" t="inlineStr">
        <is>
          <t>Curated</t>
        </is>
      </c>
      <c r="L534" s="4" t="inlineStr"/>
      <c r="M534" s="4" t="inlineStr">
        <is>
          <t>unknown</t>
        </is>
      </c>
      <c r="N534" s="4" t="inlineStr">
        <is>
          <t>2026-10-22</t>
        </is>
      </c>
      <c r="O534" s="18" t="inlineStr">
        <is>
          <t>fail</t>
        </is>
      </c>
      <c r="P534" s="15" t="inlineStr">
        <is>
          <t>n.a.</t>
        </is>
      </c>
      <c r="Q534" s="15" t="inlineStr">
        <is>
          <t>n.a.</t>
        </is>
      </c>
      <c r="R534" s="15" t="inlineStr">
        <is>
          <t>n.a.</t>
        </is>
      </c>
      <c r="S534" s="15" t="inlineStr">
        <is>
          <t>n.a.</t>
        </is>
      </c>
      <c r="T534" s="15" t="inlineStr">
        <is>
          <t>n.a.</t>
        </is>
      </c>
      <c r="U534" s="15" t="inlineStr">
        <is>
          <t>n.a.</t>
        </is>
      </c>
      <c r="V534" s="15" t="inlineStr">
        <is>
          <t>n.a.</t>
        </is>
      </c>
      <c r="W534" s="15" t="inlineStr">
        <is>
          <t>not_checked</t>
        </is>
      </c>
      <c r="X534" s="18" t="inlineStr">
        <is>
          <t>fail</t>
        </is>
      </c>
      <c r="Y534" s="15" t="inlineStr">
        <is>
          <t>not_checked</t>
        </is>
      </c>
      <c r="Z534" s="15" t="inlineStr">
        <is>
          <t>not_checked</t>
        </is>
      </c>
      <c r="AA534" s="15" t="inlineStr">
        <is>
          <t>not_checked</t>
        </is>
      </c>
      <c r="AB534" s="15" t="inlineStr">
        <is>
          <t>not_checked</t>
        </is>
      </c>
      <c r="AC534" s="15" t="inlineStr">
        <is>
          <t>not_checked</t>
        </is>
      </c>
      <c r="AD534" s="15" t="inlineStr">
        <is>
          <t>not_checked</t>
        </is>
      </c>
      <c r="AE534" s="15" t="inlineStr">
        <is>
          <t>not_checked</t>
        </is>
      </c>
      <c r="AF534" s="15" t="inlineStr">
        <is>
          <t>not_checked</t>
        </is>
      </c>
      <c r="AG534" s="15" t="inlineStr">
        <is>
          <t>not_checked</t>
        </is>
      </c>
      <c r="AH534" s="15" t="inlineStr">
        <is>
          <t>not_checked</t>
        </is>
      </c>
      <c r="AI534" s="15" t="inlineStr">
        <is>
          <t>n.a.</t>
        </is>
      </c>
      <c r="AJ534" s="15" t="inlineStr">
        <is>
          <t>n.a.</t>
        </is>
      </c>
      <c r="AK534" s="4" t="inlineStr">
        <is>
          <t>link_live;archived</t>
        </is>
      </c>
      <c r="AL534" s="17" t="inlineStr">
        <is>
          <t>https://arcgis4.inei.gob.pe:6443/arcgis/rest/services/VISOR_DE_MAPAS/VISOR_DE_INDICADOR_GEOESPACIAL_A/MapServer/0</t>
        </is>
      </c>
      <c r="AM534" s="4" t="inlineStr">
        <is>
          <t>pe_centrospoblados_inei</t>
        </is>
      </c>
    </row>
    <row r="535">
      <c r="A535" s="4" t="inlineStr">
        <is>
          <t>Urban Audit - cities, greater cities and functional urban areas (URAU)</t>
        </is>
      </c>
      <c r="B535" s="18" t="inlineStr">
        <is>
          <t>Failed</t>
        </is>
      </c>
      <c r="C535" s="4" t="n">
        <v>0</v>
      </c>
      <c r="D535" s="4" t="inlineStr">
        <is>
          <t>boundaries</t>
        </is>
      </c>
      <c r="E535" s="4" t="inlineStr">
        <is>
          <t>dead</t>
        </is>
      </c>
      <c r="F535" s="4" t="inlineStr">
        <is>
          <t>not checked</t>
        </is>
      </c>
      <c r="G535" s="4" t="inlineStr">
        <is>
          <t>postcode_small_area</t>
        </is>
      </c>
      <c r="H535" s="4" t="inlineStr">
        <is>
          <t>Joins today</t>
        </is>
      </c>
      <c r="I535" s="4" t="n">
        <v>1</v>
      </c>
      <c r="J535" s="4" t="inlineStr"/>
      <c r="K535" s="4" t="inlineStr">
        <is>
          <t>Curated</t>
        </is>
      </c>
      <c r="L535" s="4" t="n">
        <v>2024</v>
      </c>
      <c r="M535" s="4" t="inlineStr">
        <is>
          <t>open</t>
        </is>
      </c>
      <c r="N535" s="4" t="inlineStr">
        <is>
          <t>2026-10-22</t>
        </is>
      </c>
      <c r="O535" s="18" t="inlineStr">
        <is>
          <t>fail</t>
        </is>
      </c>
      <c r="P535" s="14" t="inlineStr">
        <is>
          <t>pass</t>
        </is>
      </c>
      <c r="Q535" s="14" t="inlineStr">
        <is>
          <t>pass</t>
        </is>
      </c>
      <c r="R535" s="15" t="inlineStr">
        <is>
          <t>n.a.</t>
        </is>
      </c>
      <c r="S535" s="15" t="inlineStr">
        <is>
          <t>n.a.</t>
        </is>
      </c>
      <c r="T535" s="14" t="inlineStr">
        <is>
          <t>pass</t>
        </is>
      </c>
      <c r="U535" s="16" t="inlineStr">
        <is>
          <t>warn</t>
        </is>
      </c>
      <c r="V535" s="15" t="inlineStr">
        <is>
          <t>n.a.</t>
        </is>
      </c>
      <c r="W535" s="15" t="inlineStr">
        <is>
          <t>not_checked</t>
        </is>
      </c>
      <c r="X535" s="14" t="inlineStr">
        <is>
          <t>pass</t>
        </is>
      </c>
      <c r="Y535" s="15" t="inlineStr">
        <is>
          <t>not_checked</t>
        </is>
      </c>
      <c r="Z535" s="15" t="inlineStr">
        <is>
          <t>not_checked</t>
        </is>
      </c>
      <c r="AA535" s="15" t="inlineStr">
        <is>
          <t>not_checked</t>
        </is>
      </c>
      <c r="AB535" s="15" t="inlineStr">
        <is>
          <t>not_checked</t>
        </is>
      </c>
      <c r="AC535" s="15" t="inlineStr">
        <is>
          <t>not_checked</t>
        </is>
      </c>
      <c r="AD535" s="15" t="inlineStr">
        <is>
          <t>not_checked</t>
        </is>
      </c>
      <c r="AE535" s="15" t="inlineStr">
        <is>
          <t>not_checked</t>
        </is>
      </c>
      <c r="AF535" s="15" t="inlineStr">
        <is>
          <t>not_checked</t>
        </is>
      </c>
      <c r="AG535" s="15" t="inlineStr">
        <is>
          <t>not_checked</t>
        </is>
      </c>
      <c r="AH535" s="15" t="inlineStr">
        <is>
          <t>not_checked</t>
        </is>
      </c>
      <c r="AI535" s="15" t="inlineStr">
        <is>
          <t>n.a.</t>
        </is>
      </c>
      <c r="AJ535" s="15" t="inlineStr">
        <is>
          <t>n.a.</t>
        </is>
      </c>
      <c r="AK535" s="4" t="inlineStr">
        <is>
          <t>link_live;format_match(warn)</t>
        </is>
      </c>
      <c r="AL535" s="17" t="inlineStr">
        <is>
          <t>https://ec.europa.eu/eurostat/web/gisco/geodata/statistical-units/urban-audit</t>
        </is>
      </c>
      <c r="AM535" s="4" t="inlineStr">
        <is>
          <t>eu_eurostat_gisco_urban_audit</t>
        </is>
      </c>
    </row>
    <row r="536">
      <c r="A536" s="4" t="inlineStr">
        <is>
          <t>Verwaltungsgebiete 1:250 000 (VG250 / VG250-EW)</t>
        </is>
      </c>
      <c r="B536" s="18" t="inlineStr">
        <is>
          <t>Failed</t>
        </is>
      </c>
      <c r="C536" s="4" t="n">
        <v>0</v>
      </c>
      <c r="D536" s="4" t="inlineStr">
        <is>
          <t>boundaries</t>
        </is>
      </c>
      <c r="E536" s="4" t="inlineStr">
        <is>
          <t>dead</t>
        </is>
      </c>
      <c r="F536" s="4" t="inlineStr">
        <is>
          <t>not checked</t>
        </is>
      </c>
      <c r="G536" s="4" t="inlineStr">
        <is>
          <t>postcode_small_area</t>
        </is>
      </c>
      <c r="H536" s="4" t="inlineStr">
        <is>
          <t>Joins today</t>
        </is>
      </c>
      <c r="I536" s="4" t="n">
        <v>1</v>
      </c>
      <c r="J536" s="4" t="inlineStr"/>
      <c r="K536" s="4" t="inlineStr">
        <is>
          <t>Curated</t>
        </is>
      </c>
      <c r="L536" s="4" t="n">
        <v>2023</v>
      </c>
      <c r="M536" s="4" t="inlineStr">
        <is>
          <t>open</t>
        </is>
      </c>
      <c r="N536" s="4" t="inlineStr">
        <is>
          <t>2026-10-22</t>
        </is>
      </c>
      <c r="O536" s="18" t="inlineStr">
        <is>
          <t>fail</t>
        </is>
      </c>
      <c r="P536" s="15" t="inlineStr">
        <is>
          <t>n.a.</t>
        </is>
      </c>
      <c r="Q536" s="15" t="inlineStr">
        <is>
          <t>n.a.</t>
        </is>
      </c>
      <c r="R536" s="15" t="inlineStr">
        <is>
          <t>n.a.</t>
        </is>
      </c>
      <c r="S536" s="15" t="inlineStr">
        <is>
          <t>n.a.</t>
        </is>
      </c>
      <c r="T536" s="18" t="inlineStr">
        <is>
          <t>fail</t>
        </is>
      </c>
      <c r="U536" s="15" t="inlineStr">
        <is>
          <t>n.a.</t>
        </is>
      </c>
      <c r="V536" s="15" t="inlineStr">
        <is>
          <t>n.a.</t>
        </is>
      </c>
      <c r="W536" s="15" t="inlineStr">
        <is>
          <t>not_checked</t>
        </is>
      </c>
      <c r="X536" s="18" t="inlineStr">
        <is>
          <t>fail</t>
        </is>
      </c>
      <c r="Y536" s="15" t="inlineStr">
        <is>
          <t>not_checked</t>
        </is>
      </c>
      <c r="Z536" s="15" t="inlineStr">
        <is>
          <t>not_checked</t>
        </is>
      </c>
      <c r="AA536" s="15" t="inlineStr">
        <is>
          <t>not_checked</t>
        </is>
      </c>
      <c r="AB536" s="15" t="inlineStr">
        <is>
          <t>not_checked</t>
        </is>
      </c>
      <c r="AC536" s="15" t="inlineStr">
        <is>
          <t>not_checked</t>
        </is>
      </c>
      <c r="AD536" s="15" t="inlineStr">
        <is>
          <t>not_checked</t>
        </is>
      </c>
      <c r="AE536" s="15" t="inlineStr">
        <is>
          <t>not_checked</t>
        </is>
      </c>
      <c r="AF536" s="15" t="inlineStr">
        <is>
          <t>not_checked</t>
        </is>
      </c>
      <c r="AG536" s="15" t="inlineStr">
        <is>
          <t>not_checked</t>
        </is>
      </c>
      <c r="AH536" s="15" t="inlineStr">
        <is>
          <t>not_checked</t>
        </is>
      </c>
      <c r="AI536" s="15" t="inlineStr">
        <is>
          <t>n.a.</t>
        </is>
      </c>
      <c r="AJ536" s="15" t="inlineStr">
        <is>
          <t>n.a.</t>
        </is>
      </c>
      <c r="AK536" s="4" t="inlineStr">
        <is>
          <t>link_live;access_url;archived</t>
        </is>
      </c>
      <c r="AL536" s="17" t="inlineStr">
        <is>
          <t>https://sg.geodatenzentrum.de/web_public/gdz/lizenz/eng/nutzungsbedingungen_vg250_eng.pdf</t>
        </is>
      </c>
      <c r="AM536" s="4" t="inlineStr">
        <is>
          <t>de_bkg_vg250</t>
        </is>
      </c>
    </row>
    <row r="537">
      <c r="A537" s="4" t="inlineStr">
        <is>
          <t>Miami-Dade Park Facilities</t>
        </is>
      </c>
      <c r="B537" s="18" t="inlineStr">
        <is>
          <t>Failed</t>
        </is>
      </c>
      <c r="C537" s="4" t="n">
        <v>0</v>
      </c>
      <c r="D537" s="4" t="inlineStr">
        <is>
          <t>built_environment</t>
        </is>
      </c>
      <c r="E537" s="4" t="inlineStr">
        <is>
          <t>dead</t>
        </is>
      </c>
      <c r="F537" s="4" t="inlineStr">
        <is>
          <t>not checked</t>
        </is>
      </c>
      <c r="G537" s="4" t="inlineStr">
        <is>
          <t>unknown</t>
        </is>
      </c>
      <c r="H537" s="4" t="inlineStr">
        <is>
          <t>Unknown</t>
        </is>
      </c>
      <c r="I537" s="4" t="n">
        <v>3</v>
      </c>
      <c r="J537" s="4" t="inlineStr"/>
      <c r="K537" s="4" t="inlineStr">
        <is>
          <t>Curated</t>
        </is>
      </c>
      <c r="L537" s="4" t="n">
        <v>2025</v>
      </c>
      <c r="M537" s="4" t="inlineStr">
        <is>
          <t>unknown</t>
        </is>
      </c>
      <c r="N537" s="4" t="inlineStr">
        <is>
          <t>2026-10-22</t>
        </is>
      </c>
      <c r="O537" s="18" t="inlineStr">
        <is>
          <t>fail</t>
        </is>
      </c>
      <c r="P537" s="14" t="inlineStr">
        <is>
          <t>pass</t>
        </is>
      </c>
      <c r="Q537" s="14" t="inlineStr">
        <is>
          <t>pass</t>
        </is>
      </c>
      <c r="R537" s="15" t="inlineStr">
        <is>
          <t>n.a.</t>
        </is>
      </c>
      <c r="S537" s="15" t="inlineStr">
        <is>
          <t>n.a.</t>
        </is>
      </c>
      <c r="T537" s="15" t="inlineStr">
        <is>
          <t>n.a.</t>
        </is>
      </c>
      <c r="U537" s="15" t="inlineStr">
        <is>
          <t>n.a.</t>
        </is>
      </c>
      <c r="V537" s="15" t="inlineStr">
        <is>
          <t>n.a.</t>
        </is>
      </c>
      <c r="W537" s="15" t="inlineStr">
        <is>
          <t>not_checked</t>
        </is>
      </c>
      <c r="X537" s="14" t="inlineStr">
        <is>
          <t>pass</t>
        </is>
      </c>
      <c r="Y537" s="15" t="inlineStr">
        <is>
          <t>not_checked</t>
        </is>
      </c>
      <c r="Z537" s="15" t="inlineStr">
        <is>
          <t>not_checked</t>
        </is>
      </c>
      <c r="AA537" s="15" t="inlineStr">
        <is>
          <t>not_checked</t>
        </is>
      </c>
      <c r="AB537" s="15" t="inlineStr">
        <is>
          <t>not_checked</t>
        </is>
      </c>
      <c r="AC537" s="15" t="inlineStr">
        <is>
          <t>not_checked</t>
        </is>
      </c>
      <c r="AD537" s="15" t="inlineStr">
        <is>
          <t>not_checked</t>
        </is>
      </c>
      <c r="AE537" s="15" t="inlineStr">
        <is>
          <t>not_checked</t>
        </is>
      </c>
      <c r="AF537" s="15" t="inlineStr">
        <is>
          <t>not_checked</t>
        </is>
      </c>
      <c r="AG537" s="15" t="inlineStr">
        <is>
          <t>not_checked</t>
        </is>
      </c>
      <c r="AH537" s="15" t="inlineStr">
        <is>
          <t>not_checked</t>
        </is>
      </c>
      <c r="AI537" s="15" t="inlineStr">
        <is>
          <t>n.a.</t>
        </is>
      </c>
      <c r="AJ537" s="15" t="inlineStr">
        <is>
          <t>n.a.</t>
        </is>
      </c>
      <c r="AK537" s="4" t="inlineStr">
        <is>
          <t>link_live</t>
        </is>
      </c>
      <c r="AL537" s="17" t="inlineStr">
        <is>
          <t>https://gis-mdc.opendata.arcgis.com/datasets/MDC::park-facility</t>
        </is>
      </c>
      <c r="AM537" s="4" t="inlineStr">
        <is>
          <t>us_mdc_park_facilities</t>
        </is>
      </c>
    </row>
    <row r="538">
      <c r="A538" s="4" t="inlineStr">
        <is>
          <t>Walk Score, Transit Score, Bike Score (Walk Score Data Services)</t>
        </is>
      </c>
      <c r="B538" s="18" t="inlineStr">
        <is>
          <t>Failed</t>
        </is>
      </c>
      <c r="C538" s="4" t="n">
        <v>0</v>
      </c>
      <c r="D538" s="4" t="inlineStr">
        <is>
          <t>built_environment</t>
        </is>
      </c>
      <c r="E538" s="4" t="inlineStr">
        <is>
          <t>dead</t>
        </is>
      </c>
      <c r="F538" s="4" t="inlineStr">
        <is>
          <t>not checked</t>
        </is>
      </c>
      <c r="G538" s="4" t="inlineStr">
        <is>
          <t>point</t>
        </is>
      </c>
      <c r="H538" s="4" t="inlineStr">
        <is>
          <t>Needs a count/distance step</t>
        </is>
      </c>
      <c r="I538" s="4" t="n">
        <v>3</v>
      </c>
      <c r="J538" s="4" t="inlineStr"/>
      <c r="K538" s="4" t="inlineStr">
        <is>
          <t>Curated</t>
        </is>
      </c>
      <c r="L538" s="4" t="inlineStr">
        <is>
          <t>current</t>
        </is>
      </c>
      <c r="M538" s="4" t="inlineStr">
        <is>
          <t>registration</t>
        </is>
      </c>
      <c r="N538" s="4" t="inlineStr">
        <is>
          <t>2026-10-22</t>
        </is>
      </c>
      <c r="O538" s="18" t="inlineStr">
        <is>
          <t>fail</t>
        </is>
      </c>
      <c r="P538" s="14" t="inlineStr">
        <is>
          <t>pass</t>
        </is>
      </c>
      <c r="Q538" s="14" t="inlineStr">
        <is>
          <t>pass</t>
        </is>
      </c>
      <c r="R538" s="15" t="inlineStr">
        <is>
          <t>n.a.</t>
        </is>
      </c>
      <c r="S538" s="15" t="inlineStr">
        <is>
          <t>n.a.</t>
        </is>
      </c>
      <c r="T538" s="18" t="inlineStr">
        <is>
          <t>fail</t>
        </is>
      </c>
      <c r="U538" s="15" t="inlineStr">
        <is>
          <t>n.a.</t>
        </is>
      </c>
      <c r="V538" s="15" t="inlineStr">
        <is>
          <t>n.a.</t>
        </is>
      </c>
      <c r="W538" s="15" t="inlineStr">
        <is>
          <t>not_checked</t>
        </is>
      </c>
      <c r="X538" s="14" t="inlineStr">
        <is>
          <t>pass</t>
        </is>
      </c>
      <c r="Y538" s="15" t="inlineStr">
        <is>
          <t>not_checked</t>
        </is>
      </c>
      <c r="Z538" s="15" t="inlineStr">
        <is>
          <t>not_checked</t>
        </is>
      </c>
      <c r="AA538" s="15" t="inlineStr">
        <is>
          <t>not_checked</t>
        </is>
      </c>
      <c r="AB538" s="15" t="inlineStr">
        <is>
          <t>not_checked</t>
        </is>
      </c>
      <c r="AC538" s="15" t="inlineStr">
        <is>
          <t>not_checked</t>
        </is>
      </c>
      <c r="AD538" s="15" t="inlineStr">
        <is>
          <t>not_checked</t>
        </is>
      </c>
      <c r="AE538" s="15" t="inlineStr">
        <is>
          <t>not_checked</t>
        </is>
      </c>
      <c r="AF538" s="15" t="inlineStr">
        <is>
          <t>not_checked</t>
        </is>
      </c>
      <c r="AG538" s="15" t="inlineStr">
        <is>
          <t>not_checked</t>
        </is>
      </c>
      <c r="AH538" s="15" t="inlineStr">
        <is>
          <t>not_checked</t>
        </is>
      </c>
      <c r="AI538" s="15" t="inlineStr">
        <is>
          <t>n.a.</t>
        </is>
      </c>
      <c r="AJ538" s="15" t="inlineStr">
        <is>
          <t>n.a.</t>
        </is>
      </c>
      <c r="AK538" s="4" t="inlineStr">
        <is>
          <t>link_live;access_url</t>
        </is>
      </c>
      <c r="AL538" s="17" t="inlineStr">
        <is>
          <t>https://www.walkscore.com/professional/research.php</t>
        </is>
      </c>
      <c r="AM538" s="4" t="inlineStr">
        <is>
          <t>us_walkscore</t>
        </is>
      </c>
    </row>
    <row r="539">
      <c r="A539" s="4" t="inlineStr">
        <is>
          <t>Africapolis (urban agglomerations of Africa, 2015 and 2020 layers)</t>
        </is>
      </c>
      <c r="B539" s="18" t="inlineStr">
        <is>
          <t>Failed</t>
        </is>
      </c>
      <c r="C539" s="4" t="n">
        <v>57</v>
      </c>
      <c r="D539" s="4" t="inlineStr">
        <is>
          <t>built_environment</t>
        </is>
      </c>
      <c r="E539" s="4" t="inlineStr">
        <is>
          <t>dead</t>
        </is>
      </c>
      <c r="F539" s="4" t="inlineStr">
        <is>
          <t>not checked</t>
        </is>
      </c>
      <c r="G539" s="4" t="inlineStr">
        <is>
          <t>grid_200m</t>
        </is>
      </c>
      <c r="H539" s="4" t="inlineStr">
        <is>
          <t>Needs raster support</t>
        </is>
      </c>
      <c r="I539" s="4" t="n">
        <v>2</v>
      </c>
      <c r="J539" s="4" t="inlineStr"/>
      <c r="K539" s="4" t="inlineStr">
        <is>
          <t>Curated</t>
        </is>
      </c>
      <c r="L539" s="4" t="n">
        <v>2022</v>
      </c>
      <c r="M539" s="4" t="inlineStr">
        <is>
          <t>open</t>
        </is>
      </c>
      <c r="N539" s="4" t="inlineStr">
        <is>
          <t>2026-10-22</t>
        </is>
      </c>
      <c r="O539" s="14" t="inlineStr">
        <is>
          <t>pass</t>
        </is>
      </c>
      <c r="P539" s="14" t="inlineStr">
        <is>
          <t>pass</t>
        </is>
      </c>
      <c r="Q539" s="14" t="inlineStr">
        <is>
          <t>pass</t>
        </is>
      </c>
      <c r="R539" s="18" t="inlineStr">
        <is>
          <t>fail</t>
        </is>
      </c>
      <c r="S539" s="15" t="inlineStr">
        <is>
          <t>not_checked</t>
        </is>
      </c>
      <c r="T539" s="14" t="inlineStr">
        <is>
          <t>pass</t>
        </is>
      </c>
      <c r="U539" s="16" t="inlineStr">
        <is>
          <t>warn</t>
        </is>
      </c>
      <c r="V539" s="18" t="inlineStr">
        <is>
          <t>fail</t>
        </is>
      </c>
      <c r="W539" s="16" t="inlineStr">
        <is>
          <t>warn</t>
        </is>
      </c>
      <c r="X539" s="14" t="inlineStr">
        <is>
          <t>pass</t>
        </is>
      </c>
      <c r="Y539" s="15" t="inlineStr">
        <is>
          <t>not_checked</t>
        </is>
      </c>
      <c r="Z539" s="15" t="inlineStr">
        <is>
          <t>not_checked</t>
        </is>
      </c>
      <c r="AA539" s="15" t="inlineStr">
        <is>
          <t>not_checked</t>
        </is>
      </c>
      <c r="AB539" s="15" t="inlineStr">
        <is>
          <t>not_checked</t>
        </is>
      </c>
      <c r="AC539" s="15" t="inlineStr">
        <is>
          <t>not_checked</t>
        </is>
      </c>
      <c r="AD539" s="15" t="inlineStr">
        <is>
          <t>not_checked</t>
        </is>
      </c>
      <c r="AE539" s="15" t="inlineStr">
        <is>
          <t>not_checked</t>
        </is>
      </c>
      <c r="AF539" s="15" t="inlineStr">
        <is>
          <t>not_checked</t>
        </is>
      </c>
      <c r="AG539" s="15" t="inlineStr">
        <is>
          <t>not_checked</t>
        </is>
      </c>
      <c r="AH539" s="15" t="inlineStr">
        <is>
          <t>not_checked</t>
        </is>
      </c>
      <c r="AI539" s="15" t="inlineStr">
        <is>
          <t>n.a.</t>
        </is>
      </c>
      <c r="AJ539" s="15" t="inlineStr">
        <is>
          <t>n.a.</t>
        </is>
      </c>
      <c r="AK539" s="4" t="inlineStr">
        <is>
          <t>soft404;machine_metadata;format_match(warn);persistent_id(warn)</t>
        </is>
      </c>
      <c r="AL539" s="17" t="inlineStr">
        <is>
          <t>https://africapolis.org/en/data</t>
        </is>
      </c>
      <c r="AM539" s="4" t="inlineStr">
        <is>
          <t>af_oecd_africapolis</t>
        </is>
      </c>
    </row>
    <row r="540">
      <c r="A540" s="4" t="inlineStr">
        <is>
          <t>Global Roads Inventory Project (GRIP4) global roads database</t>
        </is>
      </c>
      <c r="B540" s="18" t="inlineStr">
        <is>
          <t>Failed</t>
        </is>
      </c>
      <c r="C540" s="4" t="n">
        <v>0</v>
      </c>
      <c r="D540" s="4" t="inlineStr">
        <is>
          <t>built_environment</t>
        </is>
      </c>
      <c r="E540" s="4" t="inlineStr">
        <is>
          <t>dead</t>
        </is>
      </c>
      <c r="F540" s="4" t="inlineStr">
        <is>
          <t>not checked</t>
        </is>
      </c>
      <c r="G540" s="4" t="inlineStr">
        <is>
          <t>grid_5arcmin</t>
        </is>
      </c>
      <c r="H540" s="4" t="inlineStr">
        <is>
          <t>Needs raster support</t>
        </is>
      </c>
      <c r="I540" s="4" t="n">
        <v>2</v>
      </c>
      <c r="J540" s="4" t="inlineStr"/>
      <c r="K540" s="4" t="inlineStr">
        <is>
          <t>Curated</t>
        </is>
      </c>
      <c r="L540" s="4" t="n">
        <v>2018</v>
      </c>
      <c r="M540" s="4" t="inlineStr">
        <is>
          <t>open</t>
        </is>
      </c>
      <c r="N540" s="4" t="inlineStr">
        <is>
          <t>2026-10-22</t>
        </is>
      </c>
      <c r="O540" s="18" t="inlineStr">
        <is>
          <t>fail</t>
        </is>
      </c>
      <c r="P540" s="15" t="inlineStr">
        <is>
          <t>n.a.</t>
        </is>
      </c>
      <c r="Q540" s="15" t="inlineStr">
        <is>
          <t>n.a.</t>
        </is>
      </c>
      <c r="R540" s="15" t="inlineStr">
        <is>
          <t>n.a.</t>
        </is>
      </c>
      <c r="S540" s="15" t="inlineStr">
        <is>
          <t>n.a.</t>
        </is>
      </c>
      <c r="T540" s="18" t="inlineStr">
        <is>
          <t>fail</t>
        </is>
      </c>
      <c r="U540" s="15" t="inlineStr">
        <is>
          <t>n.a.</t>
        </is>
      </c>
      <c r="V540" s="15" t="inlineStr">
        <is>
          <t>n.a.</t>
        </is>
      </c>
      <c r="W540" s="15" t="inlineStr">
        <is>
          <t>not_checked</t>
        </is>
      </c>
      <c r="X540" s="14" t="inlineStr">
        <is>
          <t>pass</t>
        </is>
      </c>
      <c r="Y540" s="15" t="inlineStr">
        <is>
          <t>not_checked</t>
        </is>
      </c>
      <c r="Z540" s="15" t="inlineStr">
        <is>
          <t>not_checked</t>
        </is>
      </c>
      <c r="AA540" s="15" t="inlineStr">
        <is>
          <t>not_checked</t>
        </is>
      </c>
      <c r="AB540" s="15" t="inlineStr">
        <is>
          <t>not_checked</t>
        </is>
      </c>
      <c r="AC540" s="15" t="inlineStr">
        <is>
          <t>not_checked</t>
        </is>
      </c>
      <c r="AD540" s="15" t="inlineStr">
        <is>
          <t>not_checked</t>
        </is>
      </c>
      <c r="AE540" s="15" t="inlineStr">
        <is>
          <t>not_checked</t>
        </is>
      </c>
      <c r="AF540" s="15" t="inlineStr">
        <is>
          <t>not_checked</t>
        </is>
      </c>
      <c r="AG540" s="15" t="inlineStr">
        <is>
          <t>not_checked</t>
        </is>
      </c>
      <c r="AH540" s="15" t="inlineStr">
        <is>
          <t>not_checked</t>
        </is>
      </c>
      <c r="AI540" s="15" t="inlineStr">
        <is>
          <t>n.a.</t>
        </is>
      </c>
      <c r="AJ540" s="15" t="inlineStr">
        <is>
          <t>n.a.</t>
        </is>
      </c>
      <c r="AK540" s="4" t="inlineStr">
        <is>
          <t>link_live;access_url</t>
        </is>
      </c>
      <c r="AL540" s="17" t="inlineStr">
        <is>
          <t>https://www.globio.info/download-grip-dataset</t>
        </is>
      </c>
      <c r="AM540" s="4" t="inlineStr">
        <is>
          <t>global_globio_grip</t>
        </is>
      </c>
    </row>
    <row r="541">
      <c r="A541" s="4" t="inlineStr">
        <is>
          <t>Global Rural-Urban Mapping Project, Version 1 (GRUMPv1): Urban Extents Grid / Urban Extent Polygons, Revision 02</t>
        </is>
      </c>
      <c r="B541" s="18" t="inlineStr">
        <is>
          <t>Failed</t>
        </is>
      </c>
      <c r="C541" s="4" t="n">
        <v>81</v>
      </c>
      <c r="D541" s="4" t="inlineStr">
        <is>
          <t>built_environment</t>
        </is>
      </c>
      <c r="E541" s="4" t="inlineStr">
        <is>
          <t>healthy</t>
        </is>
      </c>
      <c r="F541" s="4" t="inlineStr">
        <is>
          <t>open</t>
        </is>
      </c>
      <c r="G541" s="4" t="inlineStr">
        <is>
          <t>polygon</t>
        </is>
      </c>
      <c r="H541" s="4" t="inlineStr">
        <is>
          <t>Needs raster support</t>
        </is>
      </c>
      <c r="I541" s="4" t="n">
        <v>2</v>
      </c>
      <c r="J541" s="4" t="inlineStr"/>
      <c r="K541" s="4" t="inlineStr">
        <is>
          <t>Curated</t>
        </is>
      </c>
      <c r="L541" s="4" t="n">
        <v>1995</v>
      </c>
      <c r="M541" s="4" t="inlineStr">
        <is>
          <t>registration</t>
        </is>
      </c>
      <c r="N541" s="4" t="inlineStr">
        <is>
          <t>2026-10-28</t>
        </is>
      </c>
      <c r="O541" s="14" t="inlineStr">
        <is>
          <t>pass</t>
        </is>
      </c>
      <c r="P541" s="14" t="inlineStr">
        <is>
          <t>pass</t>
        </is>
      </c>
      <c r="Q541" s="14" t="inlineStr">
        <is>
          <t>pass</t>
        </is>
      </c>
      <c r="R541" s="14" t="inlineStr">
        <is>
          <t>pass</t>
        </is>
      </c>
      <c r="S541" s="14" t="inlineStr">
        <is>
          <t>pass</t>
        </is>
      </c>
      <c r="T541" s="14" t="inlineStr">
        <is>
          <t>pass</t>
        </is>
      </c>
      <c r="U541" s="16" t="inlineStr">
        <is>
          <t>warn</t>
        </is>
      </c>
      <c r="V541" s="14" t="inlineStr">
        <is>
          <t>pass</t>
        </is>
      </c>
      <c r="W541" s="14" t="inlineStr">
        <is>
          <t>pass</t>
        </is>
      </c>
      <c r="X541" s="14" t="inlineStr">
        <is>
          <t>pass</t>
        </is>
      </c>
      <c r="Y541" s="14" t="inlineStr">
        <is>
          <t>pass</t>
        </is>
      </c>
      <c r="Z541" s="16" t="inlineStr">
        <is>
          <t>warn</t>
        </is>
      </c>
      <c r="AA541" s="18" t="inlineStr">
        <is>
          <t>fail</t>
        </is>
      </c>
      <c r="AB541" s="16" t="inlineStr">
        <is>
          <t>warn</t>
        </is>
      </c>
      <c r="AC541" s="14" t="inlineStr">
        <is>
          <t>pass</t>
        </is>
      </c>
      <c r="AD541" s="16" t="inlineStr">
        <is>
          <t>warn</t>
        </is>
      </c>
      <c r="AE541" s="14" t="inlineStr">
        <is>
          <t>pass</t>
        </is>
      </c>
      <c r="AF541" s="15" t="inlineStr">
        <is>
          <t>not_checked</t>
        </is>
      </c>
      <c r="AG541" s="14" t="inlineStr">
        <is>
          <t>pass</t>
        </is>
      </c>
      <c r="AH541" s="14" t="inlineStr">
        <is>
          <t>pass</t>
        </is>
      </c>
      <c r="AI541" s="15" t="inlineStr">
        <is>
          <t>n.a.</t>
        </is>
      </c>
      <c r="AJ541" s="15" t="inlineStr">
        <is>
          <t>n.a.</t>
        </is>
      </c>
      <c r="AK541" s="4" t="inlineStr">
        <is>
          <t>recency;format_match(warn);temporal(warn);cadence(warn);unit(warn)</t>
        </is>
      </c>
      <c r="AL541" s="17" t="inlineStr">
        <is>
          <t>https://www.earthdata.nasa.gov/data/catalog/esdis-ciesin-sedac-grumpv1-ext02-1.02</t>
        </is>
      </c>
      <c r="AM541" s="4" t="inlineStr">
        <is>
          <t>global_sedac_grump_v1</t>
        </is>
      </c>
    </row>
    <row r="542">
      <c r="A542" s="4" t="inlineStr">
        <is>
          <t>US Building Footprints</t>
        </is>
      </c>
      <c r="B542" s="18" t="inlineStr">
        <is>
          <t>Failed</t>
        </is>
      </c>
      <c r="C542" s="4" t="n">
        <v>91</v>
      </c>
      <c r="D542" s="4" t="inlineStr">
        <is>
          <t>built_environment</t>
        </is>
      </c>
      <c r="E542" s="4" t="inlineStr">
        <is>
          <t>healthy</t>
        </is>
      </c>
      <c r="F542" s="4" t="inlineStr">
        <is>
          <t>open</t>
        </is>
      </c>
      <c r="G542" s="4" t="inlineStr">
        <is>
          <t>polygon</t>
        </is>
      </c>
      <c r="H542" s="4" t="inlineStr">
        <is>
          <t>Joins today</t>
        </is>
      </c>
      <c r="I542" s="4" t="n">
        <v>2</v>
      </c>
      <c r="J542" s="4" t="inlineStr"/>
      <c r="K542" s="4" t="inlineStr">
        <is>
          <t>Curated</t>
        </is>
      </c>
      <c r="L542" s="4" t="n">
        <v>2020</v>
      </c>
      <c r="M542" s="4" t="inlineStr">
        <is>
          <t>open</t>
        </is>
      </c>
      <c r="N542" s="4" t="inlineStr">
        <is>
          <t>2026-10-22</t>
        </is>
      </c>
      <c r="O542" s="14" t="inlineStr">
        <is>
          <t>pass</t>
        </is>
      </c>
      <c r="P542" s="14" t="inlineStr">
        <is>
          <t>pass</t>
        </is>
      </c>
      <c r="Q542" s="14" t="inlineStr">
        <is>
          <t>pass</t>
        </is>
      </c>
      <c r="R542" s="14" t="inlineStr">
        <is>
          <t>pass</t>
        </is>
      </c>
      <c r="S542" s="14" t="inlineStr">
        <is>
          <t>pass</t>
        </is>
      </c>
      <c r="T542" s="14" t="inlineStr">
        <is>
          <t>pass</t>
        </is>
      </c>
      <c r="U542" s="16" t="inlineStr">
        <is>
          <t>warn</t>
        </is>
      </c>
      <c r="V542" s="16" t="inlineStr">
        <is>
          <t>warn</t>
        </is>
      </c>
      <c r="W542" s="16" t="inlineStr">
        <is>
          <t>warn</t>
        </is>
      </c>
      <c r="X542" s="14" t="inlineStr">
        <is>
          <t>pass</t>
        </is>
      </c>
      <c r="Y542" s="14" t="inlineStr">
        <is>
          <t>pass</t>
        </is>
      </c>
      <c r="Z542" s="14" t="inlineStr">
        <is>
          <t>pass</t>
        </is>
      </c>
      <c r="AA542" s="18" t="inlineStr">
        <is>
          <t>fail</t>
        </is>
      </c>
      <c r="AB542" s="14" t="inlineStr">
        <is>
          <t>pass</t>
        </is>
      </c>
      <c r="AC542" s="16" t="inlineStr">
        <is>
          <t>warn</t>
        </is>
      </c>
      <c r="AD542" s="14" t="inlineStr">
        <is>
          <t>pass</t>
        </is>
      </c>
      <c r="AE542" s="14" t="inlineStr">
        <is>
          <t>pass</t>
        </is>
      </c>
      <c r="AF542" s="14" t="inlineStr">
        <is>
          <t>pass</t>
        </is>
      </c>
      <c r="AG542" s="14" t="inlineStr">
        <is>
          <t>pass</t>
        </is>
      </c>
      <c r="AH542" s="14" t="inlineStr">
        <is>
          <t>pass</t>
        </is>
      </c>
      <c r="AI542" s="15" t="inlineStr">
        <is>
          <t>n.a.</t>
        </is>
      </c>
      <c r="AJ542" s="15" t="inlineStr">
        <is>
          <t>n.a.</t>
        </is>
      </c>
      <c r="AK542" s="4" t="inlineStr">
        <is>
          <t>recency;format_match(warn);machine_metadata(warn);persistent_id(warn);version(warn)</t>
        </is>
      </c>
      <c r="AL542" s="17" t="inlineStr">
        <is>
          <t>https://github.com/microsoft/USBuildingFootprints</t>
        </is>
      </c>
      <c r="AM542" s="4" t="inlineStr">
        <is>
          <t>us_microsoft_us_building_footprints</t>
        </is>
      </c>
    </row>
    <row r="543">
      <c r="A543" s="4" t="inlineStr">
        <is>
          <t>Climate at a Glance (county, climate division, state)</t>
        </is>
      </c>
      <c r="B543" s="18" t="inlineStr">
        <is>
          <t>Failed</t>
        </is>
      </c>
      <c r="C543" s="4" t="n">
        <v>43</v>
      </c>
      <c r="D543" s="4" t="inlineStr">
        <is>
          <t>climate_hazard</t>
        </is>
      </c>
      <c r="E543" s="4" t="inlineStr">
        <is>
          <t>dead</t>
        </is>
      </c>
      <c r="F543" s="4" t="inlineStr">
        <is>
          <t>public_domain_us_federal</t>
        </is>
      </c>
      <c r="G543" s="4" t="inlineStr">
        <is>
          <t>county</t>
        </is>
      </c>
      <c r="H543" s="4" t="inlineStr">
        <is>
          <t>Joins today</t>
        </is>
      </c>
      <c r="I543" s="4" t="n">
        <v>3</v>
      </c>
      <c r="J543" s="4" t="inlineStr"/>
      <c r="K543" s="4" t="inlineStr">
        <is>
          <t>Curated</t>
        </is>
      </c>
      <c r="L543" s="4" t="inlineStr">
        <is>
          <t>current</t>
        </is>
      </c>
      <c r="M543" s="4" t="inlineStr">
        <is>
          <t>open</t>
        </is>
      </c>
      <c r="N543" s="4" t="inlineStr">
        <is>
          <t>2026-10-29</t>
        </is>
      </c>
      <c r="O543" s="18" t="inlineStr">
        <is>
          <t>fail</t>
        </is>
      </c>
      <c r="P543" s="14" t="inlineStr">
        <is>
          <t>pass</t>
        </is>
      </c>
      <c r="Q543" s="14" t="inlineStr">
        <is>
          <t>pass</t>
        </is>
      </c>
      <c r="R543" s="15" t="inlineStr">
        <is>
          <t>n.a.</t>
        </is>
      </c>
      <c r="S543" s="15" t="inlineStr">
        <is>
          <t>n.a.</t>
        </is>
      </c>
      <c r="T543" s="18" t="inlineStr">
        <is>
          <t>fail</t>
        </is>
      </c>
      <c r="U543" s="15" t="inlineStr">
        <is>
          <t>n.a.</t>
        </is>
      </c>
      <c r="V543" s="15" t="inlineStr">
        <is>
          <t>n.a.</t>
        </is>
      </c>
      <c r="W543" s="15" t="inlineStr">
        <is>
          <t>not_checked</t>
        </is>
      </c>
      <c r="X543" s="14" t="inlineStr">
        <is>
          <t>pass</t>
        </is>
      </c>
      <c r="Y543" s="14" t="inlineStr">
        <is>
          <t>pass</t>
        </is>
      </c>
      <c r="Z543" s="15" t="inlineStr">
        <is>
          <t>not_checked</t>
        </is>
      </c>
      <c r="AA543" s="15" t="inlineStr">
        <is>
          <t>not_checked</t>
        </is>
      </c>
      <c r="AB543" s="15" t="inlineStr">
        <is>
          <t>not_checked</t>
        </is>
      </c>
      <c r="AC543" s="15" t="inlineStr">
        <is>
          <t>not_checked</t>
        </is>
      </c>
      <c r="AD543" s="15" t="inlineStr">
        <is>
          <t>not_checked</t>
        </is>
      </c>
      <c r="AE543" s="15" t="inlineStr">
        <is>
          <t>not_checked</t>
        </is>
      </c>
      <c r="AF543" s="15" t="inlineStr">
        <is>
          <t>not_checked</t>
        </is>
      </c>
      <c r="AG543" s="15" t="inlineStr">
        <is>
          <t>not_checked</t>
        </is>
      </c>
      <c r="AH543" s="15" t="inlineStr">
        <is>
          <t>not_checked</t>
        </is>
      </c>
      <c r="AI543" s="15" t="inlineStr">
        <is>
          <t>n.a.</t>
        </is>
      </c>
      <c r="AJ543" s="15" t="inlineStr">
        <is>
          <t>n.a.</t>
        </is>
      </c>
      <c r="AK543" s="4" t="inlineStr">
        <is>
          <t>link_live;access_url</t>
        </is>
      </c>
      <c r="AL543" s="17" t="inlineStr">
        <is>
          <t>https://www.ncei.noaa.gov/access/monitoring/climate-at-a-glance/county/time-series</t>
        </is>
      </c>
      <c r="AM543" s="4" t="inlineStr">
        <is>
          <t>us_noaa_climate_at_a_glance</t>
        </is>
      </c>
    </row>
    <row r="544">
      <c r="A544" s="4" t="inlineStr">
        <is>
          <t>Yale Center for Earth Observation Global Surface Urban Heat Island (SUHI) dataset, 2003-2018</t>
        </is>
      </c>
      <c r="B544" s="18" t="inlineStr">
        <is>
          <t>Failed</t>
        </is>
      </c>
      <c r="C544" s="4" t="n">
        <v>0</v>
      </c>
      <c r="D544" s="4" t="inlineStr">
        <is>
          <t>climate_hazard</t>
        </is>
      </c>
      <c r="E544" s="4" t="inlineStr">
        <is>
          <t>dead</t>
        </is>
      </c>
      <c r="F544" s="4" t="inlineStr">
        <is>
          <t>not checked</t>
        </is>
      </c>
      <c r="G544" s="4" t="inlineStr">
        <is>
          <t>grid_300m</t>
        </is>
      </c>
      <c r="H544" s="4" t="inlineStr">
        <is>
          <t>Needs raster support</t>
        </is>
      </c>
      <c r="I544" s="4" t="n">
        <v>3</v>
      </c>
      <c r="J544" s="4" t="inlineStr"/>
      <c r="K544" s="4" t="inlineStr">
        <is>
          <t>Curated</t>
        </is>
      </c>
      <c r="L544" s="4" t="n">
        <v>2019</v>
      </c>
      <c r="M544" s="4" t="inlineStr">
        <is>
          <t>open</t>
        </is>
      </c>
      <c r="N544" s="4" t="inlineStr">
        <is>
          <t>2026-10-22</t>
        </is>
      </c>
      <c r="O544" s="18" t="inlineStr">
        <is>
          <t>fail</t>
        </is>
      </c>
      <c r="P544" s="14" t="inlineStr">
        <is>
          <t>pass</t>
        </is>
      </c>
      <c r="Q544" s="14" t="inlineStr">
        <is>
          <t>pass</t>
        </is>
      </c>
      <c r="R544" s="15" t="inlineStr">
        <is>
          <t>n.a.</t>
        </is>
      </c>
      <c r="S544" s="15" t="inlineStr">
        <is>
          <t>n.a.</t>
        </is>
      </c>
      <c r="T544" s="15" t="inlineStr">
        <is>
          <t>n.a.</t>
        </is>
      </c>
      <c r="U544" s="15" t="inlineStr">
        <is>
          <t>n.a.</t>
        </is>
      </c>
      <c r="V544" s="15" t="inlineStr">
        <is>
          <t>n.a.</t>
        </is>
      </c>
      <c r="W544" s="15" t="inlineStr">
        <is>
          <t>not_checked</t>
        </is>
      </c>
      <c r="X544" s="14" t="inlineStr">
        <is>
          <t>pass</t>
        </is>
      </c>
      <c r="Y544" s="15" t="inlineStr">
        <is>
          <t>not_checked</t>
        </is>
      </c>
      <c r="Z544" s="15" t="inlineStr">
        <is>
          <t>not_checked</t>
        </is>
      </c>
      <c r="AA544" s="15" t="inlineStr">
        <is>
          <t>not_checked</t>
        </is>
      </c>
      <c r="AB544" s="15" t="inlineStr">
        <is>
          <t>not_checked</t>
        </is>
      </c>
      <c r="AC544" s="15" t="inlineStr">
        <is>
          <t>not_checked</t>
        </is>
      </c>
      <c r="AD544" s="15" t="inlineStr">
        <is>
          <t>not_checked</t>
        </is>
      </c>
      <c r="AE544" s="15" t="inlineStr">
        <is>
          <t>not_checked</t>
        </is>
      </c>
      <c r="AF544" s="15" t="inlineStr">
        <is>
          <t>not_checked</t>
        </is>
      </c>
      <c r="AG544" s="15" t="inlineStr">
        <is>
          <t>not_checked</t>
        </is>
      </c>
      <c r="AH544" s="15" t="inlineStr">
        <is>
          <t>not_checked</t>
        </is>
      </c>
      <c r="AI544" s="15" t="inlineStr">
        <is>
          <t>n.a.</t>
        </is>
      </c>
      <c r="AJ544" s="15" t="inlineStr">
        <is>
          <t>n.a.</t>
        </is>
      </c>
      <c r="AK544" s="4" t="inlineStr">
        <is>
          <t>link_live</t>
        </is>
      </c>
      <c r="AL544" s="17" t="inlineStr">
        <is>
          <t>https://geospatial.yale.edu/research/global-surface-uhi-explorer</t>
        </is>
      </c>
      <c r="AM544" s="4" t="inlineStr">
        <is>
          <t>global_yale_yceo_suhi</t>
        </is>
      </c>
    </row>
    <row r="545">
      <c r="A545" s="4" t="inlineStr">
        <is>
          <t>Risk of Flooding from Rivers and Sea (RoFRS)</t>
        </is>
      </c>
      <c r="B545" s="18" t="inlineStr">
        <is>
          <t>Failed</t>
        </is>
      </c>
      <c r="C545" s="4" t="n">
        <v>0</v>
      </c>
      <c r="D545" s="4" t="inlineStr">
        <is>
          <t>climate_hazard</t>
        </is>
      </c>
      <c r="E545" s="4" t="inlineStr">
        <is>
          <t>dead</t>
        </is>
      </c>
      <c r="F545" s="4" t="inlineStr">
        <is>
          <t>not checked</t>
        </is>
      </c>
      <c r="G545" s="4" t="inlineStr">
        <is>
          <t>grid_50m</t>
        </is>
      </c>
      <c r="H545" s="4" t="inlineStr">
        <is>
          <t>Needs raster support</t>
        </is>
      </c>
      <c r="I545" s="4" t="n">
        <v>2</v>
      </c>
      <c r="J545" s="4" t="inlineStr"/>
      <c r="K545" s="4" t="inlineStr">
        <is>
          <t>Curated</t>
        </is>
      </c>
      <c r="L545" s="4" t="inlineStr">
        <is>
          <t>current</t>
        </is>
      </c>
      <c r="M545" s="4" t="inlineStr">
        <is>
          <t>open</t>
        </is>
      </c>
      <c r="N545" s="4" t="inlineStr">
        <is>
          <t>2026-10-22</t>
        </is>
      </c>
      <c r="O545" s="18" t="inlineStr">
        <is>
          <t>fail</t>
        </is>
      </c>
      <c r="P545" s="14" t="inlineStr">
        <is>
          <t>pass</t>
        </is>
      </c>
      <c r="Q545" s="14" t="inlineStr">
        <is>
          <t>pass</t>
        </is>
      </c>
      <c r="R545" s="15" t="inlineStr">
        <is>
          <t>n.a.</t>
        </is>
      </c>
      <c r="S545" s="15" t="inlineStr">
        <is>
          <t>n.a.</t>
        </is>
      </c>
      <c r="T545" s="14" t="inlineStr">
        <is>
          <t>pass</t>
        </is>
      </c>
      <c r="U545" s="15" t="inlineStr">
        <is>
          <t>n.a.</t>
        </is>
      </c>
      <c r="V545" s="15" t="inlineStr">
        <is>
          <t>n.a.</t>
        </is>
      </c>
      <c r="W545" s="15" t="inlineStr">
        <is>
          <t>not_checked</t>
        </is>
      </c>
      <c r="X545" s="14" t="inlineStr">
        <is>
          <t>pass</t>
        </is>
      </c>
      <c r="Y545" s="15" t="inlineStr">
        <is>
          <t>not_checked</t>
        </is>
      </c>
      <c r="Z545" s="15" t="inlineStr">
        <is>
          <t>not_checked</t>
        </is>
      </c>
      <c r="AA545" s="15" t="inlineStr">
        <is>
          <t>not_checked</t>
        </is>
      </c>
      <c r="AB545" s="15" t="inlineStr">
        <is>
          <t>not_checked</t>
        </is>
      </c>
      <c r="AC545" s="15" t="inlineStr">
        <is>
          <t>not_checked</t>
        </is>
      </c>
      <c r="AD545" s="15" t="inlineStr">
        <is>
          <t>not_checked</t>
        </is>
      </c>
      <c r="AE545" s="15" t="inlineStr">
        <is>
          <t>not_checked</t>
        </is>
      </c>
      <c r="AF545" s="15" t="inlineStr">
        <is>
          <t>not_checked</t>
        </is>
      </c>
      <c r="AG545" s="15" t="inlineStr">
        <is>
          <t>not_checked</t>
        </is>
      </c>
      <c r="AH545" s="15" t="inlineStr">
        <is>
          <t>not_checked</t>
        </is>
      </c>
      <c r="AI545" s="15" t="inlineStr">
        <is>
          <t>n.a.</t>
        </is>
      </c>
      <c r="AJ545" s="15" t="inlineStr">
        <is>
          <t>n.a.</t>
        </is>
      </c>
      <c r="AK545" s="4" t="inlineStr">
        <is>
          <t>link_live</t>
        </is>
      </c>
      <c r="AL545" s="17" t="inlineStr">
        <is>
          <t>https://www.data.gov.uk/dataset/50545819-8149-4999-9d9f-c082e7234257/risk-of-flooding-from-rivers-and-sea-key-summary-information</t>
        </is>
      </c>
      <c r="AM545" s="4" t="inlineStr">
        <is>
          <t>gb_ea_rofrs</t>
        </is>
      </c>
    </row>
    <row r="546">
      <c r="A546" s="4" t="inlineStr">
        <is>
          <t>U.S. Billion-Dollar Weather and Climate Disasters</t>
        </is>
      </c>
      <c r="B546" s="18" t="inlineStr">
        <is>
          <t>Failed</t>
        </is>
      </c>
      <c r="C546" s="4" t="n">
        <v>43</v>
      </c>
      <c r="D546" s="4" t="inlineStr">
        <is>
          <t>climate_hazard</t>
        </is>
      </c>
      <c r="E546" s="4" t="inlineStr">
        <is>
          <t>dead</t>
        </is>
      </c>
      <c r="F546" s="4" t="inlineStr">
        <is>
          <t>public_domain_us_federal</t>
        </is>
      </c>
      <c r="G546" s="4" t="inlineStr">
        <is>
          <t>admin1</t>
        </is>
      </c>
      <c r="H546" s="4" t="inlineStr">
        <is>
          <t>Joins today</t>
        </is>
      </c>
      <c r="I546" s="4" t="n">
        <v>2</v>
      </c>
      <c r="J546" s="4" t="inlineStr"/>
      <c r="K546" s="4" t="inlineStr">
        <is>
          <t>Curated</t>
        </is>
      </c>
      <c r="L546" s="4" t="n">
        <v>2025</v>
      </c>
      <c r="M546" s="4" t="inlineStr">
        <is>
          <t>open</t>
        </is>
      </c>
      <c r="N546" s="4" t="inlineStr">
        <is>
          <t>2026-10-29</t>
        </is>
      </c>
      <c r="O546" s="18" t="inlineStr">
        <is>
          <t>fail</t>
        </is>
      </c>
      <c r="P546" s="14" t="inlineStr">
        <is>
          <t>pass</t>
        </is>
      </c>
      <c r="Q546" s="14" t="inlineStr">
        <is>
          <t>pass</t>
        </is>
      </c>
      <c r="R546" s="15" t="inlineStr">
        <is>
          <t>n.a.</t>
        </is>
      </c>
      <c r="S546" s="15" t="inlineStr">
        <is>
          <t>n.a.</t>
        </is>
      </c>
      <c r="T546" s="18" t="inlineStr">
        <is>
          <t>fail</t>
        </is>
      </c>
      <c r="U546" s="15" t="inlineStr">
        <is>
          <t>n.a.</t>
        </is>
      </c>
      <c r="V546" s="15" t="inlineStr">
        <is>
          <t>n.a.</t>
        </is>
      </c>
      <c r="W546" s="15" t="inlineStr">
        <is>
          <t>not_checked</t>
        </is>
      </c>
      <c r="X546" s="14" t="inlineStr">
        <is>
          <t>pass</t>
        </is>
      </c>
      <c r="Y546" s="14" t="inlineStr">
        <is>
          <t>pass</t>
        </is>
      </c>
      <c r="Z546" s="15" t="inlineStr">
        <is>
          <t>not_checked</t>
        </is>
      </c>
      <c r="AA546" s="15" t="inlineStr">
        <is>
          <t>not_checked</t>
        </is>
      </c>
      <c r="AB546" s="15" t="inlineStr">
        <is>
          <t>not_checked</t>
        </is>
      </c>
      <c r="AC546" s="15" t="inlineStr">
        <is>
          <t>not_checked</t>
        </is>
      </c>
      <c r="AD546" s="15" t="inlineStr">
        <is>
          <t>not_checked</t>
        </is>
      </c>
      <c r="AE546" s="15" t="inlineStr">
        <is>
          <t>not_checked</t>
        </is>
      </c>
      <c r="AF546" s="15" t="inlineStr">
        <is>
          <t>not_checked</t>
        </is>
      </c>
      <c r="AG546" s="15" t="inlineStr">
        <is>
          <t>not_checked</t>
        </is>
      </c>
      <c r="AH546" s="15" t="inlineStr">
        <is>
          <t>not_checked</t>
        </is>
      </c>
      <c r="AI546" s="15" t="inlineStr">
        <is>
          <t>n.a.</t>
        </is>
      </c>
      <c r="AJ546" s="15" t="inlineStr">
        <is>
          <t>n.a.</t>
        </is>
      </c>
      <c r="AK546" s="4" t="inlineStr">
        <is>
          <t>link_live;access_url</t>
        </is>
      </c>
      <c r="AL546" s="17" t="inlineStr">
        <is>
          <t>https://www.ncei.noaa.gov/access/billions/</t>
        </is>
      </c>
      <c r="AM546" s="4" t="inlineStr">
        <is>
          <t>us_noaa_billion_dollar_disasters</t>
        </is>
      </c>
    </row>
    <row r="547">
      <c r="A547" s="4" t="inlineStr">
        <is>
          <t>Paavo - Open data by postal code area</t>
        </is>
      </c>
      <c r="B547" s="18" t="inlineStr">
        <is>
          <t>Failed</t>
        </is>
      </c>
      <c r="C547" s="4" t="n">
        <v>0</v>
      </c>
      <c r="D547" s="4" t="inlineStr">
        <is>
          <t>demographics</t>
        </is>
      </c>
      <c r="E547" s="4" t="inlineStr">
        <is>
          <t>dead</t>
        </is>
      </c>
      <c r="F547" s="4" t="inlineStr">
        <is>
          <t>not checked</t>
        </is>
      </c>
      <c r="G547" s="4" t="inlineStr">
        <is>
          <t>unknown</t>
        </is>
      </c>
      <c r="H547" s="4" t="inlineStr">
        <is>
          <t>Unknown</t>
        </is>
      </c>
      <c r="I547" s="4" t="n">
        <v>3</v>
      </c>
      <c r="J547" s="4" t="inlineStr"/>
      <c r="K547" s="4" t="inlineStr">
        <is>
          <t>Curated</t>
        </is>
      </c>
      <c r="L547" s="4" t="n">
        <v>2024</v>
      </c>
      <c r="M547" s="4" t="inlineStr">
        <is>
          <t>open</t>
        </is>
      </c>
      <c r="N547" s="4" t="inlineStr">
        <is>
          <t>2026-10-22</t>
        </is>
      </c>
      <c r="O547" s="18" t="inlineStr">
        <is>
          <t>fail</t>
        </is>
      </c>
      <c r="P547" s="14" t="inlineStr">
        <is>
          <t>pass</t>
        </is>
      </c>
      <c r="Q547" s="14" t="inlineStr">
        <is>
          <t>pass</t>
        </is>
      </c>
      <c r="R547" s="15" t="inlineStr">
        <is>
          <t>n.a.</t>
        </is>
      </c>
      <c r="S547" s="15" t="inlineStr">
        <is>
          <t>n.a.</t>
        </is>
      </c>
      <c r="T547" s="16" t="inlineStr">
        <is>
          <t>warn</t>
        </is>
      </c>
      <c r="U547" s="15" t="inlineStr">
        <is>
          <t>n.a.</t>
        </is>
      </c>
      <c r="V547" s="15" t="inlineStr">
        <is>
          <t>n.a.</t>
        </is>
      </c>
      <c r="W547" s="15" t="inlineStr">
        <is>
          <t>not_checked</t>
        </is>
      </c>
      <c r="X547" s="14" t="inlineStr">
        <is>
          <t>pass</t>
        </is>
      </c>
      <c r="Y547" s="15" t="inlineStr">
        <is>
          <t>not_checked</t>
        </is>
      </c>
      <c r="Z547" s="15" t="inlineStr">
        <is>
          <t>not_checked</t>
        </is>
      </c>
      <c r="AA547" s="15" t="inlineStr">
        <is>
          <t>not_checked</t>
        </is>
      </c>
      <c r="AB547" s="15" t="inlineStr">
        <is>
          <t>not_checked</t>
        </is>
      </c>
      <c r="AC547" s="15" t="inlineStr">
        <is>
          <t>not_checked</t>
        </is>
      </c>
      <c r="AD547" s="15" t="inlineStr">
        <is>
          <t>not_checked</t>
        </is>
      </c>
      <c r="AE547" s="15" t="inlineStr">
        <is>
          <t>not_checked</t>
        </is>
      </c>
      <c r="AF547" s="15" t="inlineStr">
        <is>
          <t>not_checked</t>
        </is>
      </c>
      <c r="AG547" s="15" t="inlineStr">
        <is>
          <t>not_checked</t>
        </is>
      </c>
      <c r="AH547" s="15" t="inlineStr">
        <is>
          <t>not_checked</t>
        </is>
      </c>
      <c r="AI547" s="15" t="inlineStr">
        <is>
          <t>n.a.</t>
        </is>
      </c>
      <c r="AJ547" s="15" t="inlineStr">
        <is>
          <t>n.a.</t>
        </is>
      </c>
      <c r="AK547" s="4" t="inlineStr">
        <is>
          <t>link_live;access_url(warn)</t>
        </is>
      </c>
      <c r="AL547" s="17" t="inlineStr">
        <is>
          <t>https://stat.fi/tup/paavo/index_en.html</t>
        </is>
      </c>
      <c r="AM547" s="4" t="inlineStr">
        <is>
          <t>fi_statfi_paavo</t>
        </is>
      </c>
    </row>
    <row r="548">
      <c r="A548" s="4" t="inlineStr">
        <is>
          <t>7th Population and Housing Census 2023 (Digital Census) - detailed results</t>
        </is>
      </c>
      <c r="B548" s="18" t="inlineStr">
        <is>
          <t>Failed</t>
        </is>
      </c>
      <c r="C548" s="4" t="n">
        <v>0</v>
      </c>
      <c r="D548" s="4" t="inlineStr">
        <is>
          <t>demographics</t>
        </is>
      </c>
      <c r="E548" s="4" t="inlineStr">
        <is>
          <t>dead</t>
        </is>
      </c>
      <c r="F548" s="4" t="inlineStr">
        <is>
          <t>not checked</t>
        </is>
      </c>
      <c r="G548" s="4" t="inlineStr">
        <is>
          <t>admin2</t>
        </is>
      </c>
      <c r="H548" s="4" t="inlineStr">
        <is>
          <t>Joins today</t>
        </is>
      </c>
      <c r="I548" s="4" t="n">
        <v>2</v>
      </c>
      <c r="J548" s="4" t="inlineStr"/>
      <c r="K548" s="4" t="inlineStr">
        <is>
          <t>Curated</t>
        </is>
      </c>
      <c r="L548" s="4" t="n">
        <v>2023</v>
      </c>
      <c r="M548" s="4" t="inlineStr">
        <is>
          <t>open</t>
        </is>
      </c>
      <c r="N548" s="4" t="inlineStr">
        <is>
          <t>2026-10-22</t>
        </is>
      </c>
      <c r="O548" s="18" t="inlineStr">
        <is>
          <t>fail</t>
        </is>
      </c>
      <c r="P548" s="14" t="inlineStr">
        <is>
          <t>pass</t>
        </is>
      </c>
      <c r="Q548" s="14" t="inlineStr">
        <is>
          <t>pass</t>
        </is>
      </c>
      <c r="R548" s="15" t="inlineStr">
        <is>
          <t>n.a.</t>
        </is>
      </c>
      <c r="S548" s="15" t="inlineStr">
        <is>
          <t>n.a.</t>
        </is>
      </c>
      <c r="T548" s="15" t="inlineStr">
        <is>
          <t>n.a.</t>
        </is>
      </c>
      <c r="U548" s="15" t="inlineStr">
        <is>
          <t>n.a.</t>
        </is>
      </c>
      <c r="V548" s="15" t="inlineStr">
        <is>
          <t>n.a.</t>
        </is>
      </c>
      <c r="W548" s="15" t="inlineStr">
        <is>
          <t>not_checked</t>
        </is>
      </c>
      <c r="X548" s="14" t="inlineStr">
        <is>
          <t>pass</t>
        </is>
      </c>
      <c r="Y548" s="15" t="inlineStr">
        <is>
          <t>not_checked</t>
        </is>
      </c>
      <c r="Z548" s="15" t="inlineStr">
        <is>
          <t>not_checked</t>
        </is>
      </c>
      <c r="AA548" s="15" t="inlineStr">
        <is>
          <t>not_checked</t>
        </is>
      </c>
      <c r="AB548" s="15" t="inlineStr">
        <is>
          <t>not_checked</t>
        </is>
      </c>
      <c r="AC548" s="15" t="inlineStr">
        <is>
          <t>not_checked</t>
        </is>
      </c>
      <c r="AD548" s="15" t="inlineStr">
        <is>
          <t>not_checked</t>
        </is>
      </c>
      <c r="AE548" s="15" t="inlineStr">
        <is>
          <t>not_checked</t>
        </is>
      </c>
      <c r="AF548" s="15" t="inlineStr">
        <is>
          <t>not_checked</t>
        </is>
      </c>
      <c r="AG548" s="15" t="inlineStr">
        <is>
          <t>not_checked</t>
        </is>
      </c>
      <c r="AH548" s="15" t="inlineStr">
        <is>
          <t>not_checked</t>
        </is>
      </c>
      <c r="AI548" s="15" t="inlineStr">
        <is>
          <t>n.a.</t>
        </is>
      </c>
      <c r="AJ548" s="15" t="inlineStr">
        <is>
          <t>n.a.</t>
        </is>
      </c>
      <c r="AK548" s="4" t="inlineStr">
        <is>
          <t>link_live</t>
        </is>
      </c>
      <c r="AL548" s="17" t="inlineStr">
        <is>
          <t>https://www.pbs.gov.pk/digital-census/detailed-results</t>
        </is>
      </c>
      <c r="AM548" s="4" t="inlineStr">
        <is>
          <t>pk_pbs_census_2023</t>
        </is>
      </c>
    </row>
    <row r="549">
      <c r="A549" s="4" t="inlineStr">
        <is>
          <t>Census 2021 (Nomis)</t>
        </is>
      </c>
      <c r="B549" s="18" t="inlineStr">
        <is>
          <t>Failed</t>
        </is>
      </c>
      <c r="C549" s="4" t="n">
        <v>0</v>
      </c>
      <c r="D549" s="4" t="inlineStr">
        <is>
          <t>demographics</t>
        </is>
      </c>
      <c r="E549" s="4" t="inlineStr">
        <is>
          <t>dead</t>
        </is>
      </c>
      <c r="F549" s="4" t="inlineStr">
        <is>
          <t>not checked</t>
        </is>
      </c>
      <c r="G549" s="4" t="inlineStr">
        <is>
          <t>postcode_small_area</t>
        </is>
      </c>
      <c r="H549" s="4" t="inlineStr">
        <is>
          <t>Joins today</t>
        </is>
      </c>
      <c r="I549" s="4" t="n">
        <v>2</v>
      </c>
      <c r="J549" s="4" t="inlineStr"/>
      <c r="K549" s="4" t="inlineStr">
        <is>
          <t>Curated</t>
        </is>
      </c>
      <c r="L549" s="4" t="n">
        <v>2021</v>
      </c>
      <c r="M549" s="4" t="inlineStr">
        <is>
          <t>open</t>
        </is>
      </c>
      <c r="N549" s="4" t="inlineStr">
        <is>
          <t>2026-10-22</t>
        </is>
      </c>
      <c r="O549" s="18" t="inlineStr">
        <is>
          <t>fail</t>
        </is>
      </c>
      <c r="P549" s="15" t="inlineStr">
        <is>
          <t>n.a.</t>
        </is>
      </c>
      <c r="Q549" s="15" t="inlineStr">
        <is>
          <t>n.a.</t>
        </is>
      </c>
      <c r="R549" s="15" t="inlineStr">
        <is>
          <t>n.a.</t>
        </is>
      </c>
      <c r="S549" s="15" t="inlineStr">
        <is>
          <t>n.a.</t>
        </is>
      </c>
      <c r="T549" s="18" t="inlineStr">
        <is>
          <t>fail</t>
        </is>
      </c>
      <c r="U549" s="15" t="inlineStr">
        <is>
          <t>n.a.</t>
        </is>
      </c>
      <c r="V549" s="15" t="inlineStr">
        <is>
          <t>n.a.</t>
        </is>
      </c>
      <c r="W549" s="15" t="inlineStr">
        <is>
          <t>not_checked</t>
        </is>
      </c>
      <c r="X549" s="14" t="inlineStr">
        <is>
          <t>pass</t>
        </is>
      </c>
      <c r="Y549" s="15" t="inlineStr">
        <is>
          <t>not_checked</t>
        </is>
      </c>
      <c r="Z549" s="15" t="inlineStr">
        <is>
          <t>not_checked</t>
        </is>
      </c>
      <c r="AA549" s="15" t="inlineStr">
        <is>
          <t>not_checked</t>
        </is>
      </c>
      <c r="AB549" s="15" t="inlineStr">
        <is>
          <t>not_checked</t>
        </is>
      </c>
      <c r="AC549" s="15" t="inlineStr">
        <is>
          <t>not_checked</t>
        </is>
      </c>
      <c r="AD549" s="15" t="inlineStr">
        <is>
          <t>not_checked</t>
        </is>
      </c>
      <c r="AE549" s="15" t="inlineStr">
        <is>
          <t>not_checked</t>
        </is>
      </c>
      <c r="AF549" s="15" t="inlineStr">
        <is>
          <t>not_checked</t>
        </is>
      </c>
      <c r="AG549" s="15" t="inlineStr">
        <is>
          <t>not_checked</t>
        </is>
      </c>
      <c r="AH549" s="15" t="inlineStr">
        <is>
          <t>not_checked</t>
        </is>
      </c>
      <c r="AI549" s="15" t="inlineStr">
        <is>
          <t>n.a.</t>
        </is>
      </c>
      <c r="AJ549" s="15" t="inlineStr">
        <is>
          <t>n.a.</t>
        </is>
      </c>
      <c r="AK549" s="4" t="inlineStr">
        <is>
          <t>link_live;access_url</t>
        </is>
      </c>
      <c r="AL549" s="17" t="inlineStr">
        <is>
          <t>https://www.nomisweb.co.uk/sources/census_2021</t>
        </is>
      </c>
      <c r="AM549" s="4" t="inlineStr">
        <is>
          <t>gb_ons_census_2021_nomis</t>
        </is>
      </c>
    </row>
    <row r="550">
      <c r="A550" s="4" t="inlineStr">
        <is>
          <t>AirNow Department of State (DOS) U.S. embassy and consulate PM2.5 monitors (international)</t>
        </is>
      </c>
      <c r="B550" s="18" t="inlineStr">
        <is>
          <t>Failed</t>
        </is>
      </c>
      <c r="C550" s="4" t="n">
        <v>43</v>
      </c>
      <c r="D550" s="4" t="inlineStr">
        <is>
          <t>environment</t>
        </is>
      </c>
      <c r="E550" s="4" t="inlineStr">
        <is>
          <t>dead</t>
        </is>
      </c>
      <c r="F550" s="4" t="inlineStr">
        <is>
          <t>public_domain_us_federal</t>
        </is>
      </c>
      <c r="G550" s="4" t="inlineStr">
        <is>
          <t>point</t>
        </is>
      </c>
      <c r="H550" s="4" t="inlineStr">
        <is>
          <t>Needs a count/distance step</t>
        </is>
      </c>
      <c r="I550" s="4" t="n">
        <v>3</v>
      </c>
      <c r="J550" s="4" t="inlineStr"/>
      <c r="K550" s="4" t="inlineStr">
        <is>
          <t>Curated</t>
        </is>
      </c>
      <c r="L550" s="4" t="inlineStr">
        <is>
          <t>current</t>
        </is>
      </c>
      <c r="M550" s="4" t="inlineStr">
        <is>
          <t>open</t>
        </is>
      </c>
      <c r="N550" s="4" t="inlineStr">
        <is>
          <t>2026-10-29</t>
        </is>
      </c>
      <c r="O550" s="18" t="inlineStr">
        <is>
          <t>fail</t>
        </is>
      </c>
      <c r="P550" s="14" t="inlineStr">
        <is>
          <t>pass</t>
        </is>
      </c>
      <c r="Q550" s="14" t="inlineStr">
        <is>
          <t>pass</t>
        </is>
      </c>
      <c r="R550" s="15" t="inlineStr">
        <is>
          <t>n.a.</t>
        </is>
      </c>
      <c r="S550" s="15" t="inlineStr">
        <is>
          <t>n.a.</t>
        </is>
      </c>
      <c r="T550" s="14" t="inlineStr">
        <is>
          <t>pass</t>
        </is>
      </c>
      <c r="U550" s="14" t="inlineStr">
        <is>
          <t>pass</t>
        </is>
      </c>
      <c r="V550" s="15" t="inlineStr">
        <is>
          <t>n.a.</t>
        </is>
      </c>
      <c r="W550" s="15" t="inlineStr">
        <is>
          <t>not_checked</t>
        </is>
      </c>
      <c r="X550" s="14" t="inlineStr">
        <is>
          <t>pass</t>
        </is>
      </c>
      <c r="Y550" s="14" t="inlineStr">
        <is>
          <t>pass</t>
        </is>
      </c>
      <c r="Z550" s="15" t="inlineStr">
        <is>
          <t>not_checked</t>
        </is>
      </c>
      <c r="AA550" s="15" t="inlineStr">
        <is>
          <t>not_checked</t>
        </is>
      </c>
      <c r="AB550" s="15" t="inlineStr">
        <is>
          <t>not_checked</t>
        </is>
      </c>
      <c r="AC550" s="15" t="inlineStr">
        <is>
          <t>not_checked</t>
        </is>
      </c>
      <c r="AD550" s="15" t="inlineStr">
        <is>
          <t>not_checked</t>
        </is>
      </c>
      <c r="AE550" s="15" t="inlineStr">
        <is>
          <t>not_checked</t>
        </is>
      </c>
      <c r="AF550" s="15" t="inlineStr">
        <is>
          <t>not_checked</t>
        </is>
      </c>
      <c r="AG550" s="15" t="inlineStr">
        <is>
          <t>not_checked</t>
        </is>
      </c>
      <c r="AH550" s="15" t="inlineStr">
        <is>
          <t>not_checked</t>
        </is>
      </c>
      <c r="AI550" s="15" t="inlineStr">
        <is>
          <t>n.a.</t>
        </is>
      </c>
      <c r="AJ550" s="15" t="inlineStr">
        <is>
          <t>n.a.</t>
        </is>
      </c>
      <c r="AK550" s="4" t="inlineStr">
        <is>
          <t>link_live</t>
        </is>
      </c>
      <c r="AL550" s="17" t="inlineStr">
        <is>
          <t>https://www.airnow.gov/international/us-embassies-and-consulates/</t>
        </is>
      </c>
      <c r="AM550" s="4" t="inlineStr">
        <is>
          <t>global_airnow_dos_embassies</t>
        </is>
      </c>
    </row>
    <row r="551">
      <c r="A551" s="4" t="inlineStr">
        <is>
          <t>Annual Mean PM2.5 Components (EC, NH4, NO3, OC, SO4) 50m Urban and 1km Non-Urban Area Grids for Contiguous U.S., 2000-2019, v1</t>
        </is>
      </c>
      <c r="B551" s="18" t="inlineStr">
        <is>
          <t>Failed</t>
        </is>
      </c>
      <c r="C551" s="4" t="n">
        <v>0</v>
      </c>
      <c r="D551" s="4" t="inlineStr">
        <is>
          <t>environment</t>
        </is>
      </c>
      <c r="E551" s="4" t="inlineStr">
        <is>
          <t>dead</t>
        </is>
      </c>
      <c r="F551" s="4" t="inlineStr">
        <is>
          <t>not checked</t>
        </is>
      </c>
      <c r="G551" s="4" t="inlineStr">
        <is>
          <t>grid_50m</t>
        </is>
      </c>
      <c r="H551" s="4" t="inlineStr">
        <is>
          <t>Needs raster support</t>
        </is>
      </c>
      <c r="I551" s="4" t="n">
        <v>3</v>
      </c>
      <c r="J551" s="4" t="inlineStr"/>
      <c r="K551" s="4" t="inlineStr">
        <is>
          <t>Curated</t>
        </is>
      </c>
      <c r="L551" s="4" t="n">
        <v>2019</v>
      </c>
      <c r="M551" s="4" t="inlineStr">
        <is>
          <t>open</t>
        </is>
      </c>
      <c r="N551" s="4" t="inlineStr">
        <is>
          <t>2026-10-28</t>
        </is>
      </c>
      <c r="O551" s="18" t="inlineStr">
        <is>
          <t>fail</t>
        </is>
      </c>
      <c r="P551" s="14" t="inlineStr">
        <is>
          <t>pass</t>
        </is>
      </c>
      <c r="Q551" s="14" t="inlineStr">
        <is>
          <t>pass</t>
        </is>
      </c>
      <c r="R551" s="15" t="inlineStr">
        <is>
          <t>not_checked</t>
        </is>
      </c>
      <c r="S551" s="15" t="inlineStr">
        <is>
          <t>not_checked</t>
        </is>
      </c>
      <c r="T551" s="14" t="inlineStr">
        <is>
          <t>pass</t>
        </is>
      </c>
      <c r="U551" s="16" t="inlineStr">
        <is>
          <t>warn</t>
        </is>
      </c>
      <c r="V551" s="15" t="inlineStr">
        <is>
          <t>not_checked</t>
        </is>
      </c>
      <c r="W551" s="15" t="inlineStr">
        <is>
          <t>not_checked</t>
        </is>
      </c>
      <c r="X551" s="14" t="inlineStr">
        <is>
          <t>pass</t>
        </is>
      </c>
      <c r="Y551" s="15" t="inlineStr">
        <is>
          <t>not_checked</t>
        </is>
      </c>
      <c r="Z551" s="15" t="inlineStr">
        <is>
          <t>not_checked</t>
        </is>
      </c>
      <c r="AA551" s="15" t="inlineStr">
        <is>
          <t>not_checked</t>
        </is>
      </c>
      <c r="AB551" s="15" t="inlineStr">
        <is>
          <t>not_checked</t>
        </is>
      </c>
      <c r="AC551" s="15" t="inlineStr">
        <is>
          <t>not_checked</t>
        </is>
      </c>
      <c r="AD551" s="15" t="inlineStr">
        <is>
          <t>not_checked</t>
        </is>
      </c>
      <c r="AE551" s="15" t="inlineStr">
        <is>
          <t>not_checked</t>
        </is>
      </c>
      <c r="AF551" s="15" t="inlineStr">
        <is>
          <t>not_checked</t>
        </is>
      </c>
      <c r="AG551" s="15" t="inlineStr">
        <is>
          <t>not_checked</t>
        </is>
      </c>
      <c r="AH551" s="15" t="inlineStr">
        <is>
          <t>not_checked</t>
        </is>
      </c>
      <c r="AI551" s="15" t="inlineStr">
        <is>
          <t>n.a.</t>
        </is>
      </c>
      <c r="AJ551" s="15" t="inlineStr">
        <is>
          <t>n.a.</t>
        </is>
      </c>
      <c r="AK551" s="4" t="inlineStr">
        <is>
          <t>link_live;format_match(warn)</t>
        </is>
      </c>
      <c r="AL551" s="17" t="inlineStr">
        <is>
          <t>https://www.ciesin.columbia.edu/data/aqdh/pm25component-EC-NH4-NO3-OC-SO4-2000-2019</t>
        </is>
      </c>
      <c r="AM551" s="4" t="inlineStr">
        <is>
          <t>us_sedac_amini_pm25_components_50m</t>
        </is>
      </c>
    </row>
    <row r="552">
      <c r="A552" s="4" t="inlineStr">
        <is>
          <t>Daily and Annual PM2.5 Concentrations for the Contiguous United States, 1-km Grids (2000-2016)</t>
        </is>
      </c>
      <c r="B552" s="18" t="inlineStr">
        <is>
          <t>Failed</t>
        </is>
      </c>
      <c r="C552" s="4" t="n">
        <v>0</v>
      </c>
      <c r="D552" s="4" t="inlineStr">
        <is>
          <t>environment</t>
        </is>
      </c>
      <c r="E552" s="4" t="inlineStr">
        <is>
          <t>dead</t>
        </is>
      </c>
      <c r="F552" s="4" t="inlineStr">
        <is>
          <t>not checked</t>
        </is>
      </c>
      <c r="G552" s="4" t="inlineStr">
        <is>
          <t>grid_1km</t>
        </is>
      </c>
      <c r="H552" s="4" t="inlineStr">
        <is>
          <t>Needs raster support</t>
        </is>
      </c>
      <c r="I552" s="4" t="n">
        <v>3</v>
      </c>
      <c r="J552" s="4" t="inlineStr"/>
      <c r="K552" s="4" t="inlineStr">
        <is>
          <t>Curated</t>
        </is>
      </c>
      <c r="L552" s="4" t="inlineStr">
        <is>
          <t>current</t>
        </is>
      </c>
      <c r="M552" s="4" t="inlineStr">
        <is>
          <t>open</t>
        </is>
      </c>
      <c r="N552" s="4" t="inlineStr">
        <is>
          <t>2026-10-28</t>
        </is>
      </c>
      <c r="O552" s="18" t="inlineStr">
        <is>
          <t>fail</t>
        </is>
      </c>
      <c r="P552" s="15" t="inlineStr">
        <is>
          <t>n.a.</t>
        </is>
      </c>
      <c r="Q552" s="15" t="inlineStr">
        <is>
          <t>n.a.</t>
        </is>
      </c>
      <c r="R552" s="15" t="inlineStr">
        <is>
          <t>n.a.</t>
        </is>
      </c>
      <c r="S552" s="15" t="inlineStr">
        <is>
          <t>n.a.</t>
        </is>
      </c>
      <c r="T552" s="14" t="inlineStr">
        <is>
          <t>pass</t>
        </is>
      </c>
      <c r="U552" s="16" t="inlineStr">
        <is>
          <t>warn</t>
        </is>
      </c>
      <c r="V552" s="15" t="inlineStr">
        <is>
          <t>n.a.</t>
        </is>
      </c>
      <c r="W552" s="15" t="inlineStr">
        <is>
          <t>not_checked</t>
        </is>
      </c>
      <c r="X552" s="14" t="inlineStr">
        <is>
          <t>pass</t>
        </is>
      </c>
      <c r="Y552" s="15" t="inlineStr">
        <is>
          <t>not_checked</t>
        </is>
      </c>
      <c r="Z552" s="15" t="inlineStr">
        <is>
          <t>not_checked</t>
        </is>
      </c>
      <c r="AA552" s="15" t="inlineStr">
        <is>
          <t>not_checked</t>
        </is>
      </c>
      <c r="AB552" s="15" t="inlineStr">
        <is>
          <t>not_checked</t>
        </is>
      </c>
      <c r="AC552" s="15" t="inlineStr">
        <is>
          <t>not_checked</t>
        </is>
      </c>
      <c r="AD552" s="15" t="inlineStr">
        <is>
          <t>not_checked</t>
        </is>
      </c>
      <c r="AE552" s="15" t="inlineStr">
        <is>
          <t>not_checked</t>
        </is>
      </c>
      <c r="AF552" s="15" t="inlineStr">
        <is>
          <t>not_checked</t>
        </is>
      </c>
      <c r="AG552" s="15" t="inlineStr">
        <is>
          <t>not_checked</t>
        </is>
      </c>
      <c r="AH552" s="15" t="inlineStr">
        <is>
          <t>not_checked</t>
        </is>
      </c>
      <c r="AI552" s="15" t="inlineStr">
        <is>
          <t>n.a.</t>
        </is>
      </c>
      <c r="AJ552" s="15" t="inlineStr">
        <is>
          <t>n.a.</t>
        </is>
      </c>
      <c r="AK552" s="4" t="inlineStr">
        <is>
          <t>link_live;format_match(warn)</t>
        </is>
      </c>
      <c r="AL552" s="17" t="inlineStr">
        <is>
          <t>https://sedac.ciesin.columbia.edu/data/set/aqdh-pm2-5-concentrations-contiguous-us-1-km-2000-2016</t>
        </is>
      </c>
      <c r="AM552" s="4" t="inlineStr">
        <is>
          <t>us_sedac_di_pm25_1km_2000_2016</t>
        </is>
      </c>
    </row>
    <row r="553">
      <c r="A553" s="4" t="inlineStr">
        <is>
          <t>ELAPSE Western Europe 100 m land use regression surfaces (PM2.5, NO2, BC, O3)</t>
        </is>
      </c>
      <c r="B553" s="18" t="inlineStr">
        <is>
          <t>Failed</t>
        </is>
      </c>
      <c r="C553" s="4" t="n">
        <v>0</v>
      </c>
      <c r="D553" s="4" t="inlineStr">
        <is>
          <t>environment</t>
        </is>
      </c>
      <c r="E553" s="4" t="inlineStr">
        <is>
          <t>dead</t>
        </is>
      </c>
      <c r="F553" s="4" t="inlineStr">
        <is>
          <t>not checked</t>
        </is>
      </c>
      <c r="G553" s="4" t="inlineStr">
        <is>
          <t>grid_100m</t>
        </is>
      </c>
      <c r="H553" s="4" t="inlineStr">
        <is>
          <t>Needs raster support</t>
        </is>
      </c>
      <c r="I553" s="4" t="n">
        <v>3</v>
      </c>
      <c r="J553" s="4" t="inlineStr"/>
      <c r="K553" s="4" t="inlineStr">
        <is>
          <t>Curated</t>
        </is>
      </c>
      <c r="L553" s="4" t="n">
        <v>2013</v>
      </c>
      <c r="M553" s="4" t="inlineStr">
        <is>
          <t>restricted</t>
        </is>
      </c>
      <c r="N553" s="4" t="inlineStr">
        <is>
          <t>2026-10-28</t>
        </is>
      </c>
      <c r="O553" s="18" t="inlineStr">
        <is>
          <t>fail</t>
        </is>
      </c>
      <c r="P553" s="15" t="inlineStr">
        <is>
          <t>n.a.</t>
        </is>
      </c>
      <c r="Q553" s="15" t="inlineStr">
        <is>
          <t>n.a.</t>
        </is>
      </c>
      <c r="R553" s="15" t="inlineStr">
        <is>
          <t>n.a.</t>
        </is>
      </c>
      <c r="S553" s="15" t="inlineStr">
        <is>
          <t>n.a.</t>
        </is>
      </c>
      <c r="T553" s="15" t="inlineStr">
        <is>
          <t>n.a.</t>
        </is>
      </c>
      <c r="U553" s="15" t="inlineStr">
        <is>
          <t>n.a.</t>
        </is>
      </c>
      <c r="V553" s="15" t="inlineStr">
        <is>
          <t>n.a.</t>
        </is>
      </c>
      <c r="W553" s="15" t="inlineStr">
        <is>
          <t>not_checked</t>
        </is>
      </c>
      <c r="X553" s="14" t="inlineStr">
        <is>
          <t>pass</t>
        </is>
      </c>
      <c r="Y553" s="15" t="inlineStr">
        <is>
          <t>not_checked</t>
        </is>
      </c>
      <c r="Z553" s="15" t="inlineStr">
        <is>
          <t>not_checked</t>
        </is>
      </c>
      <c r="AA553" s="15" t="inlineStr">
        <is>
          <t>not_checked</t>
        </is>
      </c>
      <c r="AB553" s="15" t="inlineStr">
        <is>
          <t>not_checked</t>
        </is>
      </c>
      <c r="AC553" s="15" t="inlineStr">
        <is>
          <t>not_checked</t>
        </is>
      </c>
      <c r="AD553" s="15" t="inlineStr">
        <is>
          <t>not_checked</t>
        </is>
      </c>
      <c r="AE553" s="15" t="inlineStr">
        <is>
          <t>not_checked</t>
        </is>
      </c>
      <c r="AF553" s="15" t="inlineStr">
        <is>
          <t>not_checked</t>
        </is>
      </c>
      <c r="AG553" s="15" t="inlineStr">
        <is>
          <t>not_checked</t>
        </is>
      </c>
      <c r="AH553" s="15" t="inlineStr">
        <is>
          <t>not_checked</t>
        </is>
      </c>
      <c r="AI553" s="15" t="inlineStr">
        <is>
          <t>n.a.</t>
        </is>
      </c>
      <c r="AJ553" s="15" t="inlineStr">
        <is>
          <t>n.a.</t>
        </is>
      </c>
      <c r="AK553" s="4" t="inlineStr">
        <is>
          <t>link_live</t>
        </is>
      </c>
      <c r="AL553" s="17" t="inlineStr">
        <is>
          <t>https://www.elapseproject.eu/</t>
        </is>
      </c>
      <c r="AM553" s="4" t="inlineStr">
        <is>
          <t>eu_elapse_lur_surfaces</t>
        </is>
      </c>
    </row>
    <row r="554">
      <c r="A554" s="4" t="inlineStr">
        <is>
          <t>EPA Map of Radon Zones</t>
        </is>
      </c>
      <c r="B554" s="18" t="inlineStr">
        <is>
          <t>Failed</t>
        </is>
      </c>
      <c r="C554" s="4" t="n">
        <v>84</v>
      </c>
      <c r="D554" s="4" t="inlineStr">
        <is>
          <t>environment</t>
        </is>
      </c>
      <c r="E554" s="4" t="inlineStr">
        <is>
          <t>healthy</t>
        </is>
      </c>
      <c r="F554" s="4" t="inlineStr">
        <is>
          <t>public_domain_us_federal</t>
        </is>
      </c>
      <c r="G554" s="4" t="inlineStr">
        <is>
          <t>county</t>
        </is>
      </c>
      <c r="H554" s="4" t="inlineStr">
        <is>
          <t>Joins today</t>
        </is>
      </c>
      <c r="I554" s="4" t="n">
        <v>3</v>
      </c>
      <c r="J554" s="4" t="inlineStr"/>
      <c r="K554" s="4" t="inlineStr">
        <is>
          <t>Curated</t>
        </is>
      </c>
      <c r="L554" s="4" t="n">
        <v>1993</v>
      </c>
      <c r="M554" s="4" t="inlineStr">
        <is>
          <t>open</t>
        </is>
      </c>
      <c r="N554" s="4" t="inlineStr">
        <is>
          <t>2026-10-29</t>
        </is>
      </c>
      <c r="O554" s="14" t="inlineStr">
        <is>
          <t>pass</t>
        </is>
      </c>
      <c r="P554" s="14" t="inlineStr">
        <is>
          <t>pass</t>
        </is>
      </c>
      <c r="Q554" s="14" t="inlineStr">
        <is>
          <t>pass</t>
        </is>
      </c>
      <c r="R554" s="14" t="inlineStr">
        <is>
          <t>pass</t>
        </is>
      </c>
      <c r="S554" s="14" t="inlineStr">
        <is>
          <t>pass</t>
        </is>
      </c>
      <c r="T554" s="14" t="inlineStr">
        <is>
          <t>pass</t>
        </is>
      </c>
      <c r="U554" s="16" t="inlineStr">
        <is>
          <t>warn</t>
        </is>
      </c>
      <c r="V554" s="16" t="inlineStr">
        <is>
          <t>warn</t>
        </is>
      </c>
      <c r="W554" s="16" t="inlineStr">
        <is>
          <t>warn</t>
        </is>
      </c>
      <c r="X554" s="14" t="inlineStr">
        <is>
          <t>pass</t>
        </is>
      </c>
      <c r="Y554" s="14" t="inlineStr">
        <is>
          <t>pass</t>
        </is>
      </c>
      <c r="Z554" s="16" t="inlineStr">
        <is>
          <t>warn</t>
        </is>
      </c>
      <c r="AA554" s="18" t="inlineStr">
        <is>
          <t>fail</t>
        </is>
      </c>
      <c r="AB554" s="15" t="inlineStr">
        <is>
          <t>not_checked</t>
        </is>
      </c>
      <c r="AC554" s="16" t="inlineStr">
        <is>
          <t>warn</t>
        </is>
      </c>
      <c r="AD554" s="15" t="inlineStr">
        <is>
          <t>not_checked</t>
        </is>
      </c>
      <c r="AE554" s="16" t="inlineStr">
        <is>
          <t>warn</t>
        </is>
      </c>
      <c r="AF554" s="14" t="inlineStr">
        <is>
          <t>pass</t>
        </is>
      </c>
      <c r="AG554" s="15" t="inlineStr">
        <is>
          <t>not_checked</t>
        </is>
      </c>
      <c r="AH554" s="16" t="inlineStr">
        <is>
          <t>warn</t>
        </is>
      </c>
      <c r="AI554" s="15" t="inlineStr">
        <is>
          <t>n.a.</t>
        </is>
      </c>
      <c r="AJ554" s="15" t="inlineStr">
        <is>
          <t>n.a.</t>
        </is>
      </c>
      <c r="AK554" s="4" t="inlineStr">
        <is>
          <t>recency;format_match(warn);machine_metadata(warn);persistent_id(warn);temporal(warn);version(warn);coverage(warn);format_gaia(warn)</t>
        </is>
      </c>
      <c r="AL554" s="17" t="inlineStr">
        <is>
          <t>https://www.epa.gov/radon/epa-map-radon-zones</t>
        </is>
      </c>
      <c r="AM554" s="4" t="inlineStr">
        <is>
          <t>us_epa_radon_zones</t>
        </is>
      </c>
    </row>
    <row r="555">
      <c r="A555" s="4" t="inlineStr">
        <is>
          <t>Modelled background pollution data (Pollution Climate Mapping)</t>
        </is>
      </c>
      <c r="B555" s="18" t="inlineStr">
        <is>
          <t>Failed</t>
        </is>
      </c>
      <c r="C555" s="4" t="n">
        <v>67</v>
      </c>
      <c r="D555" s="4" t="inlineStr">
        <is>
          <t>environment</t>
        </is>
      </c>
      <c r="E555" s="4" t="inlineStr">
        <is>
          <t>dead</t>
        </is>
      </c>
      <c r="F555" s="4" t="inlineStr">
        <is>
          <t>not checked</t>
        </is>
      </c>
      <c r="G555" s="4" t="inlineStr">
        <is>
          <t>grid_1km</t>
        </is>
      </c>
      <c r="H555" s="4" t="inlineStr">
        <is>
          <t>Needs raster support</t>
        </is>
      </c>
      <c r="I555" s="4" t="n">
        <v>3</v>
      </c>
      <c r="J555" s="4" t="inlineStr"/>
      <c r="K555" s="4" t="inlineStr">
        <is>
          <t>Curated</t>
        </is>
      </c>
      <c r="L555" s="4" t="n">
        <v>2024</v>
      </c>
      <c r="M555" s="4" t="inlineStr">
        <is>
          <t>open</t>
        </is>
      </c>
      <c r="N555" s="4" t="inlineStr">
        <is>
          <t>2026-10-22</t>
        </is>
      </c>
      <c r="O555" s="14" t="inlineStr">
        <is>
          <t>pass</t>
        </is>
      </c>
      <c r="P555" s="14" t="inlineStr">
        <is>
          <t>pass</t>
        </is>
      </c>
      <c r="Q555" s="14" t="inlineStr">
        <is>
          <t>pass</t>
        </is>
      </c>
      <c r="R555" s="18" t="inlineStr">
        <is>
          <t>fail</t>
        </is>
      </c>
      <c r="S555" s="14" t="inlineStr">
        <is>
          <t>pass</t>
        </is>
      </c>
      <c r="T555" s="15" t="inlineStr">
        <is>
          <t>n.a.</t>
        </is>
      </c>
      <c r="U555" s="15" t="inlineStr">
        <is>
          <t>n.a.</t>
        </is>
      </c>
      <c r="V555" s="18" t="inlineStr">
        <is>
          <t>fail</t>
        </is>
      </c>
      <c r="W555" s="16" t="inlineStr">
        <is>
          <t>warn</t>
        </is>
      </c>
      <c r="X555" s="14" t="inlineStr">
        <is>
          <t>pass</t>
        </is>
      </c>
      <c r="Y555" s="15" t="inlineStr">
        <is>
          <t>not_checked</t>
        </is>
      </c>
      <c r="Z555" s="15" t="inlineStr">
        <is>
          <t>not_checked</t>
        </is>
      </c>
      <c r="AA555" s="15" t="inlineStr">
        <is>
          <t>not_checked</t>
        </is>
      </c>
      <c r="AB555" s="15" t="inlineStr">
        <is>
          <t>not_checked</t>
        </is>
      </c>
      <c r="AC555" s="15" t="inlineStr">
        <is>
          <t>not_checked</t>
        </is>
      </c>
      <c r="AD555" s="15" t="inlineStr">
        <is>
          <t>not_checked</t>
        </is>
      </c>
      <c r="AE555" s="15" t="inlineStr">
        <is>
          <t>not_checked</t>
        </is>
      </c>
      <c r="AF555" s="15" t="inlineStr">
        <is>
          <t>not_checked</t>
        </is>
      </c>
      <c r="AG555" s="15" t="inlineStr">
        <is>
          <t>not_checked</t>
        </is>
      </c>
      <c r="AH555" s="15" t="inlineStr">
        <is>
          <t>not_checked</t>
        </is>
      </c>
      <c r="AI555" s="15" t="inlineStr">
        <is>
          <t>n.a.</t>
        </is>
      </c>
      <c r="AJ555" s="15" t="inlineStr">
        <is>
          <t>n.a.</t>
        </is>
      </c>
      <c r="AK555" s="4" t="inlineStr">
        <is>
          <t>soft404;machine_metadata;persistent_id(warn)</t>
        </is>
      </c>
      <c r="AL555" s="17" t="inlineStr">
        <is>
          <t>https://uk-air.defra.gov.uk/data/pcm-data</t>
        </is>
      </c>
      <c r="AM555" s="4" t="inlineStr">
        <is>
          <t>gb_defra_pcm</t>
        </is>
      </c>
    </row>
    <row r="556">
      <c r="A556" s="4" t="inlineStr">
        <is>
          <t>Normalised Difference Vegetation Index 1999-2020 (raster 1 km), global, 10-daily, version 3</t>
        </is>
      </c>
      <c r="B556" s="18" t="inlineStr">
        <is>
          <t>Failed</t>
        </is>
      </c>
      <c r="C556" s="4" t="n">
        <v>91</v>
      </c>
      <c r="D556" s="4" t="inlineStr">
        <is>
          <t>environment</t>
        </is>
      </c>
      <c r="E556" s="4" t="inlineStr">
        <is>
          <t>degraded</t>
        </is>
      </c>
      <c r="F556" s="4" t="inlineStr">
        <is>
          <t>open</t>
        </is>
      </c>
      <c r="G556" s="4" t="inlineStr">
        <is>
          <t>grid_1km</t>
        </is>
      </c>
      <c r="H556" s="4" t="inlineStr">
        <is>
          <t>Needs raster support</t>
        </is>
      </c>
      <c r="I556" s="4" t="n">
        <v>3</v>
      </c>
      <c r="J556" s="4" t="inlineStr"/>
      <c r="K556" s="4" t="inlineStr">
        <is>
          <t>Curated</t>
        </is>
      </c>
      <c r="L556" s="4" t="n">
        <v>2020</v>
      </c>
      <c r="M556" s="4" t="inlineStr">
        <is>
          <t>open</t>
        </is>
      </c>
      <c r="N556" s="4" t="inlineStr">
        <is>
          <t>2026-10-22</t>
        </is>
      </c>
      <c r="O556" s="14" t="inlineStr">
        <is>
          <t>pass</t>
        </is>
      </c>
      <c r="P556" s="14" t="inlineStr">
        <is>
          <t>pass</t>
        </is>
      </c>
      <c r="Q556" s="14" t="inlineStr">
        <is>
          <t>pass</t>
        </is>
      </c>
      <c r="R556" s="14" t="inlineStr">
        <is>
          <t>pass</t>
        </is>
      </c>
      <c r="S556" s="14" t="inlineStr">
        <is>
          <t>pass</t>
        </is>
      </c>
      <c r="T556" s="18" t="inlineStr">
        <is>
          <t>fail</t>
        </is>
      </c>
      <c r="U556" s="15" t="inlineStr">
        <is>
          <t>n.a.</t>
        </is>
      </c>
      <c r="V556" s="16" t="inlineStr">
        <is>
          <t>warn</t>
        </is>
      </c>
      <c r="W556" s="14" t="inlineStr">
        <is>
          <t>pass</t>
        </is>
      </c>
      <c r="X556" s="14" t="inlineStr">
        <is>
          <t>pass</t>
        </is>
      </c>
      <c r="Y556" s="14" t="inlineStr">
        <is>
          <t>pass</t>
        </is>
      </c>
      <c r="Z556" s="14" t="inlineStr">
        <is>
          <t>pass</t>
        </is>
      </c>
      <c r="AA556" s="18" t="inlineStr">
        <is>
          <t>fail</t>
        </is>
      </c>
      <c r="AB556" s="14" t="inlineStr">
        <is>
          <t>pass</t>
        </is>
      </c>
      <c r="AC556" s="14" t="inlineStr">
        <is>
          <t>pass</t>
        </is>
      </c>
      <c r="AD556" s="14" t="inlineStr">
        <is>
          <t>pass</t>
        </is>
      </c>
      <c r="AE556" s="14" t="inlineStr">
        <is>
          <t>pass</t>
        </is>
      </c>
      <c r="AF556" s="14" t="inlineStr">
        <is>
          <t>pass</t>
        </is>
      </c>
      <c r="AG556" s="14" t="inlineStr">
        <is>
          <t>pass</t>
        </is>
      </c>
      <c r="AH556" s="14" t="inlineStr">
        <is>
          <t>pass</t>
        </is>
      </c>
      <c r="AI556" s="15" t="inlineStr">
        <is>
          <t>n.a.</t>
        </is>
      </c>
      <c r="AJ556" s="15" t="inlineStr">
        <is>
          <t>n.a.</t>
        </is>
      </c>
      <c r="AK556" s="4" t="inlineStr">
        <is>
          <t>access_url;recency;machine_metadata(warn)</t>
        </is>
      </c>
      <c r="AL556" s="17" t="inlineStr">
        <is>
          <t>https://land.copernicus.eu/en/products/vegetation/normalised-difference-vegetation-index-v3-0-1km</t>
        </is>
      </c>
      <c r="AM556" s="4" t="inlineStr">
        <is>
          <t>global_copernicus_cgls_ndvi_1km_v3</t>
        </is>
      </c>
    </row>
    <row r="557">
      <c r="A557" s="4" t="inlineStr">
        <is>
          <t>Cancer Rates (Lake County, Illinois)</t>
        </is>
      </c>
      <c r="B557" s="18" t="inlineStr">
        <is>
          <t>Failed</t>
        </is>
      </c>
      <c r="C557" s="4" t="n">
        <v>0</v>
      </c>
      <c r="D557" s="4" t="inlineStr">
        <is>
          <t>health_outcome</t>
        </is>
      </c>
      <c r="E557" s="4" t="inlineStr">
        <is>
          <t>dead</t>
        </is>
      </c>
      <c r="F557" s="4" t="inlineStr">
        <is>
          <t>not checked</t>
        </is>
      </c>
      <c r="G557" s="4" t="inlineStr">
        <is>
          <t>tract</t>
        </is>
      </c>
      <c r="H557" s="4" t="inlineStr">
        <is>
          <t>Joins today</t>
        </is>
      </c>
      <c r="I557" s="4" t="n">
        <v>3</v>
      </c>
      <c r="J557" s="4" t="inlineStr"/>
      <c r="K557" s="4" t="inlineStr">
        <is>
          <t>Curated</t>
        </is>
      </c>
      <c r="L557" s="4" t="inlineStr"/>
      <c r="M557" s="4" t="inlineStr">
        <is>
          <t>open</t>
        </is>
      </c>
      <c r="N557" s="4" t="inlineStr">
        <is>
          <t>2026-10-22</t>
        </is>
      </c>
      <c r="O557" s="18" t="inlineStr">
        <is>
          <t>fail</t>
        </is>
      </c>
      <c r="P557" s="14" t="inlineStr">
        <is>
          <t>pass</t>
        </is>
      </c>
      <c r="Q557" s="14" t="inlineStr">
        <is>
          <t>pass</t>
        </is>
      </c>
      <c r="R557" s="15" t="inlineStr">
        <is>
          <t>n.a.</t>
        </is>
      </c>
      <c r="S557" s="15" t="inlineStr">
        <is>
          <t>n.a.</t>
        </is>
      </c>
      <c r="T557" s="15" t="inlineStr">
        <is>
          <t>n.a.</t>
        </is>
      </c>
      <c r="U557" s="15" t="inlineStr">
        <is>
          <t>n.a.</t>
        </is>
      </c>
      <c r="V557" s="15" t="inlineStr">
        <is>
          <t>n.a.</t>
        </is>
      </c>
      <c r="W557" s="15" t="inlineStr">
        <is>
          <t>not_checked</t>
        </is>
      </c>
      <c r="X557" s="16" t="inlineStr">
        <is>
          <t>warn</t>
        </is>
      </c>
      <c r="Y557" s="15" t="inlineStr">
        <is>
          <t>not_checked</t>
        </is>
      </c>
      <c r="Z557" s="15" t="inlineStr">
        <is>
          <t>not_checked</t>
        </is>
      </c>
      <c r="AA557" s="15" t="inlineStr">
        <is>
          <t>not_checked</t>
        </is>
      </c>
      <c r="AB557" s="15" t="inlineStr">
        <is>
          <t>not_checked</t>
        </is>
      </c>
      <c r="AC557" s="15" t="inlineStr">
        <is>
          <t>not_checked</t>
        </is>
      </c>
      <c r="AD557" s="15" t="inlineStr">
        <is>
          <t>not_checked</t>
        </is>
      </c>
      <c r="AE557" s="15" t="inlineStr">
        <is>
          <t>not_checked</t>
        </is>
      </c>
      <c r="AF557" s="15" t="inlineStr">
        <is>
          <t>not_checked</t>
        </is>
      </c>
      <c r="AG557" s="15" t="inlineStr">
        <is>
          <t>not_checked</t>
        </is>
      </c>
      <c r="AH557" s="15" t="inlineStr">
        <is>
          <t>not_checked</t>
        </is>
      </c>
      <c r="AI557" s="15" t="inlineStr">
        <is>
          <t>n.a.</t>
        </is>
      </c>
      <c r="AJ557" s="15" t="inlineStr">
        <is>
          <t>n.a.</t>
        </is>
      </c>
      <c r="AK557" s="4" t="inlineStr">
        <is>
          <t>link_live;archived(warn)</t>
        </is>
      </c>
      <c r="AL557" s="17" t="inlineStr">
        <is>
          <t>https://catalog.data.gov/dataset/cancer-rates</t>
        </is>
      </c>
      <c r="AM557" s="4" t="inlineStr">
        <is>
          <t>us_lake_county_il_cancer_rates</t>
        </is>
      </c>
    </row>
    <row r="558">
      <c r="A558" s="4" t="inlineStr">
        <is>
          <t>IHME Local Burden of Disease (LBD) 5x5 km geospatial estimates: child growth failure, under-5 mortality, educational attainment, HIV prevalence, DPT/vaccine coverage, diarrhoea, LRI, anaemia</t>
        </is>
      </c>
      <c r="B558" s="18" t="inlineStr">
        <is>
          <t>Failed</t>
        </is>
      </c>
      <c r="C558" s="4" t="n">
        <v>0</v>
      </c>
      <c r="D558" s="4" t="inlineStr">
        <is>
          <t>health_outcome</t>
        </is>
      </c>
      <c r="E558" s="4" t="inlineStr">
        <is>
          <t>dead</t>
        </is>
      </c>
      <c r="F558" s="4" t="inlineStr">
        <is>
          <t>not checked</t>
        </is>
      </c>
      <c r="G558" s="4" t="inlineStr">
        <is>
          <t>grid_5km</t>
        </is>
      </c>
      <c r="H558" s="4" t="inlineStr">
        <is>
          <t>Needs raster support</t>
        </is>
      </c>
      <c r="I558" s="4" t="n">
        <v>3</v>
      </c>
      <c r="J558" s="4" t="inlineStr"/>
      <c r="K558" s="4" t="inlineStr">
        <is>
          <t>Curated</t>
        </is>
      </c>
      <c r="L558" s="4" t="n">
        <v>2021</v>
      </c>
      <c r="M558" s="4" t="inlineStr">
        <is>
          <t>registration</t>
        </is>
      </c>
      <c r="N558" s="4" t="inlineStr">
        <is>
          <t>2026-10-22</t>
        </is>
      </c>
      <c r="O558" s="18" t="inlineStr">
        <is>
          <t>fail</t>
        </is>
      </c>
      <c r="P558" s="14" t="inlineStr">
        <is>
          <t>pass</t>
        </is>
      </c>
      <c r="Q558" s="14" t="inlineStr">
        <is>
          <t>pass</t>
        </is>
      </c>
      <c r="R558" s="15" t="inlineStr">
        <is>
          <t>n.a.</t>
        </is>
      </c>
      <c r="S558" s="15" t="inlineStr">
        <is>
          <t>n.a.</t>
        </is>
      </c>
      <c r="T558" s="14" t="inlineStr">
        <is>
          <t>pass</t>
        </is>
      </c>
      <c r="U558" s="16" t="inlineStr">
        <is>
          <t>warn</t>
        </is>
      </c>
      <c r="V558" s="15" t="inlineStr">
        <is>
          <t>n.a.</t>
        </is>
      </c>
      <c r="W558" s="15" t="inlineStr">
        <is>
          <t>not_checked</t>
        </is>
      </c>
      <c r="X558" s="18" t="inlineStr">
        <is>
          <t>fail</t>
        </is>
      </c>
      <c r="Y558" s="15" t="inlineStr">
        <is>
          <t>not_checked</t>
        </is>
      </c>
      <c r="Z558" s="15" t="inlineStr">
        <is>
          <t>not_checked</t>
        </is>
      </c>
      <c r="AA558" s="15" t="inlineStr">
        <is>
          <t>not_checked</t>
        </is>
      </c>
      <c r="AB558" s="15" t="inlineStr">
        <is>
          <t>not_checked</t>
        </is>
      </c>
      <c r="AC558" s="15" t="inlineStr">
        <is>
          <t>not_checked</t>
        </is>
      </c>
      <c r="AD558" s="15" t="inlineStr">
        <is>
          <t>not_checked</t>
        </is>
      </c>
      <c r="AE558" s="15" t="inlineStr">
        <is>
          <t>not_checked</t>
        </is>
      </c>
      <c r="AF558" s="15" t="inlineStr">
        <is>
          <t>not_checked</t>
        </is>
      </c>
      <c r="AG558" s="15" t="inlineStr">
        <is>
          <t>not_checked</t>
        </is>
      </c>
      <c r="AH558" s="15" t="inlineStr">
        <is>
          <t>not_checked</t>
        </is>
      </c>
      <c r="AI558" s="15" t="inlineStr">
        <is>
          <t>n.a.</t>
        </is>
      </c>
      <c r="AJ558" s="15" t="inlineStr">
        <is>
          <t>n.a.</t>
        </is>
      </c>
      <c r="AK558" s="4" t="inlineStr">
        <is>
          <t>link_live;archived;format_match(warn)</t>
        </is>
      </c>
      <c r="AL558" s="17" t="inlineStr">
        <is>
          <t>https://www.healthdata.org/research-analysis/health-risks-issues/local-burden-disease</t>
        </is>
      </c>
      <c r="AM558" s="4" t="inlineStr">
        <is>
          <t>global_ihme_lbd_geospatial_estimates</t>
        </is>
      </c>
    </row>
    <row r="559">
      <c r="A559" s="4" t="inlineStr">
        <is>
          <t>Public Health Statistics - Life Expectancy By Community Area - Historical</t>
        </is>
      </c>
      <c r="B559" s="18" t="inlineStr">
        <is>
          <t>Failed</t>
        </is>
      </c>
      <c r="C559" s="4" t="n">
        <v>68</v>
      </c>
      <c r="D559" s="4" t="inlineStr">
        <is>
          <t>health_outcome</t>
        </is>
      </c>
      <c r="E559" s="4" t="inlineStr">
        <is>
          <t>healthy</t>
        </is>
      </c>
      <c r="F559" s="4" t="inlineStr">
        <is>
          <t>unknown</t>
        </is>
      </c>
      <c r="G559" s="4" t="inlineStr">
        <is>
          <t>polygon</t>
        </is>
      </c>
      <c r="H559" s="4" t="inlineStr">
        <is>
          <t>Unknown</t>
        </is>
      </c>
      <c r="I559" s="4" t="n">
        <v>3</v>
      </c>
      <c r="J559" s="4" t="inlineStr"/>
      <c r="K559" s="4" t="inlineStr">
        <is>
          <t>Curated</t>
        </is>
      </c>
      <c r="L559" s="4" t="n">
        <v>2010</v>
      </c>
      <c r="M559" s="4" t="inlineStr">
        <is>
          <t>open</t>
        </is>
      </c>
      <c r="N559" s="4" t="inlineStr">
        <is>
          <t>2026-10-28</t>
        </is>
      </c>
      <c r="O559" s="14" t="inlineStr">
        <is>
          <t>pass</t>
        </is>
      </c>
      <c r="P559" s="14" t="inlineStr">
        <is>
          <t>pass</t>
        </is>
      </c>
      <c r="Q559" s="14" t="inlineStr">
        <is>
          <t>pass</t>
        </is>
      </c>
      <c r="R559" s="14" t="inlineStr">
        <is>
          <t>pass</t>
        </is>
      </c>
      <c r="S559" s="14" t="inlineStr">
        <is>
          <t>pass</t>
        </is>
      </c>
      <c r="T559" s="14" t="inlineStr">
        <is>
          <t>pass</t>
        </is>
      </c>
      <c r="U559" s="16" t="inlineStr">
        <is>
          <t>warn</t>
        </is>
      </c>
      <c r="V559" s="14" t="inlineStr">
        <is>
          <t>pass</t>
        </is>
      </c>
      <c r="W559" s="16" t="inlineStr">
        <is>
          <t>warn</t>
        </is>
      </c>
      <c r="X559" s="14" t="inlineStr">
        <is>
          <t>pass</t>
        </is>
      </c>
      <c r="Y559" s="18" t="inlineStr">
        <is>
          <t>fail</t>
        </is>
      </c>
      <c r="Z559" s="14" t="inlineStr">
        <is>
          <t>pass</t>
        </is>
      </c>
      <c r="AA559" s="18" t="inlineStr">
        <is>
          <t>fail</t>
        </is>
      </c>
      <c r="AB559" s="14" t="inlineStr">
        <is>
          <t>pass</t>
        </is>
      </c>
      <c r="AC559" s="16" t="inlineStr">
        <is>
          <t>warn</t>
        </is>
      </c>
      <c r="AD559" s="16" t="inlineStr">
        <is>
          <t>warn</t>
        </is>
      </c>
      <c r="AE559" s="14" t="inlineStr">
        <is>
          <t>pass</t>
        </is>
      </c>
      <c r="AF559" s="14" t="inlineStr">
        <is>
          <t>pass</t>
        </is>
      </c>
      <c r="AG559" s="16" t="inlineStr">
        <is>
          <t>warn</t>
        </is>
      </c>
      <c r="AH559" s="16" t="inlineStr">
        <is>
          <t>warn</t>
        </is>
      </c>
      <c r="AI559" s="15" t="inlineStr">
        <is>
          <t>n.a.</t>
        </is>
      </c>
      <c r="AJ559" s="15" t="inlineStr">
        <is>
          <t>n.a.</t>
        </is>
      </c>
      <c r="AK559" s="4" t="inlineStr">
        <is>
          <t>license;recency;format_match(warn);persistent_id(warn);version(warn);unit(warn);join_key(warn);format_gaia(warn)</t>
        </is>
      </c>
      <c r="AL559" s="17" t="inlineStr">
        <is>
          <t>https://catalog.data.gov/dataset/public-health-statistics-life-expectancy-by-community-area-historical</t>
        </is>
      </c>
      <c r="AM559" s="4" t="inlineStr">
        <is>
          <t>us_chicago_life_expectancy_by_community_area</t>
        </is>
      </c>
    </row>
    <row r="560">
      <c r="A560" s="4" t="inlineStr">
        <is>
          <t>Public Health Statistics - Selected public health indicators by Chicago community area - Historical</t>
        </is>
      </c>
      <c r="B560" s="18" t="inlineStr">
        <is>
          <t>Failed</t>
        </is>
      </c>
      <c r="C560" s="4" t="n">
        <v>66</v>
      </c>
      <c r="D560" s="4" t="inlineStr">
        <is>
          <t>health_outcome</t>
        </is>
      </c>
      <c r="E560" s="4" t="inlineStr">
        <is>
          <t>healthy</t>
        </is>
      </c>
      <c r="F560" s="4" t="inlineStr">
        <is>
          <t>unknown</t>
        </is>
      </c>
      <c r="G560" s="4" t="inlineStr">
        <is>
          <t>polygon</t>
        </is>
      </c>
      <c r="H560" s="4" t="inlineStr">
        <is>
          <t>Unknown</t>
        </is>
      </c>
      <c r="I560" s="4" t="n">
        <v>3</v>
      </c>
      <c r="J560" s="4" t="inlineStr"/>
      <c r="K560" s="4" t="inlineStr">
        <is>
          <t>Curated</t>
        </is>
      </c>
      <c r="L560" s="4" t="n">
        <v>2011</v>
      </c>
      <c r="M560" s="4" t="inlineStr">
        <is>
          <t>open</t>
        </is>
      </c>
      <c r="N560" s="4" t="inlineStr">
        <is>
          <t>2026-10-28</t>
        </is>
      </c>
      <c r="O560" s="14" t="inlineStr">
        <is>
          <t>pass</t>
        </is>
      </c>
      <c r="P560" s="14" t="inlineStr">
        <is>
          <t>pass</t>
        </is>
      </c>
      <c r="Q560" s="14" t="inlineStr">
        <is>
          <t>pass</t>
        </is>
      </c>
      <c r="R560" s="14" t="inlineStr">
        <is>
          <t>pass</t>
        </is>
      </c>
      <c r="S560" s="14" t="inlineStr">
        <is>
          <t>pass</t>
        </is>
      </c>
      <c r="T560" s="14" t="inlineStr">
        <is>
          <t>pass</t>
        </is>
      </c>
      <c r="U560" s="16" t="inlineStr">
        <is>
          <t>warn</t>
        </is>
      </c>
      <c r="V560" s="14" t="inlineStr">
        <is>
          <t>pass</t>
        </is>
      </c>
      <c r="W560" s="16" t="inlineStr">
        <is>
          <t>warn</t>
        </is>
      </c>
      <c r="X560" s="14" t="inlineStr">
        <is>
          <t>pass</t>
        </is>
      </c>
      <c r="Y560" s="18" t="inlineStr">
        <is>
          <t>fail</t>
        </is>
      </c>
      <c r="Z560" s="15" t="inlineStr">
        <is>
          <t>not_checked</t>
        </is>
      </c>
      <c r="AA560" s="18" t="inlineStr">
        <is>
          <t>fail</t>
        </is>
      </c>
      <c r="AB560" s="14" t="inlineStr">
        <is>
          <t>pass</t>
        </is>
      </c>
      <c r="AC560" s="16" t="inlineStr">
        <is>
          <t>warn</t>
        </is>
      </c>
      <c r="AD560" s="16" t="inlineStr">
        <is>
          <t>warn</t>
        </is>
      </c>
      <c r="AE560" s="14" t="inlineStr">
        <is>
          <t>pass</t>
        </is>
      </c>
      <c r="AF560" s="14" t="inlineStr">
        <is>
          <t>pass</t>
        </is>
      </c>
      <c r="AG560" s="16" t="inlineStr">
        <is>
          <t>warn</t>
        </is>
      </c>
      <c r="AH560" s="16" t="inlineStr">
        <is>
          <t>warn</t>
        </is>
      </c>
      <c r="AI560" s="15" t="inlineStr">
        <is>
          <t>n.a.</t>
        </is>
      </c>
      <c r="AJ560" s="15" t="inlineStr">
        <is>
          <t>n.a.</t>
        </is>
      </c>
      <c r="AK560" s="4" t="inlineStr">
        <is>
          <t>license;recency;format_match(warn);persistent_id(warn);version(warn);unit(warn);join_key(warn);format_gaia(warn)</t>
        </is>
      </c>
      <c r="AL560" s="17" t="inlineStr">
        <is>
          <t>https://catalog.data.gov/dataset/public-health-statistics-selected-public-health-indicators-by-chicago-community-area-histo</t>
        </is>
      </c>
      <c r="AM560" s="4" t="inlineStr">
        <is>
          <t>us_chicago_public_health_indicators_by_community_area</t>
        </is>
      </c>
    </row>
    <row r="561">
      <c r="A561" s="4" t="inlineStr">
        <is>
          <t>U.S. Diabetes Surveillance System (county diabetes, obesity, inactivity estimates)</t>
        </is>
      </c>
      <c r="B561" s="18" t="inlineStr">
        <is>
          <t>Failed</t>
        </is>
      </c>
      <c r="C561" s="4" t="n">
        <v>43</v>
      </c>
      <c r="D561" s="4" t="inlineStr">
        <is>
          <t>health_outcome</t>
        </is>
      </c>
      <c r="E561" s="4" t="inlineStr">
        <is>
          <t>dead</t>
        </is>
      </c>
      <c r="F561" s="4" t="inlineStr">
        <is>
          <t>public_domain_us_federal</t>
        </is>
      </c>
      <c r="G561" s="4" t="inlineStr">
        <is>
          <t>county</t>
        </is>
      </c>
      <c r="H561" s="4" t="inlineStr">
        <is>
          <t>Joins today</t>
        </is>
      </c>
      <c r="I561" s="4" t="n">
        <v>3</v>
      </c>
      <c r="J561" s="4" t="inlineStr"/>
      <c r="K561" s="4" t="inlineStr">
        <is>
          <t>Curated</t>
        </is>
      </c>
      <c r="L561" s="4" t="n">
        <v>2025</v>
      </c>
      <c r="M561" s="4" t="inlineStr">
        <is>
          <t>open</t>
        </is>
      </c>
      <c r="N561" s="4" t="inlineStr">
        <is>
          <t>2026-10-29</t>
        </is>
      </c>
      <c r="O561" s="18" t="inlineStr">
        <is>
          <t>fail</t>
        </is>
      </c>
      <c r="P561" s="14" t="inlineStr">
        <is>
          <t>pass</t>
        </is>
      </c>
      <c r="Q561" s="14" t="inlineStr">
        <is>
          <t>pass</t>
        </is>
      </c>
      <c r="R561" s="15" t="inlineStr">
        <is>
          <t>n.a.</t>
        </is>
      </c>
      <c r="S561" s="15" t="inlineStr">
        <is>
          <t>n.a.</t>
        </is>
      </c>
      <c r="T561" s="18" t="inlineStr">
        <is>
          <t>fail</t>
        </is>
      </c>
      <c r="U561" s="15" t="inlineStr">
        <is>
          <t>n.a.</t>
        </is>
      </c>
      <c r="V561" s="15" t="inlineStr">
        <is>
          <t>n.a.</t>
        </is>
      </c>
      <c r="W561" s="15" t="inlineStr">
        <is>
          <t>not_checked</t>
        </is>
      </c>
      <c r="X561" s="14" t="inlineStr">
        <is>
          <t>pass</t>
        </is>
      </c>
      <c r="Y561" s="14" t="inlineStr">
        <is>
          <t>pass</t>
        </is>
      </c>
      <c r="Z561" s="15" t="inlineStr">
        <is>
          <t>not_checked</t>
        </is>
      </c>
      <c r="AA561" s="15" t="inlineStr">
        <is>
          <t>not_checked</t>
        </is>
      </c>
      <c r="AB561" s="15" t="inlineStr">
        <is>
          <t>not_checked</t>
        </is>
      </c>
      <c r="AC561" s="15" t="inlineStr">
        <is>
          <t>not_checked</t>
        </is>
      </c>
      <c r="AD561" s="15" t="inlineStr">
        <is>
          <t>not_checked</t>
        </is>
      </c>
      <c r="AE561" s="15" t="inlineStr">
        <is>
          <t>not_checked</t>
        </is>
      </c>
      <c r="AF561" s="15" t="inlineStr">
        <is>
          <t>not_checked</t>
        </is>
      </c>
      <c r="AG561" s="15" t="inlineStr">
        <is>
          <t>not_checked</t>
        </is>
      </c>
      <c r="AH561" s="15" t="inlineStr">
        <is>
          <t>not_checked</t>
        </is>
      </c>
      <c r="AI561" s="15" t="inlineStr">
        <is>
          <t>n.a.</t>
        </is>
      </c>
      <c r="AJ561" s="15" t="inlineStr">
        <is>
          <t>n.a.</t>
        </is>
      </c>
      <c r="AK561" s="4" t="inlineStr">
        <is>
          <t>link_live;access_url</t>
        </is>
      </c>
      <c r="AL561" s="17" t="inlineStr">
        <is>
          <t>https://www.cdc.gov/diabetes/php/data-research/data-and-statistics-faqs.html</t>
        </is>
      </c>
      <c r="AM561" s="4" t="inlineStr">
        <is>
          <t>us_cdc_diabetes_surveillance</t>
        </is>
      </c>
    </row>
    <row r="562">
      <c r="A562" s="4" t="inlineStr">
        <is>
          <t>LongITools</t>
        </is>
      </c>
      <c r="B562" s="18" t="inlineStr">
        <is>
          <t>Failed</t>
        </is>
      </c>
      <c r="C562" s="4" t="n">
        <v>62</v>
      </c>
      <c r="D562" s="4" t="inlineStr">
        <is>
          <t>other</t>
        </is>
      </c>
      <c r="E562" s="4" t="inlineStr">
        <is>
          <t>healthy</t>
        </is>
      </c>
      <c r="F562" s="4" t="inlineStr">
        <is>
          <t>unknown</t>
        </is>
      </c>
      <c r="G562" s="4" t="inlineStr">
        <is>
          <t>unknown</t>
        </is>
      </c>
      <c r="H562" s="4" t="inlineStr">
        <is>
          <t>Unknown</t>
        </is>
      </c>
      <c r="I562" s="4" t="n">
        <v>3</v>
      </c>
      <c r="J562" s="4" t="inlineStr"/>
      <c r="K562" s="4" t="inlineStr">
        <is>
          <t>Curated</t>
        </is>
      </c>
      <c r="L562" s="4" t="n">
        <v>2025</v>
      </c>
      <c r="M562" s="4" t="inlineStr">
        <is>
          <t>unknown</t>
        </is>
      </c>
      <c r="N562" s="4" t="inlineStr">
        <is>
          <t>2026-10-28</t>
        </is>
      </c>
      <c r="O562" s="14" t="inlineStr">
        <is>
          <t>pass</t>
        </is>
      </c>
      <c r="P562" s="14" t="inlineStr">
        <is>
          <t>pass</t>
        </is>
      </c>
      <c r="Q562" s="14" t="inlineStr">
        <is>
          <t>pass</t>
        </is>
      </c>
      <c r="R562" s="14" t="inlineStr">
        <is>
          <t>pass</t>
        </is>
      </c>
      <c r="S562" s="14" t="inlineStr">
        <is>
          <t>pass</t>
        </is>
      </c>
      <c r="T562" s="14" t="inlineStr">
        <is>
          <t>pass</t>
        </is>
      </c>
      <c r="U562" s="15" t="inlineStr">
        <is>
          <t>n.a.</t>
        </is>
      </c>
      <c r="V562" s="16" t="inlineStr">
        <is>
          <t>warn</t>
        </is>
      </c>
      <c r="W562" s="16" t="inlineStr">
        <is>
          <t>warn</t>
        </is>
      </c>
      <c r="X562" s="14" t="inlineStr">
        <is>
          <t>pass</t>
        </is>
      </c>
      <c r="Y562" s="18" t="inlineStr">
        <is>
          <t>fail</t>
        </is>
      </c>
      <c r="Z562" s="16" t="inlineStr">
        <is>
          <t>warn</t>
        </is>
      </c>
      <c r="AA562" s="18" t="inlineStr">
        <is>
          <t>fail</t>
        </is>
      </c>
      <c r="AB562" s="16" t="inlineStr">
        <is>
          <t>warn</t>
        </is>
      </c>
      <c r="AC562" s="15" t="inlineStr">
        <is>
          <t>not_checked</t>
        </is>
      </c>
      <c r="AD562" s="15" t="inlineStr">
        <is>
          <t>not_checked</t>
        </is>
      </c>
      <c r="AE562" s="16" t="inlineStr">
        <is>
          <t>warn</t>
        </is>
      </c>
      <c r="AF562" s="15" t="inlineStr">
        <is>
          <t>not_checked</t>
        </is>
      </c>
      <c r="AG562" s="15" t="inlineStr">
        <is>
          <t>not_checked</t>
        </is>
      </c>
      <c r="AH562" s="15" t="inlineStr">
        <is>
          <t>not_checked</t>
        </is>
      </c>
      <c r="AI562" s="15" t="inlineStr">
        <is>
          <t>n.a.</t>
        </is>
      </c>
      <c r="AJ562" s="15" t="inlineStr">
        <is>
          <t>n.a.</t>
        </is>
      </c>
      <c r="AK562" s="4" t="inlineStr">
        <is>
          <t>license;recency;machine_metadata(warn);persistent_id(warn);temporal(warn);cadence(warn);coverage(warn)</t>
        </is>
      </c>
      <c r="AL562" s="17" t="inlineStr">
        <is>
          <t>https://longitools.org/</t>
        </is>
      </c>
      <c r="AM562" s="4" t="inlineStr">
        <is>
          <t>eu_longitools</t>
        </is>
      </c>
    </row>
    <row r="563">
      <c r="A563" s="4" t="inlineStr">
        <is>
          <t>Postal Code OM Conversion File (PCCF)</t>
        </is>
      </c>
      <c r="B563" s="18" t="inlineStr">
        <is>
          <t>Failed</t>
        </is>
      </c>
      <c r="C563" s="4" t="n">
        <v>68</v>
      </c>
      <c r="D563" s="4" t="inlineStr">
        <is>
          <t>other</t>
        </is>
      </c>
      <c r="E563" s="4" t="inlineStr">
        <is>
          <t>healthy</t>
        </is>
      </c>
      <c r="F563" s="4" t="inlineStr">
        <is>
          <t>restricted</t>
        </is>
      </c>
      <c r="G563" s="4" t="inlineStr">
        <is>
          <t>zip</t>
        </is>
      </c>
      <c r="H563" s="4" t="inlineStr">
        <is>
          <t>Joins today</t>
        </is>
      </c>
      <c r="I563" s="4" t="n">
        <v>1</v>
      </c>
      <c r="J563" s="4" t="inlineStr"/>
      <c r="K563" s="4" t="inlineStr">
        <is>
          <t>Curated</t>
        </is>
      </c>
      <c r="L563" s="4" t="n">
        <v>2017</v>
      </c>
      <c r="M563" s="4" t="inlineStr">
        <is>
          <t>restricted</t>
        </is>
      </c>
      <c r="N563" s="4" t="inlineStr">
        <is>
          <t>2026-10-28</t>
        </is>
      </c>
      <c r="O563" s="14" t="inlineStr">
        <is>
          <t>pass</t>
        </is>
      </c>
      <c r="P563" s="14" t="inlineStr">
        <is>
          <t>pass</t>
        </is>
      </c>
      <c r="Q563" s="14" t="inlineStr">
        <is>
          <t>pass</t>
        </is>
      </c>
      <c r="R563" s="14" t="inlineStr">
        <is>
          <t>pass</t>
        </is>
      </c>
      <c r="S563" s="14" t="inlineStr">
        <is>
          <t>pass</t>
        </is>
      </c>
      <c r="T563" s="15" t="inlineStr">
        <is>
          <t>n.a.</t>
        </is>
      </c>
      <c r="U563" s="15" t="inlineStr">
        <is>
          <t>n.a.</t>
        </is>
      </c>
      <c r="V563" s="16" t="inlineStr">
        <is>
          <t>warn</t>
        </is>
      </c>
      <c r="W563" s="16" t="inlineStr">
        <is>
          <t>warn</t>
        </is>
      </c>
      <c r="X563" s="14" t="inlineStr">
        <is>
          <t>pass</t>
        </is>
      </c>
      <c r="Y563" s="18" t="inlineStr">
        <is>
          <t>fail</t>
        </is>
      </c>
      <c r="Z563" s="14" t="inlineStr">
        <is>
          <t>pass</t>
        </is>
      </c>
      <c r="AA563" s="18" t="inlineStr">
        <is>
          <t>fail</t>
        </is>
      </c>
      <c r="AB563" s="14" t="inlineStr">
        <is>
          <t>pass</t>
        </is>
      </c>
      <c r="AC563" s="14" t="inlineStr">
        <is>
          <t>pass</t>
        </is>
      </c>
      <c r="AD563" s="14" t="inlineStr">
        <is>
          <t>pass</t>
        </is>
      </c>
      <c r="AE563" s="16" t="inlineStr">
        <is>
          <t>warn</t>
        </is>
      </c>
      <c r="AF563" s="18" t="inlineStr">
        <is>
          <t>fail</t>
        </is>
      </c>
      <c r="AG563" s="14" t="inlineStr">
        <is>
          <t>pass</t>
        </is>
      </c>
      <c r="AH563" s="16" t="inlineStr">
        <is>
          <t>warn</t>
        </is>
      </c>
      <c r="AI563" s="15" t="inlineStr">
        <is>
          <t>n.a.</t>
        </is>
      </c>
      <c r="AJ563" s="15" t="inlineStr">
        <is>
          <t>n.a.</t>
        </is>
      </c>
      <c r="AK563" s="4" t="inlineStr">
        <is>
          <t>license;recency;access;machine_metadata(warn);persistent_id(warn);coverage(warn);format_gaia(warn)</t>
        </is>
      </c>
      <c r="AL563" s="17" t="inlineStr">
        <is>
          <t>https://www150.statcan.gc.ca/n1/en/catalogue/92-154-X</t>
        </is>
      </c>
      <c r="AM563" s="4" t="inlineStr">
        <is>
          <t>ca_statcan_pccf</t>
        </is>
      </c>
    </row>
    <row r="564">
      <c r="A564" s="4" t="inlineStr">
        <is>
          <t>Characterization and Classification of Statistical Areas by Socio-Economic Level (socio-economic index)</t>
        </is>
      </c>
      <c r="B564" s="18" t="inlineStr">
        <is>
          <t>Failed</t>
        </is>
      </c>
      <c r="C564" s="4" t="n">
        <v>57</v>
      </c>
      <c r="D564" s="4" t="inlineStr">
        <is>
          <t>sdoh</t>
        </is>
      </c>
      <c r="E564" s="4" t="inlineStr">
        <is>
          <t>dead</t>
        </is>
      </c>
      <c r="F564" s="4" t="inlineStr">
        <is>
          <t>not checked</t>
        </is>
      </c>
      <c r="G564" s="4" t="inlineStr">
        <is>
          <t>postcode_small_area</t>
        </is>
      </c>
      <c r="H564" s="4" t="inlineStr">
        <is>
          <t>Joins today</t>
        </is>
      </c>
      <c r="I564" s="4" t="n">
        <v>3</v>
      </c>
      <c r="J564" s="4" t="inlineStr"/>
      <c r="K564" s="4" t="inlineStr">
        <is>
          <t>Curated</t>
        </is>
      </c>
      <c r="L564" s="4" t="n">
        <v>2022</v>
      </c>
      <c r="M564" s="4" t="inlineStr">
        <is>
          <t>open</t>
        </is>
      </c>
      <c r="N564" s="4" t="inlineStr">
        <is>
          <t>2026-10-22</t>
        </is>
      </c>
      <c r="O564" s="14" t="inlineStr">
        <is>
          <t>pass</t>
        </is>
      </c>
      <c r="P564" s="14" t="inlineStr">
        <is>
          <t>pass</t>
        </is>
      </c>
      <c r="Q564" s="14" t="inlineStr">
        <is>
          <t>pass</t>
        </is>
      </c>
      <c r="R564" s="18" t="inlineStr">
        <is>
          <t>fail</t>
        </is>
      </c>
      <c r="S564" s="15" t="inlineStr">
        <is>
          <t>not_checked</t>
        </is>
      </c>
      <c r="T564" s="14" t="inlineStr">
        <is>
          <t>pass</t>
        </is>
      </c>
      <c r="U564" s="16" t="inlineStr">
        <is>
          <t>warn</t>
        </is>
      </c>
      <c r="V564" s="18" t="inlineStr">
        <is>
          <t>fail</t>
        </is>
      </c>
      <c r="W564" s="16" t="inlineStr">
        <is>
          <t>warn</t>
        </is>
      </c>
      <c r="X564" s="18" t="inlineStr">
        <is>
          <t>fail</t>
        </is>
      </c>
      <c r="Y564" s="15" t="inlineStr">
        <is>
          <t>not_checked</t>
        </is>
      </c>
      <c r="Z564" s="15" t="inlineStr">
        <is>
          <t>not_checked</t>
        </is>
      </c>
      <c r="AA564" s="15" t="inlineStr">
        <is>
          <t>not_checked</t>
        </is>
      </c>
      <c r="AB564" s="15" t="inlineStr">
        <is>
          <t>not_checked</t>
        </is>
      </c>
      <c r="AC564" s="15" t="inlineStr">
        <is>
          <t>not_checked</t>
        </is>
      </c>
      <c r="AD564" s="15" t="inlineStr">
        <is>
          <t>not_checked</t>
        </is>
      </c>
      <c r="AE564" s="15" t="inlineStr">
        <is>
          <t>not_checked</t>
        </is>
      </c>
      <c r="AF564" s="15" t="inlineStr">
        <is>
          <t>not_checked</t>
        </is>
      </c>
      <c r="AG564" s="15" t="inlineStr">
        <is>
          <t>not_checked</t>
        </is>
      </c>
      <c r="AH564" s="15" t="inlineStr">
        <is>
          <t>not_checked</t>
        </is>
      </c>
      <c r="AI564" s="15" t="inlineStr">
        <is>
          <t>n.a.</t>
        </is>
      </c>
      <c r="AJ564" s="15" t="inlineStr">
        <is>
          <t>n.a.</t>
        </is>
      </c>
      <c r="AK564" s="4" t="inlineStr">
        <is>
          <t>soft404;machine_metadata;archived;format_match(warn);persistent_id(warn)</t>
        </is>
      </c>
      <c r="AL564" s="17" t="inlineStr">
        <is>
          <t>https://www.cbs.gov.il/en/subjects/Pages/Statistical-Areas.aspx</t>
        </is>
      </c>
      <c r="AM564" s="4" t="inlineStr">
        <is>
          <t>il_cbs_statistical_areas_ses</t>
        </is>
      </c>
    </row>
    <row r="565">
      <c r="A565" s="4" t="inlineStr">
        <is>
          <t>GDL Area Database</t>
        </is>
      </c>
      <c r="B565" s="18" t="inlineStr">
        <is>
          <t>Failed</t>
        </is>
      </c>
      <c r="C565" s="4" t="n">
        <v>67</v>
      </c>
      <c r="D565" s="4" t="inlineStr">
        <is>
          <t>sdoh</t>
        </is>
      </c>
      <c r="E565" s="4" t="inlineStr">
        <is>
          <t>dead</t>
        </is>
      </c>
      <c r="F565" s="4" t="inlineStr">
        <is>
          <t>not checked</t>
        </is>
      </c>
      <c r="G565" s="4" t="inlineStr">
        <is>
          <t>admin1</t>
        </is>
      </c>
      <c r="H565" s="4" t="inlineStr">
        <is>
          <t>Joins today</t>
        </is>
      </c>
      <c r="I565" s="4" t="n">
        <v>3</v>
      </c>
      <c r="J565" s="4" t="inlineStr"/>
      <c r="K565" s="4" t="inlineStr">
        <is>
          <t>Curated</t>
        </is>
      </c>
      <c r="L565" s="4" t="n">
        <v>2025</v>
      </c>
      <c r="M565" s="4" t="inlineStr">
        <is>
          <t>registration</t>
        </is>
      </c>
      <c r="N565" s="4" t="inlineStr">
        <is>
          <t>2026-10-22</t>
        </is>
      </c>
      <c r="O565" s="14" t="inlineStr">
        <is>
          <t>pass</t>
        </is>
      </c>
      <c r="P565" s="14" t="inlineStr">
        <is>
          <t>pass</t>
        </is>
      </c>
      <c r="Q565" s="14" t="inlineStr">
        <is>
          <t>pass</t>
        </is>
      </c>
      <c r="R565" s="14" t="inlineStr">
        <is>
          <t>pass</t>
        </is>
      </c>
      <c r="S565" s="18" t="inlineStr">
        <is>
          <t>fail</t>
        </is>
      </c>
      <c r="T565" s="15" t="inlineStr">
        <is>
          <t>n.a.</t>
        </is>
      </c>
      <c r="U565" s="15" t="inlineStr">
        <is>
          <t>n.a.</t>
        </is>
      </c>
      <c r="V565" s="18" t="inlineStr">
        <is>
          <t>fail</t>
        </is>
      </c>
      <c r="W565" s="16" t="inlineStr">
        <is>
          <t>warn</t>
        </is>
      </c>
      <c r="X565" s="14" t="inlineStr">
        <is>
          <t>pass</t>
        </is>
      </c>
      <c r="Y565" s="15" t="inlineStr">
        <is>
          <t>not_checked</t>
        </is>
      </c>
      <c r="Z565" s="15" t="inlineStr">
        <is>
          <t>not_checked</t>
        </is>
      </c>
      <c r="AA565" s="15" t="inlineStr">
        <is>
          <t>not_checked</t>
        </is>
      </c>
      <c r="AB565" s="15" t="inlineStr">
        <is>
          <t>not_checked</t>
        </is>
      </c>
      <c r="AC565" s="15" t="inlineStr">
        <is>
          <t>not_checked</t>
        </is>
      </c>
      <c r="AD565" s="15" t="inlineStr">
        <is>
          <t>not_checked</t>
        </is>
      </c>
      <c r="AE565" s="15" t="inlineStr">
        <is>
          <t>not_checked</t>
        </is>
      </c>
      <c r="AF565" s="15" t="inlineStr">
        <is>
          <t>not_checked</t>
        </is>
      </c>
      <c r="AG565" s="15" t="inlineStr">
        <is>
          <t>not_checked</t>
        </is>
      </c>
      <c r="AH565" s="15" t="inlineStr">
        <is>
          <t>not_checked</t>
        </is>
      </c>
      <c r="AI565" s="15" t="inlineStr">
        <is>
          <t>n.a.</t>
        </is>
      </c>
      <c r="AJ565" s="15" t="inlineStr">
        <is>
          <t>n.a.</t>
        </is>
      </c>
      <c r="AK565" s="4" t="inlineStr">
        <is>
          <t>withdrawn;machine_metadata;persistent_id(warn)</t>
        </is>
      </c>
      <c r="AL565" s="17" t="inlineStr">
        <is>
          <t>https://globaldatalab.org/areadata/</t>
        </is>
      </c>
      <c r="AM565" s="4" t="inlineStr">
        <is>
          <t>global_gdl_area_database</t>
        </is>
      </c>
    </row>
    <row r="566">
      <c r="A566" s="4" t="inlineStr">
        <is>
          <t>German Index of Socioeconomic Deprivation (GISD)</t>
        </is>
      </c>
      <c r="B566" s="18" t="inlineStr">
        <is>
          <t>Failed</t>
        </is>
      </c>
      <c r="C566" s="4" t="n">
        <v>0</v>
      </c>
      <c r="D566" s="4" t="inlineStr">
        <is>
          <t>sdoh</t>
        </is>
      </c>
      <c r="E566" s="4" t="inlineStr">
        <is>
          <t>dead</t>
        </is>
      </c>
      <c r="F566" s="4" t="inlineStr">
        <is>
          <t>not checked</t>
        </is>
      </c>
      <c r="G566" s="4" t="inlineStr">
        <is>
          <t>postcode_small_area</t>
        </is>
      </c>
      <c r="H566" s="4" t="inlineStr">
        <is>
          <t>Joins today</t>
        </is>
      </c>
      <c r="I566" s="4" t="n">
        <v>3</v>
      </c>
      <c r="J566" s="4" t="inlineStr"/>
      <c r="K566" s="4" t="inlineStr">
        <is>
          <t>Curated</t>
        </is>
      </c>
      <c r="L566" s="4" t="n">
        <v>2026</v>
      </c>
      <c r="M566" s="4" t="inlineStr">
        <is>
          <t>open</t>
        </is>
      </c>
      <c r="N566" s="4" t="inlineStr">
        <is>
          <t>2026-10-22</t>
        </is>
      </c>
      <c r="O566" s="18" t="inlineStr">
        <is>
          <t>fail</t>
        </is>
      </c>
      <c r="P566" s="14" t="inlineStr">
        <is>
          <t>pass</t>
        </is>
      </c>
      <c r="Q566" s="14" t="inlineStr">
        <is>
          <t>pass</t>
        </is>
      </c>
      <c r="R566" s="15" t="inlineStr">
        <is>
          <t>n.a.</t>
        </is>
      </c>
      <c r="S566" s="15" t="inlineStr">
        <is>
          <t>n.a.</t>
        </is>
      </c>
      <c r="T566" s="14" t="inlineStr">
        <is>
          <t>pass</t>
        </is>
      </c>
      <c r="U566" s="16" t="inlineStr">
        <is>
          <t>warn</t>
        </is>
      </c>
      <c r="V566" s="15" t="inlineStr">
        <is>
          <t>n.a.</t>
        </is>
      </c>
      <c r="W566" s="15" t="inlineStr">
        <is>
          <t>not_checked</t>
        </is>
      </c>
      <c r="X566" s="18" t="inlineStr">
        <is>
          <t>fail</t>
        </is>
      </c>
      <c r="Y566" s="15" t="inlineStr">
        <is>
          <t>not_checked</t>
        </is>
      </c>
      <c r="Z566" s="15" t="inlineStr">
        <is>
          <t>not_checked</t>
        </is>
      </c>
      <c r="AA566" s="15" t="inlineStr">
        <is>
          <t>not_checked</t>
        </is>
      </c>
      <c r="AB566" s="15" t="inlineStr">
        <is>
          <t>not_checked</t>
        </is>
      </c>
      <c r="AC566" s="15" t="inlineStr">
        <is>
          <t>not_checked</t>
        </is>
      </c>
      <c r="AD566" s="15" t="inlineStr">
        <is>
          <t>not_checked</t>
        </is>
      </c>
      <c r="AE566" s="15" t="inlineStr">
        <is>
          <t>not_checked</t>
        </is>
      </c>
      <c r="AF566" s="15" t="inlineStr">
        <is>
          <t>not_checked</t>
        </is>
      </c>
      <c r="AG566" s="15" t="inlineStr">
        <is>
          <t>not_checked</t>
        </is>
      </c>
      <c r="AH566" s="15" t="inlineStr">
        <is>
          <t>not_checked</t>
        </is>
      </c>
      <c r="AI566" s="15" t="inlineStr">
        <is>
          <t>n.a.</t>
        </is>
      </c>
      <c r="AJ566" s="15" t="inlineStr">
        <is>
          <t>n.a.</t>
        </is>
      </c>
      <c r="AK566" s="4" t="inlineStr">
        <is>
          <t>link_live;archived;format_match(warn)</t>
        </is>
      </c>
      <c r="AL566" s="17" t="inlineStr">
        <is>
          <t>https://www.rki.de/DE/Themen/Gesundheit-und-Gesellschaft/Soziale-Lage/German-Index-of-Socioeconomic-Deprivation/gisd-node.html</t>
        </is>
      </c>
      <c r="AM566" s="4" t="inlineStr">
        <is>
          <t>de_rki_gisd</t>
        </is>
      </c>
    </row>
    <row r="567">
      <c r="A567" s="4" t="inlineStr">
        <is>
          <t>Heat Vulnerability by Census Tract (Philadelphia)</t>
        </is>
      </c>
      <c r="B567" s="18" t="inlineStr">
        <is>
          <t>Failed</t>
        </is>
      </c>
      <c r="C567" s="4" t="n">
        <v>0</v>
      </c>
      <c r="D567" s="4" t="inlineStr">
        <is>
          <t>sdoh</t>
        </is>
      </c>
      <c r="E567" s="4" t="inlineStr">
        <is>
          <t>dead</t>
        </is>
      </c>
      <c r="F567" s="4" t="inlineStr">
        <is>
          <t>not checked</t>
        </is>
      </c>
      <c r="G567" s="4" t="inlineStr">
        <is>
          <t>tract</t>
        </is>
      </c>
      <c r="H567" s="4" t="inlineStr">
        <is>
          <t>Joins today</t>
        </is>
      </c>
      <c r="I567" s="4" t="n">
        <v>3</v>
      </c>
      <c r="J567" s="4" t="inlineStr"/>
      <c r="K567" s="4" t="inlineStr">
        <is>
          <t>Curated</t>
        </is>
      </c>
      <c r="L567" s="4" t="inlineStr"/>
      <c r="M567" s="4" t="inlineStr">
        <is>
          <t>open</t>
        </is>
      </c>
      <c r="N567" s="4" t="inlineStr">
        <is>
          <t>2026-10-22</t>
        </is>
      </c>
      <c r="O567" s="18" t="inlineStr">
        <is>
          <t>fail</t>
        </is>
      </c>
      <c r="P567" s="14" t="inlineStr">
        <is>
          <t>pass</t>
        </is>
      </c>
      <c r="Q567" s="14" t="inlineStr">
        <is>
          <t>pass</t>
        </is>
      </c>
      <c r="R567" s="15" t="inlineStr">
        <is>
          <t>n.a.</t>
        </is>
      </c>
      <c r="S567" s="15" t="inlineStr">
        <is>
          <t>n.a.</t>
        </is>
      </c>
      <c r="T567" s="15" t="inlineStr">
        <is>
          <t>n.a.</t>
        </is>
      </c>
      <c r="U567" s="15" t="inlineStr">
        <is>
          <t>n.a.</t>
        </is>
      </c>
      <c r="V567" s="15" t="inlineStr">
        <is>
          <t>n.a.</t>
        </is>
      </c>
      <c r="W567" s="15" t="inlineStr">
        <is>
          <t>not_checked</t>
        </is>
      </c>
      <c r="X567" s="14" t="inlineStr">
        <is>
          <t>pass</t>
        </is>
      </c>
      <c r="Y567" s="15" t="inlineStr">
        <is>
          <t>not_checked</t>
        </is>
      </c>
      <c r="Z567" s="15" t="inlineStr">
        <is>
          <t>not_checked</t>
        </is>
      </c>
      <c r="AA567" s="15" t="inlineStr">
        <is>
          <t>not_checked</t>
        </is>
      </c>
      <c r="AB567" s="15" t="inlineStr">
        <is>
          <t>not_checked</t>
        </is>
      </c>
      <c r="AC567" s="15" t="inlineStr">
        <is>
          <t>not_checked</t>
        </is>
      </c>
      <c r="AD567" s="15" t="inlineStr">
        <is>
          <t>not_checked</t>
        </is>
      </c>
      <c r="AE567" s="15" t="inlineStr">
        <is>
          <t>not_checked</t>
        </is>
      </c>
      <c r="AF567" s="15" t="inlineStr">
        <is>
          <t>not_checked</t>
        </is>
      </c>
      <c r="AG567" s="15" t="inlineStr">
        <is>
          <t>not_checked</t>
        </is>
      </c>
      <c r="AH567" s="15" t="inlineStr">
        <is>
          <t>not_checked</t>
        </is>
      </c>
      <c r="AI567" s="15" t="inlineStr">
        <is>
          <t>n.a.</t>
        </is>
      </c>
      <c r="AJ567" s="15" t="inlineStr">
        <is>
          <t>n.a.</t>
        </is>
      </c>
      <c r="AK567" s="4" t="inlineStr">
        <is>
          <t>link_live</t>
        </is>
      </c>
      <c r="AL567" s="17" t="inlineStr">
        <is>
          <t>https://catalog.data.gov/dataset/heat-vulnerability-by-census-tract</t>
        </is>
      </c>
      <c r="AM567" s="4" t="inlineStr">
        <is>
          <t>us_philadelphia_heat_vulnerability_by_census_tract</t>
        </is>
      </c>
    </row>
    <row r="568">
      <c r="A568" s="4" t="inlineStr">
        <is>
          <t>Location Affordability Index (LAI) v3</t>
        </is>
      </c>
      <c r="B568" s="18" t="inlineStr">
        <is>
          <t>Failed</t>
        </is>
      </c>
      <c r="C568" s="4" t="n">
        <v>43</v>
      </c>
      <c r="D568" s="4" t="inlineStr">
        <is>
          <t>sdoh</t>
        </is>
      </c>
      <c r="E568" s="4" t="inlineStr">
        <is>
          <t>dead</t>
        </is>
      </c>
      <c r="F568" s="4" t="inlineStr">
        <is>
          <t>public_domain_us_federal</t>
        </is>
      </c>
      <c r="G568" s="4" t="inlineStr">
        <is>
          <t>block_group</t>
        </is>
      </c>
      <c r="H568" s="4" t="inlineStr">
        <is>
          <t>Joins today</t>
        </is>
      </c>
      <c r="I568" s="4" t="n">
        <v>3</v>
      </c>
      <c r="J568" s="4" t="inlineStr"/>
      <c r="K568" s="4" t="inlineStr">
        <is>
          <t>Curated</t>
        </is>
      </c>
      <c r="L568" s="4" t="n">
        <v>2025</v>
      </c>
      <c r="M568" s="4" t="inlineStr">
        <is>
          <t>open</t>
        </is>
      </c>
      <c r="N568" s="4" t="inlineStr">
        <is>
          <t>2026-10-29</t>
        </is>
      </c>
      <c r="O568" s="18" t="inlineStr">
        <is>
          <t>fail</t>
        </is>
      </c>
      <c r="P568" s="14" t="inlineStr">
        <is>
          <t>pass</t>
        </is>
      </c>
      <c r="Q568" s="14" t="inlineStr">
        <is>
          <t>pass</t>
        </is>
      </c>
      <c r="R568" s="15" t="inlineStr">
        <is>
          <t>n.a.</t>
        </is>
      </c>
      <c r="S568" s="15" t="inlineStr">
        <is>
          <t>n.a.</t>
        </is>
      </c>
      <c r="T568" s="14" t="inlineStr">
        <is>
          <t>pass</t>
        </is>
      </c>
      <c r="U568" s="14" t="inlineStr">
        <is>
          <t>pass</t>
        </is>
      </c>
      <c r="V568" s="15" t="inlineStr">
        <is>
          <t>n.a.</t>
        </is>
      </c>
      <c r="W568" s="15" t="inlineStr">
        <is>
          <t>not_checked</t>
        </is>
      </c>
      <c r="X568" s="18" t="inlineStr">
        <is>
          <t>fail</t>
        </is>
      </c>
      <c r="Y568" s="14" t="inlineStr">
        <is>
          <t>pass</t>
        </is>
      </c>
      <c r="Z568" s="15" t="inlineStr">
        <is>
          <t>not_checked</t>
        </is>
      </c>
      <c r="AA568" s="15" t="inlineStr">
        <is>
          <t>not_checked</t>
        </is>
      </c>
      <c r="AB568" s="15" t="inlineStr">
        <is>
          <t>not_checked</t>
        </is>
      </c>
      <c r="AC568" s="15" t="inlineStr">
        <is>
          <t>not_checked</t>
        </is>
      </c>
      <c r="AD568" s="15" t="inlineStr">
        <is>
          <t>not_checked</t>
        </is>
      </c>
      <c r="AE568" s="15" t="inlineStr">
        <is>
          <t>not_checked</t>
        </is>
      </c>
      <c r="AF568" s="15" t="inlineStr">
        <is>
          <t>not_checked</t>
        </is>
      </c>
      <c r="AG568" s="15" t="inlineStr">
        <is>
          <t>not_checked</t>
        </is>
      </c>
      <c r="AH568" s="15" t="inlineStr">
        <is>
          <t>not_checked</t>
        </is>
      </c>
      <c r="AI568" s="15" t="inlineStr">
        <is>
          <t>n.a.</t>
        </is>
      </c>
      <c r="AJ568" s="15" t="inlineStr">
        <is>
          <t>n.a.</t>
        </is>
      </c>
      <c r="AK568" s="4" t="inlineStr">
        <is>
          <t>link_live;archived</t>
        </is>
      </c>
      <c r="AL568" s="17" t="inlineStr">
        <is>
          <t>https://hudgis-hud.opendata.arcgis.com/datasets/b7ffe3607e8c4212bf7cf2428208dbb6</t>
        </is>
      </c>
      <c r="AM568" s="4" t="inlineStr">
        <is>
          <t>us_hud_location_affordability_index</t>
        </is>
      </c>
    </row>
    <row r="569">
      <c r="A569" s="4" t="inlineStr">
        <is>
          <t>National Toxic Substance Incidents Program (NTSIP) public use data</t>
        </is>
      </c>
      <c r="B569" s="18" t="inlineStr">
        <is>
          <t>Failed</t>
        </is>
      </c>
      <c r="C569" s="4" t="n">
        <v>84</v>
      </c>
      <c r="D569" s="4" t="inlineStr">
        <is>
          <t>toxics</t>
        </is>
      </c>
      <c r="E569" s="4" t="inlineStr">
        <is>
          <t>degraded</t>
        </is>
      </c>
      <c r="F569" s="4" t="inlineStr">
        <is>
          <t>public_domain_us_federal</t>
        </is>
      </c>
      <c r="G569" s="4" t="inlineStr">
        <is>
          <t>county</t>
        </is>
      </c>
      <c r="H569" s="4" t="inlineStr">
        <is>
          <t>Joins today</t>
        </is>
      </c>
      <c r="I569" s="4" t="n">
        <v>3</v>
      </c>
      <c r="J569" s="4" t="inlineStr"/>
      <c r="K569" s="4" t="inlineStr">
        <is>
          <t>Curated</t>
        </is>
      </c>
      <c r="L569" s="4" t="n">
        <v>2014</v>
      </c>
      <c r="M569" s="4" t="inlineStr">
        <is>
          <t>open</t>
        </is>
      </c>
      <c r="N569" s="4" t="inlineStr">
        <is>
          <t>2026-10-29</t>
        </is>
      </c>
      <c r="O569" s="14" t="inlineStr">
        <is>
          <t>pass</t>
        </is>
      </c>
      <c r="P569" s="14" t="inlineStr">
        <is>
          <t>pass</t>
        </is>
      </c>
      <c r="Q569" s="14" t="inlineStr">
        <is>
          <t>pass</t>
        </is>
      </c>
      <c r="R569" s="16" t="inlineStr">
        <is>
          <t>warn</t>
        </is>
      </c>
      <c r="S569" s="14" t="inlineStr">
        <is>
          <t>pass</t>
        </is>
      </c>
      <c r="T569" s="14" t="inlineStr">
        <is>
          <t>pass</t>
        </is>
      </c>
      <c r="U569" s="16" t="inlineStr">
        <is>
          <t>warn</t>
        </is>
      </c>
      <c r="V569" s="18" t="inlineStr">
        <is>
          <t>fail</t>
        </is>
      </c>
      <c r="W569" s="16" t="inlineStr">
        <is>
          <t>warn</t>
        </is>
      </c>
      <c r="X569" s="16" t="inlineStr">
        <is>
          <t>warn</t>
        </is>
      </c>
      <c r="Y569" s="14" t="inlineStr">
        <is>
          <t>pass</t>
        </is>
      </c>
      <c r="Z569" s="14" t="inlineStr">
        <is>
          <t>pass</t>
        </is>
      </c>
      <c r="AA569" s="18" t="inlineStr">
        <is>
          <t>fail</t>
        </is>
      </c>
      <c r="AB569" s="14" t="inlineStr">
        <is>
          <t>pass</t>
        </is>
      </c>
      <c r="AC569" s="14" t="inlineStr">
        <is>
          <t>pass</t>
        </is>
      </c>
      <c r="AD569" s="14" t="inlineStr">
        <is>
          <t>pass</t>
        </is>
      </c>
      <c r="AE569" s="16" t="inlineStr">
        <is>
          <t>warn</t>
        </is>
      </c>
      <c r="AF569" s="14" t="inlineStr">
        <is>
          <t>pass</t>
        </is>
      </c>
      <c r="AG569" s="14" t="inlineStr">
        <is>
          <t>pass</t>
        </is>
      </c>
      <c r="AH569" s="14" t="inlineStr">
        <is>
          <t>pass</t>
        </is>
      </c>
      <c r="AI569" s="15" t="inlineStr">
        <is>
          <t>n.a.</t>
        </is>
      </c>
      <c r="AJ569" s="15" t="inlineStr">
        <is>
          <t>n.a.</t>
        </is>
      </c>
      <c r="AK569" s="4" t="inlineStr">
        <is>
          <t>machine_metadata;recency;soft404(warn);format_match(warn);persistent_id(warn);archived(warn);coverage(warn)</t>
        </is>
      </c>
      <c r="AL569" s="17" t="inlineStr">
        <is>
          <t>https://www.atsdr.cdc.gov/ntsip/docs/2014DictionaryWEB.docx</t>
        </is>
      </c>
      <c r="AM569" s="4" t="inlineStr">
        <is>
          <t>us_atsdr_ntsip</t>
        </is>
      </c>
    </row>
    <row r="570">
      <c r="A570" s="4" t="inlineStr">
        <is>
          <t>NPL Superfund Site Boundaries (EPA)</t>
        </is>
      </c>
      <c r="B570" s="18" t="inlineStr">
        <is>
          <t>Failed</t>
        </is>
      </c>
      <c r="C570" s="4" t="n">
        <v>43</v>
      </c>
      <c r="D570" s="4" t="inlineStr">
        <is>
          <t>toxics</t>
        </is>
      </c>
      <c r="E570" s="4" t="inlineStr">
        <is>
          <t>dead</t>
        </is>
      </c>
      <c r="F570" s="4" t="inlineStr">
        <is>
          <t>public_domain_us_federal</t>
        </is>
      </c>
      <c r="G570" s="4" t="inlineStr">
        <is>
          <t>point</t>
        </is>
      </c>
      <c r="H570" s="4" t="inlineStr">
        <is>
          <t>Needs a count/distance step</t>
        </is>
      </c>
      <c r="I570" s="4" t="n">
        <v>3</v>
      </c>
      <c r="J570" s="4" t="inlineStr"/>
      <c r="K570" s="4" t="inlineStr">
        <is>
          <t>Curated</t>
        </is>
      </c>
      <c r="L570" s="4" t="inlineStr">
        <is>
          <t>current</t>
        </is>
      </c>
      <c r="M570" s="4" t="inlineStr">
        <is>
          <t>open</t>
        </is>
      </c>
      <c r="N570" s="4" t="inlineStr">
        <is>
          <t>2026-10-29</t>
        </is>
      </c>
      <c r="O570" s="18" t="inlineStr">
        <is>
          <t>fail</t>
        </is>
      </c>
      <c r="P570" s="14" t="inlineStr">
        <is>
          <t>pass</t>
        </is>
      </c>
      <c r="Q570" s="14" t="inlineStr">
        <is>
          <t>pass</t>
        </is>
      </c>
      <c r="R570" s="15" t="inlineStr">
        <is>
          <t>n.a.</t>
        </is>
      </c>
      <c r="S570" s="15" t="inlineStr">
        <is>
          <t>n.a.</t>
        </is>
      </c>
      <c r="T570" s="18" t="inlineStr">
        <is>
          <t>fail</t>
        </is>
      </c>
      <c r="U570" s="15" t="inlineStr">
        <is>
          <t>n.a.</t>
        </is>
      </c>
      <c r="V570" s="15" t="inlineStr">
        <is>
          <t>n.a.</t>
        </is>
      </c>
      <c r="W570" s="15" t="inlineStr">
        <is>
          <t>not_checked</t>
        </is>
      </c>
      <c r="X570" s="14" t="inlineStr">
        <is>
          <t>pass</t>
        </is>
      </c>
      <c r="Y570" s="14" t="inlineStr">
        <is>
          <t>pass</t>
        </is>
      </c>
      <c r="Z570" s="15" t="inlineStr">
        <is>
          <t>not_checked</t>
        </is>
      </c>
      <c r="AA570" s="15" t="inlineStr">
        <is>
          <t>not_checked</t>
        </is>
      </c>
      <c r="AB570" s="15" t="inlineStr">
        <is>
          <t>not_checked</t>
        </is>
      </c>
      <c r="AC570" s="15" t="inlineStr">
        <is>
          <t>not_checked</t>
        </is>
      </c>
      <c r="AD570" s="15" t="inlineStr">
        <is>
          <t>not_checked</t>
        </is>
      </c>
      <c r="AE570" s="15" t="inlineStr">
        <is>
          <t>not_checked</t>
        </is>
      </c>
      <c r="AF570" s="15" t="inlineStr">
        <is>
          <t>not_checked</t>
        </is>
      </c>
      <c r="AG570" s="15" t="inlineStr">
        <is>
          <t>not_checked</t>
        </is>
      </c>
      <c r="AH570" s="15" t="inlineStr">
        <is>
          <t>not_checked</t>
        </is>
      </c>
      <c r="AI570" s="15" t="inlineStr">
        <is>
          <t>n.a.</t>
        </is>
      </c>
      <c r="AJ570" s="15" t="inlineStr">
        <is>
          <t>n.a.</t>
        </is>
      </c>
      <c r="AK570" s="4" t="inlineStr">
        <is>
          <t>link_live;access_url</t>
        </is>
      </c>
      <c r="AL570" s="17" t="inlineStr">
        <is>
          <t>https://catalog.data.gov/dataset/npl-superfund-site-boundaries-epa</t>
        </is>
      </c>
      <c r="AM570" s="4" t="inlineStr">
        <is>
          <t>us_epa_npl_site_boundaries</t>
        </is>
      </c>
    </row>
    <row r="571">
      <c r="A571" s="4" t="inlineStr">
        <is>
          <t>Pure Earth / UNICEF lead exposure and toxic sites data (Toxic Sites Identification Program; 'The Toxic Truth' blood lead estimates)</t>
        </is>
      </c>
      <c r="B571" s="18" t="inlineStr">
        <is>
          <t>Failed</t>
        </is>
      </c>
      <c r="C571" s="4" t="n">
        <v>0</v>
      </c>
      <c r="D571" s="4" t="inlineStr">
        <is>
          <t>toxics</t>
        </is>
      </c>
      <c r="E571" s="4" t="inlineStr">
        <is>
          <t>dead</t>
        </is>
      </c>
      <c r="F571" s="4" t="inlineStr">
        <is>
          <t>not checked</t>
        </is>
      </c>
      <c r="G571" s="4" t="inlineStr">
        <is>
          <t>point</t>
        </is>
      </c>
      <c r="H571" s="4" t="inlineStr">
        <is>
          <t>Needs a count/distance step</t>
        </is>
      </c>
      <c r="I571" s="4" t="n">
        <v>3</v>
      </c>
      <c r="J571" s="4" t="inlineStr"/>
      <c r="K571" s="4" t="inlineStr">
        <is>
          <t>Curated</t>
        </is>
      </c>
      <c r="L571" s="4" t="inlineStr">
        <is>
          <t>current</t>
        </is>
      </c>
      <c r="M571" s="4" t="inlineStr">
        <is>
          <t>restricted</t>
        </is>
      </c>
      <c r="N571" s="4" t="inlineStr">
        <is>
          <t>2026-10-22</t>
        </is>
      </c>
      <c r="O571" s="18" t="inlineStr">
        <is>
          <t>fail</t>
        </is>
      </c>
      <c r="P571" s="14" t="inlineStr">
        <is>
          <t>pass</t>
        </is>
      </c>
      <c r="Q571" s="14" t="inlineStr">
        <is>
          <t>pass</t>
        </is>
      </c>
      <c r="R571" s="15" t="inlineStr">
        <is>
          <t>n.a.</t>
        </is>
      </c>
      <c r="S571" s="15" t="inlineStr">
        <is>
          <t>n.a.</t>
        </is>
      </c>
      <c r="T571" s="18" t="inlineStr">
        <is>
          <t>fail</t>
        </is>
      </c>
      <c r="U571" s="15" t="inlineStr">
        <is>
          <t>n.a.</t>
        </is>
      </c>
      <c r="V571" s="15" t="inlineStr">
        <is>
          <t>n.a.</t>
        </is>
      </c>
      <c r="W571" s="15" t="inlineStr">
        <is>
          <t>not_checked</t>
        </is>
      </c>
      <c r="X571" s="18" t="inlineStr">
        <is>
          <t>fail</t>
        </is>
      </c>
      <c r="Y571" s="15" t="inlineStr">
        <is>
          <t>not_checked</t>
        </is>
      </c>
      <c r="Z571" s="15" t="inlineStr">
        <is>
          <t>not_checked</t>
        </is>
      </c>
      <c r="AA571" s="15" t="inlineStr">
        <is>
          <t>not_checked</t>
        </is>
      </c>
      <c r="AB571" s="15" t="inlineStr">
        <is>
          <t>not_checked</t>
        </is>
      </c>
      <c r="AC571" s="15" t="inlineStr">
        <is>
          <t>not_checked</t>
        </is>
      </c>
      <c r="AD571" s="15" t="inlineStr">
        <is>
          <t>not_checked</t>
        </is>
      </c>
      <c r="AE571" s="15" t="inlineStr">
        <is>
          <t>not_checked</t>
        </is>
      </c>
      <c r="AF571" s="15" t="inlineStr">
        <is>
          <t>not_checked</t>
        </is>
      </c>
      <c r="AG571" s="15" t="inlineStr">
        <is>
          <t>not_checked</t>
        </is>
      </c>
      <c r="AH571" s="15" t="inlineStr">
        <is>
          <t>not_checked</t>
        </is>
      </c>
      <c r="AI571" s="15" t="inlineStr">
        <is>
          <t>n.a.</t>
        </is>
      </c>
      <c r="AJ571" s="15" t="inlineStr">
        <is>
          <t>n.a.</t>
        </is>
      </c>
      <c r="AK571" s="4" t="inlineStr">
        <is>
          <t>link_live;access_url;archived</t>
        </is>
      </c>
      <c r="AL571" s="17" t="inlineStr">
        <is>
          <t>https://www.pureearth.org/lead-pollution-map/</t>
        </is>
      </c>
      <c r="AM571" s="4" t="inlineStr">
        <is>
          <t>global_pure_earth_lead_pollution</t>
        </is>
      </c>
    </row>
    <row r="572">
      <c r="A572" s="4" t="inlineStr">
        <is>
          <t>US Nuclear Power Plants</t>
        </is>
      </c>
      <c r="B572" s="18" t="inlineStr">
        <is>
          <t>Failed</t>
        </is>
      </c>
      <c r="C572" s="4" t="n">
        <v>43</v>
      </c>
      <c r="D572" s="4" t="inlineStr">
        <is>
          <t>toxics</t>
        </is>
      </c>
      <c r="E572" s="4" t="inlineStr">
        <is>
          <t>dead</t>
        </is>
      </c>
      <c r="F572" s="4" t="inlineStr">
        <is>
          <t>public_domain_us_federal</t>
        </is>
      </c>
      <c r="G572" s="4" t="inlineStr">
        <is>
          <t>unknown</t>
        </is>
      </c>
      <c r="H572" s="4" t="inlineStr">
        <is>
          <t>Unknown</t>
        </is>
      </c>
      <c r="I572" s="4" t="n">
        <v>3</v>
      </c>
      <c r="J572" s="4" t="inlineStr">
        <is>
          <t>us_nuclear_power_plants</t>
        </is>
      </c>
      <c r="K572" s="4" t="inlineStr">
        <is>
          <t>Curated</t>
        </is>
      </c>
      <c r="L572" s="4" t="inlineStr"/>
      <c r="M572" s="4" t="inlineStr">
        <is>
          <t>unknown</t>
        </is>
      </c>
      <c r="N572" s="4" t="inlineStr">
        <is>
          <t>2026-10-29</t>
        </is>
      </c>
      <c r="O572" s="18" t="inlineStr">
        <is>
          <t>fail</t>
        </is>
      </c>
      <c r="P572" s="14" t="inlineStr">
        <is>
          <t>pass</t>
        </is>
      </c>
      <c r="Q572" s="14" t="inlineStr">
        <is>
          <t>pass</t>
        </is>
      </c>
      <c r="R572" s="15" t="inlineStr">
        <is>
          <t>n.a.</t>
        </is>
      </c>
      <c r="S572" s="15" t="inlineStr">
        <is>
          <t>n.a.</t>
        </is>
      </c>
      <c r="T572" s="14" t="inlineStr">
        <is>
          <t>pass</t>
        </is>
      </c>
      <c r="U572" s="14" t="inlineStr">
        <is>
          <t>pass</t>
        </is>
      </c>
      <c r="V572" s="15" t="inlineStr">
        <is>
          <t>n.a.</t>
        </is>
      </c>
      <c r="W572" s="15" t="inlineStr">
        <is>
          <t>not_checked</t>
        </is>
      </c>
      <c r="X572" s="14" t="inlineStr">
        <is>
          <t>pass</t>
        </is>
      </c>
      <c r="Y572" s="14" t="inlineStr">
        <is>
          <t>pass</t>
        </is>
      </c>
      <c r="Z572" s="15" t="inlineStr">
        <is>
          <t>not_checked</t>
        </is>
      </c>
      <c r="AA572" s="15" t="inlineStr">
        <is>
          <t>not_checked</t>
        </is>
      </c>
      <c r="AB572" s="15" t="inlineStr">
        <is>
          <t>not_checked</t>
        </is>
      </c>
      <c r="AC572" s="15" t="inlineStr">
        <is>
          <t>not_checked</t>
        </is>
      </c>
      <c r="AD572" s="15" t="inlineStr">
        <is>
          <t>not_checked</t>
        </is>
      </c>
      <c r="AE572" s="15" t="inlineStr">
        <is>
          <t>not_checked</t>
        </is>
      </c>
      <c r="AF572" s="15" t="inlineStr">
        <is>
          <t>not_checked</t>
        </is>
      </c>
      <c r="AG572" s="15" t="inlineStr">
        <is>
          <t>not_checked</t>
        </is>
      </c>
      <c r="AH572" s="15" t="inlineStr">
        <is>
          <t>not_checked</t>
        </is>
      </c>
      <c r="AI572" s="14" t="inlineStr">
        <is>
          <t>pass</t>
        </is>
      </c>
      <c r="AJ572" s="15" t="inlineStr">
        <is>
          <t>not_checked</t>
        </is>
      </c>
      <c r="AK572" s="4" t="inlineStr">
        <is>
          <t>link_live</t>
        </is>
      </c>
      <c r="AL572" s="17" t="inlineStr">
        <is>
          <t>https://atlas.eia.gov/datasets/eia::nuclear/about</t>
        </is>
      </c>
      <c r="AM572" s="4" t="inlineStr">
        <is>
          <t>gaia_us_nuclear_power_plants</t>
        </is>
      </c>
    </row>
    <row r="573">
      <c r="A573" s="4" t="inlineStr">
        <is>
          <t>Census Multidimensional Deprivation Index (experimental; SEHSD WP2021-03)</t>
        </is>
      </c>
      <c r="B573" s="20" t="inlineStr">
        <is>
          <t>Bronze</t>
        </is>
      </c>
      <c r="C573" s="4" t="n">
        <v>67</v>
      </c>
      <c r="D573" s="4" t="inlineStr">
        <is>
          <t>socioeconomic</t>
        </is>
      </c>
      <c r="E573" s="4" t="inlineStr">
        <is>
          <t>healthy</t>
        </is>
      </c>
      <c r="F573" s="4" t="inlineStr">
        <is>
          <t>public_domain_us_federal</t>
        </is>
      </c>
      <c r="G573" s="4" t="inlineStr">
        <is>
          <t>state</t>
        </is>
      </c>
      <c r="H573" s="4" t="inlineStr">
        <is>
          <t>Unknown</t>
        </is>
      </c>
      <c r="I573" s="4" t="n">
        <v>2</v>
      </c>
      <c r="J573" s="4" t="inlineStr"/>
      <c r="K573" s="4" t="inlineStr">
        <is>
          <t>Catalog lead</t>
        </is>
      </c>
      <c r="L573" s="4" t="n">
        <v>2017</v>
      </c>
      <c r="M573" s="4" t="inlineStr">
        <is>
          <t>open</t>
        </is>
      </c>
      <c r="N573" s="4" t="inlineStr">
        <is>
          <t>2026-10-29</t>
        </is>
      </c>
      <c r="O573" s="14" t="inlineStr">
        <is>
          <t>pass</t>
        </is>
      </c>
      <c r="P573" s="15" t="inlineStr">
        <is>
          <t>not_checked</t>
        </is>
      </c>
      <c r="Q573" s="15" t="inlineStr">
        <is>
          <t>not_checked</t>
        </is>
      </c>
      <c r="R573" s="14" t="inlineStr">
        <is>
          <t>pass</t>
        </is>
      </c>
      <c r="S573" s="14" t="inlineStr">
        <is>
          <t>pass</t>
        </is>
      </c>
      <c r="T573" s="15" t="inlineStr">
        <is>
          <t>not_checked</t>
        </is>
      </c>
      <c r="U573" s="15" t="inlineStr">
        <is>
          <t>not_checked</t>
        </is>
      </c>
      <c r="V573" s="15" t="inlineStr">
        <is>
          <t>not_checked</t>
        </is>
      </c>
      <c r="W573" s="15" t="inlineStr">
        <is>
          <t>not_checked</t>
        </is>
      </c>
      <c r="X573" s="15" t="inlineStr">
        <is>
          <t>not_checked</t>
        </is>
      </c>
      <c r="Y573" s="14" t="inlineStr">
        <is>
          <t>pass</t>
        </is>
      </c>
      <c r="Z573" s="16" t="inlineStr">
        <is>
          <t>warn</t>
        </is>
      </c>
      <c r="AA573" s="16" t="inlineStr">
        <is>
          <t>warn</t>
        </is>
      </c>
      <c r="AB573" s="15" t="inlineStr">
        <is>
          <t>not_checked</t>
        </is>
      </c>
      <c r="AC573" s="16" t="inlineStr">
        <is>
          <t>warn</t>
        </is>
      </c>
      <c r="AD573" s="16" t="inlineStr">
        <is>
          <t>warn</t>
        </is>
      </c>
      <c r="AE573" s="14" t="inlineStr">
        <is>
          <t>pass</t>
        </is>
      </c>
      <c r="AF573" s="18" t="inlineStr">
        <is>
          <t>fail</t>
        </is>
      </c>
      <c r="AG573" s="18" t="inlineStr">
        <is>
          <t>fail</t>
        </is>
      </c>
      <c r="AH573" s="18" t="inlineStr">
        <is>
          <t>fail</t>
        </is>
      </c>
      <c r="AI573" s="15" t="inlineStr">
        <is>
          <t>n.a.</t>
        </is>
      </c>
      <c r="AJ573" s="15" t="inlineStr">
        <is>
          <t>n.a.</t>
        </is>
      </c>
      <c r="AK573" s="4" t="inlineStr">
        <is>
          <t>access;join_key;format_gaia;temporal(warn);recency(warn);version(warn);unit(warn)</t>
        </is>
      </c>
      <c r="AL573" s="17" t="inlineStr">
        <is>
          <t>https://www.census.gov/library/working-papers/2021/demo/SEHSD-WP2021-03.html</t>
        </is>
      </c>
      <c r="AM573" s="4" t="inlineStr">
        <is>
          <t>us_census_mdi</t>
        </is>
      </c>
    </row>
    <row r="574">
      <c r="A574" s="4" t="inlineStr">
        <is>
          <t>Cyanobacteria Assessment Network (CyAN): Cyanobacteria Index satellite products</t>
        </is>
      </c>
      <c r="B574" s="19" t="inlineStr">
        <is>
          <t>Silver</t>
        </is>
      </c>
      <c r="C574" s="4" t="n">
        <v>90</v>
      </c>
      <c r="D574" s="4" t="inlineStr">
        <is>
          <t>water</t>
        </is>
      </c>
      <c r="E574" s="4" t="inlineStr">
        <is>
          <t>healthy</t>
        </is>
      </c>
      <c r="F574" s="4" t="inlineStr">
        <is>
          <t>public_domain_us_federal</t>
        </is>
      </c>
      <c r="G574" s="4" t="inlineStr">
        <is>
          <t>grid_300m</t>
        </is>
      </c>
      <c r="H574" s="4" t="inlineStr">
        <is>
          <t>Needs raster support</t>
        </is>
      </c>
      <c r="I574" s="4" t="n">
        <v>2</v>
      </c>
      <c r="J574" s="4" t="inlineStr"/>
      <c r="K574" s="4" t="inlineStr">
        <is>
          <t>Catalog lead</t>
        </is>
      </c>
      <c r="L574" s="4" t="n">
        <v>2026</v>
      </c>
      <c r="M574" s="4" t="inlineStr">
        <is>
          <t>open</t>
        </is>
      </c>
      <c r="N574" s="4" t="inlineStr">
        <is>
          <t>2026-10-29</t>
        </is>
      </c>
      <c r="O574" s="14" t="inlineStr">
        <is>
          <t>pass</t>
        </is>
      </c>
      <c r="P574" s="15" t="inlineStr">
        <is>
          <t>not_checked</t>
        </is>
      </c>
      <c r="Q574" s="15" t="inlineStr">
        <is>
          <t>not_checked</t>
        </is>
      </c>
      <c r="R574" s="14" t="inlineStr">
        <is>
          <t>pass</t>
        </is>
      </c>
      <c r="S574" s="14" t="inlineStr">
        <is>
          <t>pass</t>
        </is>
      </c>
      <c r="T574" s="15" t="inlineStr">
        <is>
          <t>not_checked</t>
        </is>
      </c>
      <c r="U574" s="15" t="inlineStr">
        <is>
          <t>not_checked</t>
        </is>
      </c>
      <c r="V574" s="15" t="inlineStr">
        <is>
          <t>not_checked</t>
        </is>
      </c>
      <c r="W574" s="15" t="inlineStr">
        <is>
          <t>not_checked</t>
        </is>
      </c>
      <c r="X574" s="15" t="inlineStr">
        <is>
          <t>not_checked</t>
        </is>
      </c>
      <c r="Y574" s="14" t="inlineStr">
        <is>
          <t>pass</t>
        </is>
      </c>
      <c r="Z574" s="14" t="inlineStr">
        <is>
          <t>pass</t>
        </is>
      </c>
      <c r="AA574" s="14" t="inlineStr">
        <is>
          <t>pass</t>
        </is>
      </c>
      <c r="AB574" s="16" t="inlineStr">
        <is>
          <t>warn</t>
        </is>
      </c>
      <c r="AC574" s="14" t="inlineStr">
        <is>
          <t>pass</t>
        </is>
      </c>
      <c r="AD574" s="14" t="inlineStr">
        <is>
          <t>pass</t>
        </is>
      </c>
      <c r="AE574" s="14" t="inlineStr">
        <is>
          <t>pass</t>
        </is>
      </c>
      <c r="AF574" s="16" t="inlineStr">
        <is>
          <t>warn</t>
        </is>
      </c>
      <c r="AG574" s="16" t="inlineStr">
        <is>
          <t>warn</t>
        </is>
      </c>
      <c r="AH574" s="14" t="inlineStr">
        <is>
          <t>pass</t>
        </is>
      </c>
      <c r="AI574" s="15" t="inlineStr">
        <is>
          <t>n.a.</t>
        </is>
      </c>
      <c r="AJ574" s="15" t="inlineStr">
        <is>
          <t>n.a.</t>
        </is>
      </c>
      <c r="AK574" s="4" t="inlineStr">
        <is>
          <t>cadence(warn);access(warn);join_key(warn)</t>
        </is>
      </c>
      <c r="AL574" s="17" t="inlineStr">
        <is>
          <t>https://www.earthdata.nasa.gov/data/projects/cyan</t>
        </is>
      </c>
      <c r="AM574" s="4" t="inlineStr">
        <is>
          <t>global_nasa_cyan</t>
        </is>
      </c>
    </row>
    <row r="575">
      <c r="A575" s="4" t="inlineStr">
        <is>
          <t>DIVA-GIS country-level spatial data (administrative areas, water, roads, elevation, land cover, population, climate)</t>
        </is>
      </c>
      <c r="B575" s="20" t="inlineStr">
        <is>
          <t>Bronze</t>
        </is>
      </c>
      <c r="C575" s="4" t="n">
        <v>75</v>
      </c>
      <c r="D575" s="4" t="inlineStr">
        <is>
          <t>boundaries</t>
        </is>
      </c>
      <c r="E575" s="4" t="inlineStr">
        <is>
          <t>healthy</t>
        </is>
      </c>
      <c r="F575" s="4" t="inlineStr">
        <is>
          <t>non-commercial</t>
        </is>
      </c>
      <c r="G575" s="4" t="inlineStr">
        <is>
          <t>admin (varies by country)</t>
        </is>
      </c>
      <c r="H575" s="4" t="inlineStr">
        <is>
          <t>Joins today</t>
        </is>
      </c>
      <c r="I575" s="4" t="n">
        <v>1</v>
      </c>
      <c r="J575" s="4" t="inlineStr"/>
      <c r="K575" s="4" t="inlineStr">
        <is>
          <t>Catalog lead</t>
        </is>
      </c>
      <c r="L575" s="4" t="inlineStr"/>
      <c r="M575" s="4" t="inlineStr">
        <is>
          <t>open</t>
        </is>
      </c>
      <c r="N575" s="4" t="inlineStr">
        <is>
          <t>2026-10-29</t>
        </is>
      </c>
      <c r="O575" s="14" t="inlineStr">
        <is>
          <t>pass</t>
        </is>
      </c>
      <c r="P575" s="15" t="inlineStr">
        <is>
          <t>not_checked</t>
        </is>
      </c>
      <c r="Q575" s="15" t="inlineStr">
        <is>
          <t>not_checked</t>
        </is>
      </c>
      <c r="R575" s="14" t="inlineStr">
        <is>
          <t>pass</t>
        </is>
      </c>
      <c r="S575" s="14" t="inlineStr">
        <is>
          <t>pass</t>
        </is>
      </c>
      <c r="T575" s="15" t="inlineStr">
        <is>
          <t>not_checked</t>
        </is>
      </c>
      <c r="U575" s="15" t="inlineStr">
        <is>
          <t>not_checked</t>
        </is>
      </c>
      <c r="V575" s="15" t="inlineStr">
        <is>
          <t>not_checked</t>
        </is>
      </c>
      <c r="W575" s="15" t="inlineStr">
        <is>
          <t>not_checked</t>
        </is>
      </c>
      <c r="X575" s="15" t="inlineStr">
        <is>
          <t>not_checked</t>
        </is>
      </c>
      <c r="Y575" s="18" t="inlineStr">
        <is>
          <t>fail</t>
        </is>
      </c>
      <c r="Z575" s="15" t="inlineStr">
        <is>
          <t>not_checked</t>
        </is>
      </c>
      <c r="AA575" s="15" t="inlineStr">
        <is>
          <t>not_checked</t>
        </is>
      </c>
      <c r="AB575" s="15" t="inlineStr">
        <is>
          <t>not_checked</t>
        </is>
      </c>
      <c r="AC575" s="15" t="inlineStr">
        <is>
          <t>not_checked</t>
        </is>
      </c>
      <c r="AD575" s="16" t="inlineStr">
        <is>
          <t>warn</t>
        </is>
      </c>
      <c r="AE575" s="14" t="inlineStr">
        <is>
          <t>pass</t>
        </is>
      </c>
      <c r="AF575" s="14" t="inlineStr">
        <is>
          <t>pass</t>
        </is>
      </c>
      <c r="AG575" s="14" t="inlineStr">
        <is>
          <t>pass</t>
        </is>
      </c>
      <c r="AH575" s="14" t="inlineStr">
        <is>
          <t>pass</t>
        </is>
      </c>
      <c r="AI575" s="15" t="inlineStr">
        <is>
          <t>n.a.</t>
        </is>
      </c>
      <c r="AJ575" s="15" t="inlineStr">
        <is>
          <t>n.a.</t>
        </is>
      </c>
      <c r="AK575" s="4" t="inlineStr">
        <is>
          <t>license;unit(warn)</t>
        </is>
      </c>
      <c r="AL575" s="17" t="inlineStr">
        <is>
          <t>https://diva-gis.org/data.html</t>
        </is>
      </c>
      <c r="AM575" s="4" t="inlineStr">
        <is>
          <t>global_diva_gis</t>
        </is>
      </c>
    </row>
    <row r="576">
      <c r="A576" s="4" t="inlineStr">
        <is>
          <t>EPA AirData: AQS site listing (aqs_sites.zip) and monitor listing (aqs_monitors.zip)</t>
        </is>
      </c>
      <c r="B576" s="19" t="inlineStr">
        <is>
          <t>Silver</t>
        </is>
      </c>
      <c r="C576" s="4" t="n">
        <v>86</v>
      </c>
      <c r="D576" s="4" t="inlineStr">
        <is>
          <t>air quality</t>
        </is>
      </c>
      <c r="E576" s="4" t="inlineStr">
        <is>
          <t>healthy</t>
        </is>
      </c>
      <c r="F576" s="4" t="inlineStr">
        <is>
          <t>public_domain_us_federal</t>
        </is>
      </c>
      <c r="G576" s="4" t="inlineStr">
        <is>
          <t>point</t>
        </is>
      </c>
      <c r="H576" s="4" t="inlineStr">
        <is>
          <t>Joins today</t>
        </is>
      </c>
      <c r="I576" s="4" t="n">
        <v>3</v>
      </c>
      <c r="J576" s="4" t="inlineStr"/>
      <c r="K576" s="4" t="inlineStr">
        <is>
          <t>Catalog lead</t>
        </is>
      </c>
      <c r="L576" s="4" t="inlineStr"/>
      <c r="M576" s="4" t="inlineStr">
        <is>
          <t>open</t>
        </is>
      </c>
      <c r="N576" s="4" t="inlineStr">
        <is>
          <t>2026-10-29</t>
        </is>
      </c>
      <c r="O576" s="14" t="inlineStr">
        <is>
          <t>pass</t>
        </is>
      </c>
      <c r="P576" s="15" t="inlineStr">
        <is>
          <t>not_checked</t>
        </is>
      </c>
      <c r="Q576" s="15" t="inlineStr">
        <is>
          <t>not_checked</t>
        </is>
      </c>
      <c r="R576" s="14" t="inlineStr">
        <is>
          <t>pass</t>
        </is>
      </c>
      <c r="S576" s="14" t="inlineStr">
        <is>
          <t>pass</t>
        </is>
      </c>
      <c r="T576" s="15" t="inlineStr">
        <is>
          <t>not_checked</t>
        </is>
      </c>
      <c r="U576" s="15" t="inlineStr">
        <is>
          <t>not_checked</t>
        </is>
      </c>
      <c r="V576" s="15" t="inlineStr">
        <is>
          <t>not_checked</t>
        </is>
      </c>
      <c r="W576" s="15" t="inlineStr">
        <is>
          <t>not_checked</t>
        </is>
      </c>
      <c r="X576" s="15" t="inlineStr">
        <is>
          <t>not_checked</t>
        </is>
      </c>
      <c r="Y576" s="14" t="inlineStr">
        <is>
          <t>pass</t>
        </is>
      </c>
      <c r="Z576" s="15" t="inlineStr">
        <is>
          <t>not_checked</t>
        </is>
      </c>
      <c r="AA576" s="15" t="inlineStr">
        <is>
          <t>not_checked</t>
        </is>
      </c>
      <c r="AB576" s="14" t="inlineStr">
        <is>
          <t>pass</t>
        </is>
      </c>
      <c r="AC576" s="15" t="inlineStr">
        <is>
          <t>not_checked</t>
        </is>
      </c>
      <c r="AD576" s="16" t="inlineStr">
        <is>
          <t>warn</t>
        </is>
      </c>
      <c r="AE576" s="16" t="inlineStr">
        <is>
          <t>warn</t>
        </is>
      </c>
      <c r="AF576" s="14" t="inlineStr">
        <is>
          <t>pass</t>
        </is>
      </c>
      <c r="AG576" s="16" t="inlineStr">
        <is>
          <t>warn</t>
        </is>
      </c>
      <c r="AH576" s="14" t="inlineStr">
        <is>
          <t>pass</t>
        </is>
      </c>
      <c r="AI576" s="15" t="inlineStr">
        <is>
          <t>n.a.</t>
        </is>
      </c>
      <c r="AJ576" s="15" t="inlineStr">
        <is>
          <t>n.a.</t>
        </is>
      </c>
      <c r="AK576" s="4" t="inlineStr">
        <is>
          <t>unit(warn);coverage(warn);join_key(warn)</t>
        </is>
      </c>
      <c r="AL576" s="17" t="inlineStr">
        <is>
          <t>https://aqs.epa.gov/aqsweb/airdata/download_files.html</t>
        </is>
      </c>
      <c r="AM576" s="4" t="inlineStr">
        <is>
          <t>us_epa_aqs_sites_monitors</t>
        </is>
      </c>
    </row>
    <row r="577">
      <c r="A577" s="4" t="inlineStr">
        <is>
          <t>EPA UCMR 3 (2013-2015) occurrence data</t>
        </is>
      </c>
      <c r="B577" s="19" t="inlineStr">
        <is>
          <t>Silver</t>
        </is>
      </c>
      <c r="C577" s="4" t="n">
        <v>85</v>
      </c>
      <c r="D577" s="4" t="inlineStr">
        <is>
          <t>water</t>
        </is>
      </c>
      <c r="E577" s="4" t="inlineStr">
        <is>
          <t>healthy</t>
        </is>
      </c>
      <c r="F577" s="4" t="inlineStr">
        <is>
          <t>public_domain_us_federal</t>
        </is>
      </c>
      <c r="G577" s="4" t="inlineStr">
        <is>
          <t>pws (water system)</t>
        </is>
      </c>
      <c r="H577" s="4" t="inlineStr">
        <is>
          <t>Needs a count/distance step</t>
        </is>
      </c>
      <c r="I577" s="4" t="n">
        <v>3</v>
      </c>
      <c r="J577" s="4" t="inlineStr"/>
      <c r="K577" s="4" t="inlineStr">
        <is>
          <t>Catalog lead</t>
        </is>
      </c>
      <c r="L577" s="4" t="n">
        <v>2015</v>
      </c>
      <c r="M577" s="4" t="inlineStr">
        <is>
          <t>open</t>
        </is>
      </c>
      <c r="N577" s="4" t="inlineStr">
        <is>
          <t>2026-10-29</t>
        </is>
      </c>
      <c r="O577" s="14" t="inlineStr">
        <is>
          <t>pass</t>
        </is>
      </c>
      <c r="P577" s="15" t="inlineStr">
        <is>
          <t>not_checked</t>
        </is>
      </c>
      <c r="Q577" s="15" t="inlineStr">
        <is>
          <t>not_checked</t>
        </is>
      </c>
      <c r="R577" s="14" t="inlineStr">
        <is>
          <t>pass</t>
        </is>
      </c>
      <c r="S577" s="14" t="inlineStr">
        <is>
          <t>pass</t>
        </is>
      </c>
      <c r="T577" s="15" t="inlineStr">
        <is>
          <t>not_checked</t>
        </is>
      </c>
      <c r="U577" s="15" t="inlineStr">
        <is>
          <t>not_checked</t>
        </is>
      </c>
      <c r="V577" s="15" t="inlineStr">
        <is>
          <t>not_checked</t>
        </is>
      </c>
      <c r="W577" s="15" t="inlineStr">
        <is>
          <t>not_checked</t>
        </is>
      </c>
      <c r="X577" s="15" t="inlineStr">
        <is>
          <t>not_checked</t>
        </is>
      </c>
      <c r="Y577" s="14" t="inlineStr">
        <is>
          <t>pass</t>
        </is>
      </c>
      <c r="Z577" s="14" t="inlineStr">
        <is>
          <t>pass</t>
        </is>
      </c>
      <c r="AA577" s="16" t="inlineStr">
        <is>
          <t>warn</t>
        </is>
      </c>
      <c r="AB577" s="16" t="inlineStr">
        <is>
          <t>warn</t>
        </is>
      </c>
      <c r="AC577" s="15" t="inlineStr">
        <is>
          <t>not_checked</t>
        </is>
      </c>
      <c r="AD577" s="16" t="inlineStr">
        <is>
          <t>warn</t>
        </is>
      </c>
      <c r="AE577" s="15" t="inlineStr">
        <is>
          <t>not_checked</t>
        </is>
      </c>
      <c r="AF577" s="14" t="inlineStr">
        <is>
          <t>pass</t>
        </is>
      </c>
      <c r="AG577" s="16" t="inlineStr">
        <is>
          <t>warn</t>
        </is>
      </c>
      <c r="AH577" s="16" t="inlineStr">
        <is>
          <t>warn</t>
        </is>
      </c>
      <c r="AI577" s="15" t="inlineStr">
        <is>
          <t>n.a.</t>
        </is>
      </c>
      <c r="AJ577" s="15" t="inlineStr">
        <is>
          <t>n.a.</t>
        </is>
      </c>
      <c r="AK577" s="4" t="inlineStr">
        <is>
          <t>recency(warn);cadence(warn);unit(warn);join_key(warn);format_gaia(warn)</t>
        </is>
      </c>
      <c r="AL577" s="17" t="inlineStr">
        <is>
          <t>https://www.epa.gov/dwucmr/occurrence-data-unregulated-contaminant-monitoring-rule</t>
        </is>
      </c>
      <c r="AM577" s="4" t="inlineStr">
        <is>
          <t>us_epa_ucmr3_occurrence</t>
        </is>
      </c>
    </row>
    <row r="578">
      <c r="A578" s="4" t="inlineStr">
        <is>
          <t>DHS Program Spatial Data Repository (sub-national indicator estimates and boundaries)</t>
        </is>
      </c>
      <c r="B578" s="21" t="inlineStr">
        <is>
          <t>Browser needed</t>
        </is>
      </c>
      <c r="C578" s="4" t="n">
        <v>50</v>
      </c>
      <c r="D578" s="4" t="inlineStr">
        <is>
          <t>health surveys</t>
        </is>
      </c>
      <c r="E578" s="4" t="inlineStr">
        <is>
          <t>blocked</t>
        </is>
      </c>
      <c r="F578" s="4" t="inlineStr">
        <is>
          <t>unknown</t>
        </is>
      </c>
      <c r="G578" s="4" t="inlineStr">
        <is>
          <t>admin1</t>
        </is>
      </c>
      <c r="H578" s="4" t="inlineStr">
        <is>
          <t>Unknown</t>
        </is>
      </c>
      <c r="I578" s="4" t="n">
        <v>3</v>
      </c>
      <c r="J578" s="4" t="inlineStr"/>
      <c r="K578" s="4" t="inlineStr">
        <is>
          <t>Catalog lead</t>
        </is>
      </c>
      <c r="L578" s="4" t="inlineStr"/>
      <c r="M578" s="4" t="inlineStr">
        <is>
          <t>registration</t>
        </is>
      </c>
      <c r="N578" s="4" t="inlineStr">
        <is>
          <t>2026-10-29</t>
        </is>
      </c>
      <c r="O578" s="16" t="inlineStr">
        <is>
          <t>warn</t>
        </is>
      </c>
      <c r="P578" s="15" t="inlineStr">
        <is>
          <t>not_checked</t>
        </is>
      </c>
      <c r="Q578" s="15" t="inlineStr">
        <is>
          <t>not_checked</t>
        </is>
      </c>
      <c r="R578" s="15" t="inlineStr">
        <is>
          <t>not_checked</t>
        </is>
      </c>
      <c r="S578" s="15" t="inlineStr">
        <is>
          <t>not_checked</t>
        </is>
      </c>
      <c r="T578" s="15" t="inlineStr">
        <is>
          <t>not_checked</t>
        </is>
      </c>
      <c r="U578" s="15" t="inlineStr">
        <is>
          <t>not_checked</t>
        </is>
      </c>
      <c r="V578" s="15" t="inlineStr">
        <is>
          <t>not_checked</t>
        </is>
      </c>
      <c r="W578" s="15" t="inlineStr">
        <is>
          <t>not_checked</t>
        </is>
      </c>
      <c r="X578" s="15" t="inlineStr">
        <is>
          <t>not_checked</t>
        </is>
      </c>
      <c r="Y578" s="15" t="inlineStr">
        <is>
          <t>not_checked</t>
        </is>
      </c>
      <c r="Z578" s="15" t="inlineStr">
        <is>
          <t>not_checked</t>
        </is>
      </c>
      <c r="AA578" s="15" t="inlineStr">
        <is>
          <t>not_checked</t>
        </is>
      </c>
      <c r="AB578" s="15" t="inlineStr">
        <is>
          <t>not_checked</t>
        </is>
      </c>
      <c r="AC578" s="15" t="inlineStr">
        <is>
          <t>not_checked</t>
        </is>
      </c>
      <c r="AD578" s="15" t="inlineStr">
        <is>
          <t>not_checked</t>
        </is>
      </c>
      <c r="AE578" s="15" t="inlineStr">
        <is>
          <t>not_checked</t>
        </is>
      </c>
      <c r="AF578" s="15" t="inlineStr">
        <is>
          <t>not_checked</t>
        </is>
      </c>
      <c r="AG578" s="15" t="inlineStr">
        <is>
          <t>not_checked</t>
        </is>
      </c>
      <c r="AH578" s="15" t="inlineStr">
        <is>
          <t>not_checked</t>
        </is>
      </c>
      <c r="AI578" s="15" t="inlineStr">
        <is>
          <t>n.a.</t>
        </is>
      </c>
      <c r="AJ578" s="15" t="inlineStr">
        <is>
          <t>n.a.</t>
        </is>
      </c>
      <c r="AK578" s="4" t="inlineStr">
        <is>
          <t>link_live(warn)</t>
        </is>
      </c>
      <c r="AL578" s="17" t="inlineStr">
        <is>
          <t>https://spatialdata.dhsprogram.com/home/</t>
        </is>
      </c>
      <c r="AM578" s="4" t="inlineStr">
        <is>
          <t>global_dhs_spatial_data_repository</t>
        </is>
      </c>
    </row>
    <row r="579">
      <c r="A579" s="4" t="inlineStr">
        <is>
          <t>EPA UCMR 5 occurrence data (Unregulated Contaminant Monitoring Rule, 5th cycle)</t>
        </is>
      </c>
      <c r="B579" s="19" t="inlineStr">
        <is>
          <t>Silver</t>
        </is>
      </c>
      <c r="C579" s="4" t="inlineStr"/>
      <c r="D579" s="4" t="inlineStr">
        <is>
          <t>water quality</t>
        </is>
      </c>
      <c r="E579" s="4" t="inlineStr"/>
      <c r="F579" s="4" t="inlineStr">
        <is>
          <t>public_domain_us_federal</t>
        </is>
      </c>
      <c r="G579" s="4" t="inlineStr">
        <is>
          <t>pws (water system)</t>
        </is>
      </c>
      <c r="H579" s="4" t="inlineStr"/>
      <c r="I579" s="4" t="inlineStr"/>
      <c r="J579" s="4" t="inlineStr"/>
      <c r="K579" s="4" t="inlineStr">
        <is>
          <t>Catalog lead</t>
        </is>
      </c>
      <c r="L579" s="4" t="inlineStr"/>
      <c r="M579" s="4" t="inlineStr"/>
      <c r="N579" s="4" t="inlineStr"/>
      <c r="O579" s="4" t="inlineStr"/>
      <c r="P579" s="4" t="inlineStr"/>
      <c r="Q579" s="4" t="inlineStr"/>
      <c r="R579" s="4" t="inlineStr"/>
      <c r="S579" s="4" t="inlineStr"/>
      <c r="T579" s="4" t="inlineStr"/>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c r="AJ579" s="4" t="inlineStr"/>
      <c r="AK579" s="4" t="inlineStr"/>
      <c r="AL579" s="17" t="inlineStr">
        <is>
          <t>https://www.epa.gov/dwucmr/occurrence-data-unregulated-contaminant-monitoring-rule</t>
        </is>
      </c>
      <c r="AM579" s="4" t="inlineStr">
        <is>
          <t>us_epa_ucmr5_occurrence</t>
        </is>
      </c>
    </row>
    <row r="580">
      <c r="A580" s="4" t="inlineStr">
        <is>
          <t>EEA AQ e-Reporting monitoring stations (ESRI REST point layer)</t>
        </is>
      </c>
      <c r="B580" s="20" t="inlineStr">
        <is>
          <t>Bronze</t>
        </is>
      </c>
      <c r="C580" s="4" t="inlineStr"/>
      <c r="D580" s="4" t="inlineStr">
        <is>
          <t>air quality</t>
        </is>
      </c>
      <c r="E580" s="4" t="inlineStr"/>
      <c r="F580" s="4" t="inlineStr">
        <is>
          <t>not checked</t>
        </is>
      </c>
      <c r="G580" s="4" t="inlineStr">
        <is>
          <t>point</t>
        </is>
      </c>
      <c r="H580" s="4" t="inlineStr"/>
      <c r="I580" s="4" t="inlineStr"/>
      <c r="J580" s="4" t="inlineStr"/>
      <c r="K580" s="4" t="inlineStr">
        <is>
          <t>Catalog lead</t>
        </is>
      </c>
      <c r="L580" s="4" t="inlineStr"/>
      <c r="M580" s="4" t="inlineStr"/>
      <c r="N580" s="4" t="inlineStr"/>
      <c r="O580" s="4" t="inlineStr"/>
      <c r="P580" s="4" t="inlineStr"/>
      <c r="Q580" s="4" t="inlineStr"/>
      <c r="R580" s="4" t="inlineStr"/>
      <c r="S580" s="4" t="inlineStr"/>
      <c r="T580" s="4" t="inlineStr"/>
      <c r="U580" s="4" t="inlineStr"/>
      <c r="V580" s="4" t="inlineStr"/>
      <c r="W580" s="4" t="inlineStr"/>
      <c r="X580" s="4" t="inlineStr"/>
      <c r="Y580" s="4" t="inlineStr"/>
      <c r="Z580" s="4" t="inlineStr"/>
      <c r="AA580" s="4" t="inlineStr"/>
      <c r="AB580" s="4" t="inlineStr"/>
      <c r="AC580" s="4" t="inlineStr"/>
      <c r="AD580" s="4" t="inlineStr"/>
      <c r="AE580" s="4" t="inlineStr"/>
      <c r="AF580" s="4" t="inlineStr"/>
      <c r="AG580" s="4" t="inlineStr"/>
      <c r="AH580" s="4" t="inlineStr"/>
      <c r="AI580" s="4" t="inlineStr"/>
      <c r="AJ580" s="4" t="inlineStr"/>
      <c r="AK580" s="4" t="inlineStr"/>
      <c r="AL580" s="17" t="inlineStr">
        <is>
          <t>https://air.discomap.eea.europa.eu/arcgis/rest/services/AirQuality/AirQualityDownloadServiceEUMonitoringStations/MapServer</t>
        </is>
      </c>
      <c r="AM580" s="4" t="inlineStr">
        <is>
          <t>eu_eea_aq_stations_rest</t>
        </is>
      </c>
    </row>
    <row r="581">
      <c r="A581" s="4" t="inlineStr">
        <is>
          <t>DHS Program API (indicators and boundary geometry)</t>
        </is>
      </c>
      <c r="B581" s="20" t="inlineStr">
        <is>
          <t>Bronze</t>
        </is>
      </c>
      <c r="C581" s="4" t="inlineStr"/>
      <c r="D581" s="4" t="inlineStr">
        <is>
          <t>health surveys</t>
        </is>
      </c>
      <c r="E581" s="4" t="inlineStr"/>
      <c r="F581" s="4" t="inlineStr">
        <is>
          <t>not checked</t>
        </is>
      </c>
      <c r="G581" s="4" t="inlineStr">
        <is>
          <t>admin1 (survey region)</t>
        </is>
      </c>
      <c r="H581" s="4" t="inlineStr"/>
      <c r="I581" s="4" t="inlineStr"/>
      <c r="J581" s="4" t="inlineStr"/>
      <c r="K581" s="4" t="inlineStr">
        <is>
          <t>Catalog lead</t>
        </is>
      </c>
      <c r="L581" s="4" t="inlineStr"/>
      <c r="M581" s="4" t="inlineStr"/>
      <c r="N581" s="4" t="inlineStr"/>
      <c r="O581" s="4" t="inlineStr"/>
      <c r="P581" s="4" t="inlineStr"/>
      <c r="Q581" s="4" t="inlineStr"/>
      <c r="R581" s="4" t="inlineStr"/>
      <c r="S581" s="4" t="inlineStr"/>
      <c r="T581" s="4" t="inlineStr"/>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c r="AJ581" s="4" t="inlineStr"/>
      <c r="AK581" s="4" t="inlineStr"/>
      <c r="AL581" s="17" t="inlineStr">
        <is>
          <t>https://api.dhsprogram.com/</t>
        </is>
      </c>
      <c r="AM581" s="4" t="inlineStr">
        <is>
          <t>global_dhs_program_api</t>
        </is>
      </c>
    </row>
    <row r="582">
      <c r="A582" s="4" t="inlineStr">
        <is>
          <t>Prescription Drug Monitoring Program Laws: Reporting, Mandates &amp; Access, 2014-2023</t>
        </is>
      </c>
      <c r="B582" s="19" t="inlineStr">
        <is>
          <t>Silver</t>
        </is>
      </c>
      <c r="C582" s="4" t="inlineStr"/>
      <c r="D582" s="4" t="inlineStr"/>
      <c r="E582" s="4" t="inlineStr">
        <is>
          <t>healthy</t>
        </is>
      </c>
      <c r="F582" s="4" t="inlineStr">
        <is>
          <t>unknown</t>
        </is>
      </c>
      <c r="G582" s="4" t="inlineStr">
        <is>
          <t>state</t>
        </is>
      </c>
      <c r="H582" s="4" t="inlineStr"/>
      <c r="I582" s="4" t="inlineStr"/>
      <c r="J582" s="4" t="inlineStr"/>
      <c r="K582" s="4" t="inlineStr">
        <is>
          <t>Catalog lead</t>
        </is>
      </c>
      <c r="L582" s="4" t="n">
        <v>2023</v>
      </c>
      <c r="M582" s="4" t="inlineStr">
        <is>
          <t>registration</t>
        </is>
      </c>
      <c r="N582" s="4" t="inlineStr">
        <is>
          <t>2026-10-29</t>
        </is>
      </c>
      <c r="O582" s="14" t="inlineStr">
        <is>
          <t>pass</t>
        </is>
      </c>
      <c r="P582" s="4" t="inlineStr"/>
      <c r="Q582" s="4" t="inlineStr"/>
      <c r="R582" s="14" t="inlineStr">
        <is>
          <t>pass</t>
        </is>
      </c>
      <c r="S582" s="14" t="inlineStr">
        <is>
          <t>pass</t>
        </is>
      </c>
      <c r="T582" s="4" t="inlineStr"/>
      <c r="U582" s="4" t="inlineStr"/>
      <c r="V582" s="4" t="inlineStr"/>
      <c r="W582" s="4" t="inlineStr"/>
      <c r="X582" s="4" t="inlineStr"/>
      <c r="Y582" s="15" t="inlineStr">
        <is>
          <t>not_checked</t>
        </is>
      </c>
      <c r="Z582" s="14" t="inlineStr">
        <is>
          <t>pass</t>
        </is>
      </c>
      <c r="AA582" s="14" t="inlineStr">
        <is>
          <t>pass</t>
        </is>
      </c>
      <c r="AB582" s="4" t="inlineStr"/>
      <c r="AC582" s="4" t="inlineStr"/>
      <c r="AD582" s="14" t="inlineStr">
        <is>
          <t>pass</t>
        </is>
      </c>
      <c r="AE582" s="14" t="inlineStr">
        <is>
          <t>pass</t>
        </is>
      </c>
      <c r="AF582" s="16" t="inlineStr">
        <is>
          <t>warn</t>
        </is>
      </c>
      <c r="AG582" s="16" t="inlineStr">
        <is>
          <t>warn</t>
        </is>
      </c>
      <c r="AH582" s="16" t="inlineStr">
        <is>
          <t>warn</t>
        </is>
      </c>
      <c r="AI582" s="4" t="inlineStr"/>
      <c r="AJ582" s="4" t="inlineStr"/>
      <c r="AK582" s="4" t="inlineStr">
        <is>
          <t>access(warn);join_key(warn);format_gaia(warn)</t>
        </is>
      </c>
      <c r="AL582" s="17" t="inlineStr">
        <is>
          <t>https://doi.org/10.60541/235t-fj52</t>
        </is>
      </c>
      <c r="AM582" s="4" t="inlineStr">
        <is>
          <t>us_lawatlas_pdmp_laws_2014_2023</t>
        </is>
      </c>
    </row>
    <row r="583">
      <c r="A583" s="4" t="inlineStr">
        <is>
          <t>State Retail Marijuana Laws</t>
        </is>
      </c>
      <c r="B583" s="20" t="inlineStr">
        <is>
          <t>Bronze</t>
        </is>
      </c>
      <c r="C583" s="4" t="inlineStr"/>
      <c r="D583" s="4" t="inlineStr"/>
      <c r="E583" s="4" t="inlineStr">
        <is>
          <t>healthy</t>
        </is>
      </c>
      <c r="F583" s="4" t="inlineStr">
        <is>
          <t>unknown</t>
        </is>
      </c>
      <c r="G583" s="4" t="inlineStr">
        <is>
          <t>state</t>
        </is>
      </c>
      <c r="H583" s="4" t="inlineStr"/>
      <c r="I583" s="4" t="inlineStr"/>
      <c r="J583" s="4" t="inlineStr"/>
      <c r="K583" s="4" t="inlineStr">
        <is>
          <t>Catalog lead</t>
        </is>
      </c>
      <c r="L583" s="4" t="inlineStr"/>
      <c r="M583" s="4" t="inlineStr">
        <is>
          <t>registration</t>
        </is>
      </c>
      <c r="N583" s="4" t="inlineStr">
        <is>
          <t>2026-10-29</t>
        </is>
      </c>
      <c r="O583" s="14" t="inlineStr">
        <is>
          <t>pass</t>
        </is>
      </c>
      <c r="P583" s="4" t="inlineStr"/>
      <c r="Q583" s="4" t="inlineStr"/>
      <c r="R583" s="14" t="inlineStr">
        <is>
          <t>pass</t>
        </is>
      </c>
      <c r="S583" s="14" t="inlineStr">
        <is>
          <t>pass</t>
        </is>
      </c>
      <c r="T583" s="4" t="inlineStr"/>
      <c r="U583" s="4" t="inlineStr"/>
      <c r="V583" s="4" t="inlineStr"/>
      <c r="W583" s="4" t="inlineStr"/>
      <c r="X583" s="4" t="inlineStr"/>
      <c r="Y583" s="15" t="inlineStr">
        <is>
          <t>not_checked</t>
        </is>
      </c>
      <c r="Z583" s="14" t="inlineStr">
        <is>
          <t>pass</t>
        </is>
      </c>
      <c r="AA583" s="15" t="inlineStr">
        <is>
          <t>not_checked</t>
        </is>
      </c>
      <c r="AB583" s="4" t="inlineStr"/>
      <c r="AC583" s="4" t="inlineStr"/>
      <c r="AD583" s="14" t="inlineStr">
        <is>
          <t>pass</t>
        </is>
      </c>
      <c r="AE583" s="14" t="inlineStr">
        <is>
          <t>pass</t>
        </is>
      </c>
      <c r="AF583" s="16" t="inlineStr">
        <is>
          <t>warn</t>
        </is>
      </c>
      <c r="AG583" s="16" t="inlineStr">
        <is>
          <t>warn</t>
        </is>
      </c>
      <c r="AH583" s="16" t="inlineStr">
        <is>
          <t>warn</t>
        </is>
      </c>
      <c r="AI583" s="4" t="inlineStr"/>
      <c r="AJ583" s="4" t="inlineStr"/>
      <c r="AK583" s="4" t="inlineStr">
        <is>
          <t>access(warn);join_key(warn);format_gaia(warn)</t>
        </is>
      </c>
      <c r="AL583" s="17" t="inlineStr">
        <is>
          <t>https://doi.org/10.60541/y7q0-ms78</t>
        </is>
      </c>
      <c r="AM583" s="4" t="inlineStr">
        <is>
          <t>us_lawatlas_state_retail_marijuana</t>
        </is>
      </c>
    </row>
    <row r="584">
      <c r="A584" s="4" t="inlineStr">
        <is>
          <t>State Syringe Access Laws</t>
        </is>
      </c>
      <c r="B584" s="19" t="inlineStr">
        <is>
          <t>Silver</t>
        </is>
      </c>
      <c r="C584" s="4" t="inlineStr"/>
      <c r="D584" s="4" t="inlineStr"/>
      <c r="E584" s="4" t="inlineStr">
        <is>
          <t>healthy</t>
        </is>
      </c>
      <c r="F584" s="4" t="inlineStr">
        <is>
          <t>unknown</t>
        </is>
      </c>
      <c r="G584" s="4" t="inlineStr">
        <is>
          <t>state</t>
        </is>
      </c>
      <c r="H584" s="4" t="inlineStr"/>
      <c r="I584" s="4" t="inlineStr"/>
      <c r="J584" s="4" t="inlineStr"/>
      <c r="K584" s="4" t="inlineStr">
        <is>
          <t>Catalog lead</t>
        </is>
      </c>
      <c r="L584" s="4" t="n">
        <v>2024</v>
      </c>
      <c r="M584" s="4" t="inlineStr">
        <is>
          <t>registration</t>
        </is>
      </c>
      <c r="N584" s="4" t="inlineStr">
        <is>
          <t>2026-10-29</t>
        </is>
      </c>
      <c r="O584" s="14" t="inlineStr">
        <is>
          <t>pass</t>
        </is>
      </c>
      <c r="P584" s="4" t="inlineStr"/>
      <c r="Q584" s="4" t="inlineStr"/>
      <c r="R584" s="14" t="inlineStr">
        <is>
          <t>pass</t>
        </is>
      </c>
      <c r="S584" s="14" t="inlineStr">
        <is>
          <t>pass</t>
        </is>
      </c>
      <c r="T584" s="4" t="inlineStr"/>
      <c r="U584" s="4" t="inlineStr"/>
      <c r="V584" s="4" t="inlineStr"/>
      <c r="W584" s="4" t="inlineStr"/>
      <c r="X584" s="4" t="inlineStr"/>
      <c r="Y584" s="15" t="inlineStr">
        <is>
          <t>not_checked</t>
        </is>
      </c>
      <c r="Z584" s="14" t="inlineStr">
        <is>
          <t>pass</t>
        </is>
      </c>
      <c r="AA584" s="14" t="inlineStr">
        <is>
          <t>pass</t>
        </is>
      </c>
      <c r="AB584" s="4" t="inlineStr"/>
      <c r="AC584" s="4" t="inlineStr"/>
      <c r="AD584" s="14" t="inlineStr">
        <is>
          <t>pass</t>
        </is>
      </c>
      <c r="AE584" s="14" t="inlineStr">
        <is>
          <t>pass</t>
        </is>
      </c>
      <c r="AF584" s="16" t="inlineStr">
        <is>
          <t>warn</t>
        </is>
      </c>
      <c r="AG584" s="16" t="inlineStr">
        <is>
          <t>warn</t>
        </is>
      </c>
      <c r="AH584" s="16" t="inlineStr">
        <is>
          <t>warn</t>
        </is>
      </c>
      <c r="AI584" s="4" t="inlineStr"/>
      <c r="AJ584" s="4" t="inlineStr"/>
      <c r="AK584" s="4" t="inlineStr">
        <is>
          <t>access(warn);join_key(warn);format_gaia(warn)</t>
        </is>
      </c>
      <c r="AL584" s="17" t="inlineStr">
        <is>
          <t>https://doi.org/10.60541/kshg-k144</t>
        </is>
      </c>
      <c r="AM584" s="4" t="inlineStr">
        <is>
          <t>us_lawatlas_state_syringe_access_laws</t>
        </is>
      </c>
    </row>
    <row r="585">
      <c r="A585" s="4" t="inlineStr">
        <is>
          <t>Electronic Cigarette Laws</t>
        </is>
      </c>
      <c r="B585" s="19" t="inlineStr">
        <is>
          <t>Silver</t>
        </is>
      </c>
      <c r="C585" s="4" t="inlineStr"/>
      <c r="D585" s="4" t="inlineStr"/>
      <c r="E585" s="4" t="inlineStr">
        <is>
          <t>healthy</t>
        </is>
      </c>
      <c r="F585" s="4" t="inlineStr">
        <is>
          <t>unknown</t>
        </is>
      </c>
      <c r="G585" s="4" t="inlineStr">
        <is>
          <t>state</t>
        </is>
      </c>
      <c r="H585" s="4" t="inlineStr"/>
      <c r="I585" s="4" t="inlineStr"/>
      <c r="J585" s="4" t="inlineStr"/>
      <c r="K585" s="4" t="inlineStr">
        <is>
          <t>Catalog lead</t>
        </is>
      </c>
      <c r="L585" s="4" t="n">
        <v>2017</v>
      </c>
      <c r="M585" s="4" t="inlineStr">
        <is>
          <t>registration</t>
        </is>
      </c>
      <c r="N585" s="4" t="inlineStr">
        <is>
          <t>2026-10-29</t>
        </is>
      </c>
      <c r="O585" s="14" t="inlineStr">
        <is>
          <t>pass</t>
        </is>
      </c>
      <c r="P585" s="4" t="inlineStr"/>
      <c r="Q585" s="4" t="inlineStr"/>
      <c r="R585" s="14" t="inlineStr">
        <is>
          <t>pass</t>
        </is>
      </c>
      <c r="S585" s="14" t="inlineStr">
        <is>
          <t>pass</t>
        </is>
      </c>
      <c r="T585" s="4" t="inlineStr"/>
      <c r="U585" s="4" t="inlineStr"/>
      <c r="V585" s="4" t="inlineStr"/>
      <c r="W585" s="4" t="inlineStr"/>
      <c r="X585" s="4" t="inlineStr"/>
      <c r="Y585" s="15" t="inlineStr">
        <is>
          <t>not_checked</t>
        </is>
      </c>
      <c r="Z585" s="14" t="inlineStr">
        <is>
          <t>pass</t>
        </is>
      </c>
      <c r="AA585" s="16" t="inlineStr">
        <is>
          <t>warn</t>
        </is>
      </c>
      <c r="AB585" s="4" t="inlineStr"/>
      <c r="AC585" s="4" t="inlineStr"/>
      <c r="AD585" s="14" t="inlineStr">
        <is>
          <t>pass</t>
        </is>
      </c>
      <c r="AE585" s="14" t="inlineStr">
        <is>
          <t>pass</t>
        </is>
      </c>
      <c r="AF585" s="16" t="inlineStr">
        <is>
          <t>warn</t>
        </is>
      </c>
      <c r="AG585" s="16" t="inlineStr">
        <is>
          <t>warn</t>
        </is>
      </c>
      <c r="AH585" s="16" t="inlineStr">
        <is>
          <t>warn</t>
        </is>
      </c>
      <c r="AI585" s="4" t="inlineStr"/>
      <c r="AJ585" s="4" t="inlineStr"/>
      <c r="AK585" s="4" t="inlineStr">
        <is>
          <t>recency(warn);access(warn);join_key(warn);format_gaia(warn)</t>
        </is>
      </c>
      <c r="AL585" s="17" t="inlineStr">
        <is>
          <t>https://doi.org/10.60541/rq4m-pk67</t>
        </is>
      </c>
      <c r="AM585" s="4" t="inlineStr">
        <is>
          <t>us_lawatlas_e_cigarette_laws</t>
        </is>
      </c>
    </row>
    <row r="586">
      <c r="A586" s="4" t="inlineStr">
        <is>
          <t>Tobacco Pricing Strategies</t>
        </is>
      </c>
      <c r="B586" s="19" t="inlineStr">
        <is>
          <t>Silver</t>
        </is>
      </c>
      <c r="C586" s="4" t="inlineStr"/>
      <c r="D586" s="4" t="inlineStr"/>
      <c r="E586" s="4" t="inlineStr">
        <is>
          <t>healthy</t>
        </is>
      </c>
      <c r="F586" s="4" t="inlineStr">
        <is>
          <t>unknown</t>
        </is>
      </c>
      <c r="G586" s="4" t="inlineStr">
        <is>
          <t>state</t>
        </is>
      </c>
      <c r="H586" s="4" t="inlineStr"/>
      <c r="I586" s="4" t="inlineStr"/>
      <c r="J586" s="4" t="inlineStr"/>
      <c r="K586" s="4" t="inlineStr">
        <is>
          <t>Catalog lead</t>
        </is>
      </c>
      <c r="L586" s="4" t="n">
        <v>2019</v>
      </c>
      <c r="M586" s="4" t="inlineStr">
        <is>
          <t>registration</t>
        </is>
      </c>
      <c r="N586" s="4" t="inlineStr">
        <is>
          <t>2026-10-29</t>
        </is>
      </c>
      <c r="O586" s="14" t="inlineStr">
        <is>
          <t>pass</t>
        </is>
      </c>
      <c r="P586" s="4" t="inlineStr"/>
      <c r="Q586" s="4" t="inlineStr"/>
      <c r="R586" s="14" t="inlineStr">
        <is>
          <t>pass</t>
        </is>
      </c>
      <c r="S586" s="14" t="inlineStr">
        <is>
          <t>pass</t>
        </is>
      </c>
      <c r="T586" s="4" t="inlineStr"/>
      <c r="U586" s="4" t="inlineStr"/>
      <c r="V586" s="4" t="inlineStr"/>
      <c r="W586" s="4" t="inlineStr"/>
      <c r="X586" s="4" t="inlineStr"/>
      <c r="Y586" s="15" t="inlineStr">
        <is>
          <t>not_checked</t>
        </is>
      </c>
      <c r="Z586" s="14" t="inlineStr">
        <is>
          <t>pass</t>
        </is>
      </c>
      <c r="AA586" s="16" t="inlineStr">
        <is>
          <t>warn</t>
        </is>
      </c>
      <c r="AB586" s="4" t="inlineStr"/>
      <c r="AC586" s="4" t="inlineStr"/>
      <c r="AD586" s="14" t="inlineStr">
        <is>
          <t>pass</t>
        </is>
      </c>
      <c r="AE586" s="14" t="inlineStr">
        <is>
          <t>pass</t>
        </is>
      </c>
      <c r="AF586" s="16" t="inlineStr">
        <is>
          <t>warn</t>
        </is>
      </c>
      <c r="AG586" s="16" t="inlineStr">
        <is>
          <t>warn</t>
        </is>
      </c>
      <c r="AH586" s="16" t="inlineStr">
        <is>
          <t>warn</t>
        </is>
      </c>
      <c r="AI586" s="4" t="inlineStr"/>
      <c r="AJ586" s="4" t="inlineStr"/>
      <c r="AK586" s="4" t="inlineStr">
        <is>
          <t>recency(warn);access(warn);join_key(warn);format_gaia(warn)</t>
        </is>
      </c>
      <c r="AL586" s="17" t="inlineStr">
        <is>
          <t>https://doi.org/10.60541/tq0g-2c27</t>
        </is>
      </c>
      <c r="AM586" s="4" t="inlineStr">
        <is>
          <t>us_lawatlas_tobacco_pricing_strategies</t>
        </is>
      </c>
    </row>
    <row r="587">
      <c r="A587" s="4" t="inlineStr">
        <is>
          <t>COVID-19: State Emergency Declarations &amp; Mitigation Policies</t>
        </is>
      </c>
      <c r="B587" s="19" t="inlineStr">
        <is>
          <t>Silver</t>
        </is>
      </c>
      <c r="C587" s="4" t="inlineStr"/>
      <c r="D587" s="4" t="inlineStr"/>
      <c r="E587" s="4" t="inlineStr">
        <is>
          <t>healthy</t>
        </is>
      </c>
      <c r="F587" s="4" t="inlineStr">
        <is>
          <t>unknown</t>
        </is>
      </c>
      <c r="G587" s="4" t="inlineStr">
        <is>
          <t>state</t>
        </is>
      </c>
      <c r="H587" s="4" t="inlineStr"/>
      <c r="I587" s="4" t="inlineStr"/>
      <c r="J587" s="4" t="inlineStr"/>
      <c r="K587" s="4" t="inlineStr">
        <is>
          <t>Catalog lead</t>
        </is>
      </c>
      <c r="L587" s="4" t="n">
        <v>2020</v>
      </c>
      <c r="M587" s="4" t="inlineStr">
        <is>
          <t>registration</t>
        </is>
      </c>
      <c r="N587" s="4" t="inlineStr">
        <is>
          <t>2026-10-29</t>
        </is>
      </c>
      <c r="O587" s="14" t="inlineStr">
        <is>
          <t>pass</t>
        </is>
      </c>
      <c r="P587" s="4" t="inlineStr"/>
      <c r="Q587" s="4" t="inlineStr"/>
      <c r="R587" s="14" t="inlineStr">
        <is>
          <t>pass</t>
        </is>
      </c>
      <c r="S587" s="14" t="inlineStr">
        <is>
          <t>pass</t>
        </is>
      </c>
      <c r="T587" s="4" t="inlineStr"/>
      <c r="U587" s="4" t="inlineStr"/>
      <c r="V587" s="4" t="inlineStr"/>
      <c r="W587" s="4" t="inlineStr"/>
      <c r="X587" s="4" t="inlineStr"/>
      <c r="Y587" s="15" t="inlineStr">
        <is>
          <t>not_checked</t>
        </is>
      </c>
      <c r="Z587" s="14" t="inlineStr">
        <is>
          <t>pass</t>
        </is>
      </c>
      <c r="AA587" s="14" t="inlineStr">
        <is>
          <t>pass</t>
        </is>
      </c>
      <c r="AB587" s="4" t="inlineStr"/>
      <c r="AC587" s="4" t="inlineStr"/>
      <c r="AD587" s="14" t="inlineStr">
        <is>
          <t>pass</t>
        </is>
      </c>
      <c r="AE587" s="14" t="inlineStr">
        <is>
          <t>pass</t>
        </is>
      </c>
      <c r="AF587" s="16" t="inlineStr">
        <is>
          <t>warn</t>
        </is>
      </c>
      <c r="AG587" s="16" t="inlineStr">
        <is>
          <t>warn</t>
        </is>
      </c>
      <c r="AH587" s="16" t="inlineStr">
        <is>
          <t>warn</t>
        </is>
      </c>
      <c r="AI587" s="4" t="inlineStr"/>
      <c r="AJ587" s="4" t="inlineStr"/>
      <c r="AK587" s="4" t="inlineStr">
        <is>
          <t>access(warn);join_key(warn);format_gaia(warn)</t>
        </is>
      </c>
      <c r="AL587" s="17" t="inlineStr">
        <is>
          <t>https://doi.org/10.60541/ethb-2t35</t>
        </is>
      </c>
      <c r="AM587" s="4" t="inlineStr">
        <is>
          <t>us_lawatlas_covid19_state_emergency_declarations</t>
        </is>
      </c>
    </row>
    <row r="588">
      <c r="A588" s="4" t="inlineStr">
        <is>
          <t>Buprenorphine Prescribing Requirements and Limitations</t>
        </is>
      </c>
      <c r="B588" s="19" t="inlineStr">
        <is>
          <t>Silver</t>
        </is>
      </c>
      <c r="C588" s="4" t="inlineStr"/>
      <c r="D588" s="4" t="inlineStr"/>
      <c r="E588" s="4" t="inlineStr">
        <is>
          <t>healthy</t>
        </is>
      </c>
      <c r="F588" s="4" t="inlineStr">
        <is>
          <t>unknown</t>
        </is>
      </c>
      <c r="G588" s="4" t="inlineStr">
        <is>
          <t>state</t>
        </is>
      </c>
      <c r="H588" s="4" t="inlineStr"/>
      <c r="I588" s="4" t="inlineStr"/>
      <c r="J588" s="4" t="inlineStr"/>
      <c r="K588" s="4" t="inlineStr">
        <is>
          <t>Catalog lead</t>
        </is>
      </c>
      <c r="L588" s="4" t="n">
        <v>2024</v>
      </c>
      <c r="M588" s="4" t="inlineStr">
        <is>
          <t>registration</t>
        </is>
      </c>
      <c r="N588" s="4" t="inlineStr">
        <is>
          <t>2026-10-29</t>
        </is>
      </c>
      <c r="O588" s="14" t="inlineStr">
        <is>
          <t>pass</t>
        </is>
      </c>
      <c r="P588" s="4" t="inlineStr"/>
      <c r="Q588" s="4" t="inlineStr"/>
      <c r="R588" s="14" t="inlineStr">
        <is>
          <t>pass</t>
        </is>
      </c>
      <c r="S588" s="14" t="inlineStr">
        <is>
          <t>pass</t>
        </is>
      </c>
      <c r="T588" s="4" t="inlineStr"/>
      <c r="U588" s="4" t="inlineStr"/>
      <c r="V588" s="4" t="inlineStr"/>
      <c r="W588" s="4" t="inlineStr"/>
      <c r="X588" s="4" t="inlineStr"/>
      <c r="Y588" s="15" t="inlineStr">
        <is>
          <t>not_checked</t>
        </is>
      </c>
      <c r="Z588" s="14" t="inlineStr">
        <is>
          <t>pass</t>
        </is>
      </c>
      <c r="AA588" s="14" t="inlineStr">
        <is>
          <t>pass</t>
        </is>
      </c>
      <c r="AB588" s="4" t="inlineStr"/>
      <c r="AC588" s="4" t="inlineStr"/>
      <c r="AD588" s="14" t="inlineStr">
        <is>
          <t>pass</t>
        </is>
      </c>
      <c r="AE588" s="14" t="inlineStr">
        <is>
          <t>pass</t>
        </is>
      </c>
      <c r="AF588" s="16" t="inlineStr">
        <is>
          <t>warn</t>
        </is>
      </c>
      <c r="AG588" s="16" t="inlineStr">
        <is>
          <t>warn</t>
        </is>
      </c>
      <c r="AH588" s="16" t="inlineStr">
        <is>
          <t>warn</t>
        </is>
      </c>
      <c r="AI588" s="4" t="inlineStr"/>
      <c r="AJ588" s="4" t="inlineStr"/>
      <c r="AK588" s="4" t="inlineStr">
        <is>
          <t>access(warn);join_key(warn);format_gaia(warn)</t>
        </is>
      </c>
      <c r="AL588" s="17" t="inlineStr">
        <is>
          <t>https://doi.org/10.60541/snt6-m904</t>
        </is>
      </c>
      <c r="AM588" s="4" t="inlineStr">
        <is>
          <t>us_lawatlas_buprenorphine_prescribing_laws</t>
        </is>
      </c>
    </row>
    <row r="589">
      <c r="A589" s="4" t="inlineStr">
        <is>
          <t>Statutory and Constitutional Right to Abortion</t>
        </is>
      </c>
      <c r="B589" s="19" t="inlineStr">
        <is>
          <t>Silver</t>
        </is>
      </c>
      <c r="C589" s="4" t="inlineStr"/>
      <c r="D589" s="4" t="inlineStr"/>
      <c r="E589" s="4" t="inlineStr">
        <is>
          <t>healthy</t>
        </is>
      </c>
      <c r="F589" s="4" t="inlineStr">
        <is>
          <t>unknown</t>
        </is>
      </c>
      <c r="G589" s="4" t="inlineStr">
        <is>
          <t>state</t>
        </is>
      </c>
      <c r="H589" s="4" t="inlineStr"/>
      <c r="I589" s="4" t="inlineStr"/>
      <c r="J589" s="4" t="inlineStr"/>
      <c r="K589" s="4" t="inlineStr">
        <is>
          <t>Catalog lead</t>
        </is>
      </c>
      <c r="L589" s="4" t="n">
        <v>2022</v>
      </c>
      <c r="M589" s="4" t="inlineStr">
        <is>
          <t>registration</t>
        </is>
      </c>
      <c r="N589" s="4" t="inlineStr">
        <is>
          <t>2026-10-29</t>
        </is>
      </c>
      <c r="O589" s="14" t="inlineStr">
        <is>
          <t>pass</t>
        </is>
      </c>
      <c r="P589" s="4" t="inlineStr"/>
      <c r="Q589" s="4" t="inlineStr"/>
      <c r="R589" s="14" t="inlineStr">
        <is>
          <t>pass</t>
        </is>
      </c>
      <c r="S589" s="14" t="inlineStr">
        <is>
          <t>pass</t>
        </is>
      </c>
      <c r="T589" s="4" t="inlineStr"/>
      <c r="U589" s="4" t="inlineStr"/>
      <c r="V589" s="4" t="inlineStr"/>
      <c r="W589" s="4" t="inlineStr"/>
      <c r="X589" s="4" t="inlineStr"/>
      <c r="Y589" s="15" t="inlineStr">
        <is>
          <t>not_checked</t>
        </is>
      </c>
      <c r="Z589" s="14" t="inlineStr">
        <is>
          <t>pass</t>
        </is>
      </c>
      <c r="AA589" s="14" t="inlineStr">
        <is>
          <t>pass</t>
        </is>
      </c>
      <c r="AB589" s="4" t="inlineStr"/>
      <c r="AC589" s="4" t="inlineStr"/>
      <c r="AD589" s="14" t="inlineStr">
        <is>
          <t>pass</t>
        </is>
      </c>
      <c r="AE589" s="14" t="inlineStr">
        <is>
          <t>pass</t>
        </is>
      </c>
      <c r="AF589" s="16" t="inlineStr">
        <is>
          <t>warn</t>
        </is>
      </c>
      <c r="AG589" s="16" t="inlineStr">
        <is>
          <t>warn</t>
        </is>
      </c>
      <c r="AH589" s="16" t="inlineStr">
        <is>
          <t>warn</t>
        </is>
      </c>
      <c r="AI589" s="4" t="inlineStr"/>
      <c r="AJ589" s="4" t="inlineStr"/>
      <c r="AK589" s="4" t="inlineStr">
        <is>
          <t>access(warn);join_key(warn);format_gaia(warn)</t>
        </is>
      </c>
      <c r="AL589" s="17" t="inlineStr">
        <is>
          <t>https://doi.org/10.60541/26gc-yv35</t>
        </is>
      </c>
      <c r="AM589" s="4" t="inlineStr">
        <is>
          <t>us_lawatlas_right_to_abortion_laws</t>
        </is>
      </c>
    </row>
    <row r="590">
      <c r="A590" s="4" t="inlineStr">
        <is>
          <t>Legal Landscape of Gabapentin Drug Scheduling and Required Prescription Drug Monitoring</t>
        </is>
      </c>
      <c r="B590" s="19" t="inlineStr">
        <is>
          <t>Silver</t>
        </is>
      </c>
      <c r="C590" s="4" t="inlineStr"/>
      <c r="D590" s="4" t="inlineStr"/>
      <c r="E590" s="4" t="inlineStr">
        <is>
          <t>healthy</t>
        </is>
      </c>
      <c r="F590" s="4" t="inlineStr">
        <is>
          <t>unknown</t>
        </is>
      </c>
      <c r="G590" s="4" t="inlineStr">
        <is>
          <t>state</t>
        </is>
      </c>
      <c r="H590" s="4" t="inlineStr"/>
      <c r="I590" s="4" t="inlineStr"/>
      <c r="J590" s="4" t="inlineStr"/>
      <c r="K590" s="4" t="inlineStr">
        <is>
          <t>Catalog lead</t>
        </is>
      </c>
      <c r="L590" s="4" t="n">
        <v>2024</v>
      </c>
      <c r="M590" s="4" t="inlineStr">
        <is>
          <t>registration</t>
        </is>
      </c>
      <c r="N590" s="4" t="inlineStr">
        <is>
          <t>2026-10-29</t>
        </is>
      </c>
      <c r="O590" s="14" t="inlineStr">
        <is>
          <t>pass</t>
        </is>
      </c>
      <c r="P590" s="4" t="inlineStr"/>
      <c r="Q590" s="4" t="inlineStr"/>
      <c r="R590" s="14" t="inlineStr">
        <is>
          <t>pass</t>
        </is>
      </c>
      <c r="S590" s="14" t="inlineStr">
        <is>
          <t>pass</t>
        </is>
      </c>
      <c r="T590" s="4" t="inlineStr"/>
      <c r="U590" s="4" t="inlineStr"/>
      <c r="V590" s="4" t="inlineStr"/>
      <c r="W590" s="4" t="inlineStr"/>
      <c r="X590" s="4" t="inlineStr"/>
      <c r="Y590" s="15" t="inlineStr">
        <is>
          <t>not_checked</t>
        </is>
      </c>
      <c r="Z590" s="14" t="inlineStr">
        <is>
          <t>pass</t>
        </is>
      </c>
      <c r="AA590" s="14" t="inlineStr">
        <is>
          <t>pass</t>
        </is>
      </c>
      <c r="AB590" s="4" t="inlineStr"/>
      <c r="AC590" s="4" t="inlineStr"/>
      <c r="AD590" s="14" t="inlineStr">
        <is>
          <t>pass</t>
        </is>
      </c>
      <c r="AE590" s="14" t="inlineStr">
        <is>
          <t>pass</t>
        </is>
      </c>
      <c r="AF590" s="16" t="inlineStr">
        <is>
          <t>warn</t>
        </is>
      </c>
      <c r="AG590" s="16" t="inlineStr">
        <is>
          <t>warn</t>
        </is>
      </c>
      <c r="AH590" s="16" t="inlineStr">
        <is>
          <t>warn</t>
        </is>
      </c>
      <c r="AI590" s="4" t="inlineStr"/>
      <c r="AJ590" s="4" t="inlineStr"/>
      <c r="AK590" s="4" t="inlineStr">
        <is>
          <t>access(warn);join_key(warn);format_gaia(warn)</t>
        </is>
      </c>
      <c r="AL590" s="17" t="inlineStr">
        <is>
          <t>https://doi.org/10.60541/fe0h-sx30</t>
        </is>
      </c>
      <c r="AM590" s="4" t="inlineStr">
        <is>
          <t>us_lawatlas_gabapentin_scheduling_pdmp_laws</t>
        </is>
      </c>
    </row>
    <row r="591">
      <c r="A591" s="4" t="inlineStr">
        <is>
          <t>State Firearm Law Database: State Firearm Laws, 1991-2019</t>
        </is>
      </c>
      <c r="B591" s="21" t="inlineStr">
        <is>
          <t>Browser needed</t>
        </is>
      </c>
      <c r="C591" s="4" t="inlineStr"/>
      <c r="D591" s="4" t="inlineStr"/>
      <c r="E591" s="4" t="inlineStr">
        <is>
          <t>blocked</t>
        </is>
      </c>
      <c r="F591" s="4" t="inlineStr">
        <is>
          <t>unknown</t>
        </is>
      </c>
      <c r="G591" s="4" t="inlineStr">
        <is>
          <t>state</t>
        </is>
      </c>
      <c r="H591" s="4" t="inlineStr"/>
      <c r="I591" s="4" t="inlineStr"/>
      <c r="J591" s="4" t="inlineStr"/>
      <c r="K591" s="4" t="inlineStr">
        <is>
          <t>Catalog lead</t>
        </is>
      </c>
      <c r="L591" s="4" t="inlineStr"/>
      <c r="M591" s="4" t="inlineStr"/>
      <c r="N591" s="4" t="inlineStr">
        <is>
          <t>2026-10-29</t>
        </is>
      </c>
      <c r="O591" s="16" t="inlineStr">
        <is>
          <t>warn</t>
        </is>
      </c>
      <c r="P591" s="4" t="inlineStr"/>
      <c r="Q591" s="4" t="inlineStr"/>
      <c r="R591" s="4" t="inlineStr"/>
      <c r="S591" s="4" t="inlineStr"/>
      <c r="T591" s="4" t="inlineStr"/>
      <c r="U591" s="4" t="inlineStr"/>
      <c r="V591" s="4" t="inlineStr"/>
      <c r="W591" s="4" t="inlineStr"/>
      <c r="X591" s="4" t="inlineStr"/>
      <c r="Y591" s="15" t="inlineStr">
        <is>
          <t>not_checked</t>
        </is>
      </c>
      <c r="Z591" s="15" t="inlineStr">
        <is>
          <t>not_checked</t>
        </is>
      </c>
      <c r="AA591" s="15" t="inlineStr">
        <is>
          <t>not_checked</t>
        </is>
      </c>
      <c r="AB591" s="4" t="inlineStr"/>
      <c r="AC591" s="4" t="inlineStr"/>
      <c r="AD591" s="15" t="inlineStr">
        <is>
          <t>not_checked</t>
        </is>
      </c>
      <c r="AE591" s="15" t="inlineStr">
        <is>
          <t>not_checked</t>
        </is>
      </c>
      <c r="AF591" s="15" t="inlineStr">
        <is>
          <t>not_checked</t>
        </is>
      </c>
      <c r="AG591" s="15" t="inlineStr">
        <is>
          <t>not_checked</t>
        </is>
      </c>
      <c r="AH591" s="15" t="inlineStr">
        <is>
          <t>not_checked</t>
        </is>
      </c>
      <c r="AI591" s="4" t="inlineStr"/>
      <c r="AJ591" s="4" t="inlineStr"/>
      <c r="AK591" s="4" t="inlineStr">
        <is>
          <t>blocked at content step (HTTP 403 or JavaScript-only page)</t>
        </is>
      </c>
      <c r="AL591" s="17" t="inlineStr">
        <is>
          <t>https://doi.org/10.3886/icpsr37363</t>
        </is>
      </c>
      <c r="AM591" s="4" t="inlineStr">
        <is>
          <t>us_icpsr_state_firearm_law_database</t>
        </is>
      </c>
    </row>
    <row r="592">
      <c r="A592" s="4" t="inlineStr">
        <is>
          <t>Population-Weighted Standardized Tobacco Policies (e-cigarette taxes, indoor air laws, flavored tobacco sales restrictions, cigar taxes) and Tobacco Specialty Retailers in the USA, by state/county and time</t>
        </is>
      </c>
      <c r="B592" s="21" t="inlineStr">
        <is>
          <t>Browser needed</t>
        </is>
      </c>
      <c r="C592" s="4" t="inlineStr"/>
      <c r="D592" s="4" t="inlineStr"/>
      <c r="E592" s="4" t="inlineStr">
        <is>
          <t>blocked</t>
        </is>
      </c>
      <c r="F592" s="4" t="inlineStr">
        <is>
          <t>unknown</t>
        </is>
      </c>
      <c r="G592" s="4" t="inlineStr"/>
      <c r="H592" s="4" t="inlineStr"/>
      <c r="I592" s="4" t="inlineStr"/>
      <c r="J592" s="4" t="inlineStr"/>
      <c r="K592" s="4" t="inlineStr">
        <is>
          <t>Catalog lead</t>
        </is>
      </c>
      <c r="L592" s="4" t="inlineStr"/>
      <c r="M592" s="4" t="inlineStr"/>
      <c r="N592" s="4" t="inlineStr">
        <is>
          <t>2026-10-29</t>
        </is>
      </c>
      <c r="O592" s="16" t="inlineStr">
        <is>
          <t>warn</t>
        </is>
      </c>
      <c r="P592" s="4" t="inlineStr"/>
      <c r="Q592" s="4" t="inlineStr"/>
      <c r="R592" s="4" t="inlineStr"/>
      <c r="S592" s="4" t="inlineStr"/>
      <c r="T592" s="4" t="inlineStr"/>
      <c r="U592" s="4" t="inlineStr"/>
      <c r="V592" s="4" t="inlineStr"/>
      <c r="W592" s="4" t="inlineStr"/>
      <c r="X592" s="4" t="inlineStr"/>
      <c r="Y592" s="15" t="inlineStr">
        <is>
          <t>not_checked</t>
        </is>
      </c>
      <c r="Z592" s="15" t="inlineStr">
        <is>
          <t>not_checked</t>
        </is>
      </c>
      <c r="AA592" s="15" t="inlineStr">
        <is>
          <t>not_checked</t>
        </is>
      </c>
      <c r="AB592" s="4" t="inlineStr"/>
      <c r="AC592" s="4" t="inlineStr"/>
      <c r="AD592" s="15" t="inlineStr">
        <is>
          <t>not_checked</t>
        </is>
      </c>
      <c r="AE592" s="15" t="inlineStr">
        <is>
          <t>not_checked</t>
        </is>
      </c>
      <c r="AF592" s="15" t="inlineStr">
        <is>
          <t>not_checked</t>
        </is>
      </c>
      <c r="AG592" s="15" t="inlineStr">
        <is>
          <t>not_checked</t>
        </is>
      </c>
      <c r="AH592" s="15" t="inlineStr">
        <is>
          <t>not_checked</t>
        </is>
      </c>
      <c r="AI592" s="4" t="inlineStr"/>
      <c r="AJ592" s="4" t="inlineStr"/>
      <c r="AK592" s="4" t="inlineStr">
        <is>
          <t>blocked at content step (HTTP 403 or JavaScript-only page)</t>
        </is>
      </c>
      <c r="AL592" s="17" t="inlineStr">
        <is>
          <t>https://doi.org/10.3886/e204041</t>
        </is>
      </c>
      <c r="AM592" s="4" t="inlineStr">
        <is>
          <t>us_icpsr_population_weighted_tobacco_policies</t>
        </is>
      </c>
    </row>
    <row r="593">
      <c r="A593" s="4" t="inlineStr">
        <is>
          <t>COVID-19 US State Policy Database</t>
        </is>
      </c>
      <c r="B593" s="19" t="inlineStr">
        <is>
          <t>Silver</t>
        </is>
      </c>
      <c r="C593" s="4" t="inlineStr"/>
      <c r="D593" s="4" t="inlineStr"/>
      <c r="E593" s="4" t="inlineStr">
        <is>
          <t>healthy</t>
        </is>
      </c>
      <c r="F593" s="4" t="inlineStr">
        <is>
          <t>unknown</t>
        </is>
      </c>
      <c r="G593" s="4" t="inlineStr">
        <is>
          <t>state</t>
        </is>
      </c>
      <c r="H593" s="4" t="inlineStr"/>
      <c r="I593" s="4" t="inlineStr"/>
      <c r="J593" s="4" t="inlineStr"/>
      <c r="K593" s="4" t="inlineStr">
        <is>
          <t>Catalog lead</t>
        </is>
      </c>
      <c r="L593" s="4" t="n">
        <v>2020</v>
      </c>
      <c r="M593" s="4" t="inlineStr">
        <is>
          <t>unknown</t>
        </is>
      </c>
      <c r="N593" s="4" t="inlineStr">
        <is>
          <t>2026-10-29</t>
        </is>
      </c>
      <c r="O593" s="14" t="inlineStr">
        <is>
          <t>pass</t>
        </is>
      </c>
      <c r="P593" s="4" t="inlineStr"/>
      <c r="Q593" s="4" t="inlineStr"/>
      <c r="R593" s="14" t="inlineStr">
        <is>
          <t>pass</t>
        </is>
      </c>
      <c r="S593" s="14" t="inlineStr">
        <is>
          <t>pass</t>
        </is>
      </c>
      <c r="T593" s="4" t="inlineStr"/>
      <c r="U593" s="4" t="inlineStr"/>
      <c r="V593" s="4" t="inlineStr"/>
      <c r="W593" s="4" t="inlineStr"/>
      <c r="X593" s="4" t="inlineStr"/>
      <c r="Y593" s="15" t="inlineStr">
        <is>
          <t>not_checked</t>
        </is>
      </c>
      <c r="Z593" s="14" t="inlineStr">
        <is>
          <t>pass</t>
        </is>
      </c>
      <c r="AA593" s="14" t="inlineStr">
        <is>
          <t>pass</t>
        </is>
      </c>
      <c r="AB593" s="4" t="inlineStr"/>
      <c r="AC593" s="4" t="inlineStr"/>
      <c r="AD593" s="14" t="inlineStr">
        <is>
          <t>pass</t>
        </is>
      </c>
      <c r="AE593" s="14" t="inlineStr">
        <is>
          <t>pass</t>
        </is>
      </c>
      <c r="AF593" s="16" t="inlineStr">
        <is>
          <t>warn</t>
        </is>
      </c>
      <c r="AG593" s="16" t="inlineStr">
        <is>
          <t>warn</t>
        </is>
      </c>
      <c r="AH593" s="16" t="inlineStr">
        <is>
          <t>warn</t>
        </is>
      </c>
      <c r="AI593" s="4" t="inlineStr"/>
      <c r="AJ593" s="4" t="inlineStr"/>
      <c r="AK593" s="4" t="inlineStr">
        <is>
          <t>access(warn);join_key(warn);format_gaia(warn)</t>
        </is>
      </c>
      <c r="AL593" s="17" t="inlineStr">
        <is>
          <t>https://doi.org/10.3886/e119446</t>
        </is>
      </c>
      <c r="AM593" s="4" t="inlineStr">
        <is>
          <t>us_cusp_covid19_state_policy_database</t>
        </is>
      </c>
    </row>
    <row r="594">
      <c r="A594" s="4" t="inlineStr">
        <is>
          <t>Global Subnational Atlas of Poverty</t>
        </is>
      </c>
      <c r="B594" s="19" t="inlineStr">
        <is>
          <t>Silver</t>
        </is>
      </c>
      <c r="C594" s="4" t="inlineStr"/>
      <c r="D594" s="4" t="inlineStr"/>
      <c r="E594" s="4" t="inlineStr">
        <is>
          <t>healthy</t>
        </is>
      </c>
      <c r="F594" s="4" t="inlineStr">
        <is>
          <t>open</t>
        </is>
      </c>
      <c r="G594" s="4" t="inlineStr">
        <is>
          <t>admin1</t>
        </is>
      </c>
      <c r="H594" s="4" t="inlineStr"/>
      <c r="I594" s="4" t="inlineStr"/>
      <c r="J594" s="4" t="inlineStr"/>
      <c r="K594" s="4" t="inlineStr">
        <is>
          <t>Catalog lead</t>
        </is>
      </c>
      <c r="L594" s="4" t="inlineStr"/>
      <c r="M594" s="4" t="inlineStr">
        <is>
          <t>open</t>
        </is>
      </c>
      <c r="N594" s="4" t="inlineStr">
        <is>
          <t>2026-10-29</t>
        </is>
      </c>
      <c r="O594" s="14" t="inlineStr">
        <is>
          <t>pass</t>
        </is>
      </c>
      <c r="P594" s="4" t="inlineStr"/>
      <c r="Q594" s="4" t="inlineStr"/>
      <c r="R594" s="14" t="inlineStr">
        <is>
          <t>pass</t>
        </is>
      </c>
      <c r="S594" s="14" t="inlineStr">
        <is>
          <t>pass</t>
        </is>
      </c>
      <c r="T594" s="4" t="inlineStr"/>
      <c r="U594" s="4" t="inlineStr"/>
      <c r="V594" s="4" t="inlineStr"/>
      <c r="W594" s="4" t="inlineStr"/>
      <c r="X594" s="4" t="inlineStr"/>
      <c r="Y594" s="14" t="inlineStr">
        <is>
          <t>pass</t>
        </is>
      </c>
      <c r="Z594" s="16" t="inlineStr">
        <is>
          <t>warn</t>
        </is>
      </c>
      <c r="AA594" s="15" t="inlineStr">
        <is>
          <t>not_checked</t>
        </is>
      </c>
      <c r="AB594" s="4" t="inlineStr"/>
      <c r="AC594" s="4" t="inlineStr"/>
      <c r="AD594" s="15" t="inlineStr">
        <is>
          <t>not_checked</t>
        </is>
      </c>
      <c r="AE594" s="14" t="inlineStr">
        <is>
          <t>pass</t>
        </is>
      </c>
      <c r="AF594" s="14" t="inlineStr">
        <is>
          <t>pass</t>
        </is>
      </c>
      <c r="AG594" s="16" t="inlineStr">
        <is>
          <t>warn</t>
        </is>
      </c>
      <c r="AH594" s="16" t="inlineStr">
        <is>
          <t>warn</t>
        </is>
      </c>
      <c r="AI594" s="4" t="inlineStr"/>
      <c r="AJ594" s="4" t="inlineStr"/>
      <c r="AK594" s="4" t="inlineStr">
        <is>
          <t>temporal(warn);join_key(warn);format_gaia(warn)</t>
        </is>
      </c>
      <c r="AL594" s="17" t="inlineStr">
        <is>
          <t>https://doi.org/10.7910/dvn/mlhfaf</t>
        </is>
      </c>
      <c r="AM594" s="4" t="inlineStr">
        <is>
          <t>global_harvard_gsap_poverty_panel</t>
        </is>
      </c>
    </row>
    <row r="595">
      <c r="A595" s="4" t="inlineStr">
        <is>
          <t>Poverty Mapping Project: Global Subnational Infant Mortality Rates</t>
        </is>
      </c>
      <c r="B595" s="19" t="inlineStr">
        <is>
          <t>Silver</t>
        </is>
      </c>
      <c r="C595" s="4" t="inlineStr"/>
      <c r="D595" s="4" t="inlineStr"/>
      <c r="E595" s="4" t="inlineStr">
        <is>
          <t>healthy</t>
        </is>
      </c>
      <c r="F595" s="4" t="inlineStr">
        <is>
          <t>open</t>
        </is>
      </c>
      <c r="G595" s="4" t="inlineStr">
        <is>
          <t>polygon</t>
        </is>
      </c>
      <c r="H595" s="4" t="inlineStr"/>
      <c r="I595" s="4" t="inlineStr"/>
      <c r="J595" s="4" t="inlineStr"/>
      <c r="K595" s="4" t="inlineStr">
        <is>
          <t>Catalog lead</t>
        </is>
      </c>
      <c r="L595" s="4" t="n">
        <v>2000</v>
      </c>
      <c r="M595" s="4" t="inlineStr">
        <is>
          <t>open</t>
        </is>
      </c>
      <c r="N595" s="4" t="inlineStr">
        <is>
          <t>2026-10-29</t>
        </is>
      </c>
      <c r="O595" s="14" t="inlineStr">
        <is>
          <t>pass</t>
        </is>
      </c>
      <c r="P595" s="4" t="inlineStr"/>
      <c r="Q595" s="4" t="inlineStr"/>
      <c r="R595" s="14" t="inlineStr">
        <is>
          <t>pass</t>
        </is>
      </c>
      <c r="S595" s="14" t="inlineStr">
        <is>
          <t>pass</t>
        </is>
      </c>
      <c r="T595" s="4" t="inlineStr"/>
      <c r="U595" s="4" t="inlineStr"/>
      <c r="V595" s="4" t="inlineStr"/>
      <c r="W595" s="4" t="inlineStr"/>
      <c r="X595" s="4" t="inlineStr"/>
      <c r="Y595" s="14" t="inlineStr">
        <is>
          <t>pass</t>
        </is>
      </c>
      <c r="Z595" s="14" t="inlineStr">
        <is>
          <t>pass</t>
        </is>
      </c>
      <c r="AA595" s="16" t="inlineStr">
        <is>
          <t>warn</t>
        </is>
      </c>
      <c r="AB595" s="4" t="inlineStr"/>
      <c r="AC595" s="4" t="inlineStr"/>
      <c r="AD595" s="16" t="inlineStr">
        <is>
          <t>warn</t>
        </is>
      </c>
      <c r="AE595" s="14" t="inlineStr">
        <is>
          <t>pass</t>
        </is>
      </c>
      <c r="AF595" s="14" t="inlineStr">
        <is>
          <t>pass</t>
        </is>
      </c>
      <c r="AG595" s="14" t="inlineStr">
        <is>
          <t>pass</t>
        </is>
      </c>
      <c r="AH595" s="14" t="inlineStr">
        <is>
          <t>pass</t>
        </is>
      </c>
      <c r="AI595" s="4" t="inlineStr"/>
      <c r="AJ595" s="4" t="inlineStr"/>
      <c r="AK595" s="4" t="inlineStr">
        <is>
          <t>recency(warn);unit(warn)</t>
        </is>
      </c>
      <c r="AL595" s="17" t="inlineStr">
        <is>
          <t>https://doi.org/10.7910/dvn/wtnahq</t>
        </is>
      </c>
      <c r="AM595" s="4" t="inlineStr">
        <is>
          <t>global_ciesin_povmap_subnational_infant_mortality</t>
        </is>
      </c>
    </row>
    <row r="596">
      <c r="A596" s="4" t="inlineStr">
        <is>
          <t>Poverty Mapping Project: Global Subnational Prevalence of Child Malnutrition</t>
        </is>
      </c>
      <c r="B596" s="19" t="inlineStr">
        <is>
          <t>Silver</t>
        </is>
      </c>
      <c r="C596" s="4" t="inlineStr"/>
      <c r="D596" s="4" t="inlineStr"/>
      <c r="E596" s="4" t="inlineStr">
        <is>
          <t>healthy</t>
        </is>
      </c>
      <c r="F596" s="4" t="inlineStr">
        <is>
          <t>open</t>
        </is>
      </c>
      <c r="G596" s="4" t="inlineStr">
        <is>
          <t>polygon</t>
        </is>
      </c>
      <c r="H596" s="4" t="inlineStr"/>
      <c r="I596" s="4" t="inlineStr"/>
      <c r="J596" s="4" t="inlineStr"/>
      <c r="K596" s="4" t="inlineStr">
        <is>
          <t>Catalog lead</t>
        </is>
      </c>
      <c r="L596" s="4" t="n">
        <v>2002</v>
      </c>
      <c r="M596" s="4" t="inlineStr">
        <is>
          <t>open</t>
        </is>
      </c>
      <c r="N596" s="4" t="inlineStr">
        <is>
          <t>2026-10-29</t>
        </is>
      </c>
      <c r="O596" s="14" t="inlineStr">
        <is>
          <t>pass</t>
        </is>
      </c>
      <c r="P596" s="4" t="inlineStr"/>
      <c r="Q596" s="4" t="inlineStr"/>
      <c r="R596" s="14" t="inlineStr">
        <is>
          <t>pass</t>
        </is>
      </c>
      <c r="S596" s="14" t="inlineStr">
        <is>
          <t>pass</t>
        </is>
      </c>
      <c r="T596" s="4" t="inlineStr"/>
      <c r="U596" s="4" t="inlineStr"/>
      <c r="V596" s="4" t="inlineStr"/>
      <c r="W596" s="4" t="inlineStr"/>
      <c r="X596" s="4" t="inlineStr"/>
      <c r="Y596" s="14" t="inlineStr">
        <is>
          <t>pass</t>
        </is>
      </c>
      <c r="Z596" s="14" t="inlineStr">
        <is>
          <t>pass</t>
        </is>
      </c>
      <c r="AA596" s="16" t="inlineStr">
        <is>
          <t>warn</t>
        </is>
      </c>
      <c r="AB596" s="4" t="inlineStr"/>
      <c r="AC596" s="4" t="inlineStr"/>
      <c r="AD596" s="16" t="inlineStr">
        <is>
          <t>warn</t>
        </is>
      </c>
      <c r="AE596" s="14" t="inlineStr">
        <is>
          <t>pass</t>
        </is>
      </c>
      <c r="AF596" s="14" t="inlineStr">
        <is>
          <t>pass</t>
        </is>
      </c>
      <c r="AG596" s="14" t="inlineStr">
        <is>
          <t>pass</t>
        </is>
      </c>
      <c r="AH596" s="14" t="inlineStr">
        <is>
          <t>pass</t>
        </is>
      </c>
      <c r="AI596" s="4" t="inlineStr"/>
      <c r="AJ596" s="4" t="inlineStr"/>
      <c r="AK596" s="4" t="inlineStr">
        <is>
          <t>recency(warn);unit(warn)</t>
        </is>
      </c>
      <c r="AL596" s="17" t="inlineStr">
        <is>
          <t>https://doi.org/10.7910/dvn/0ljjoj</t>
        </is>
      </c>
      <c r="AM596" s="4" t="inlineStr">
        <is>
          <t>global_ciesin_povmap_subnational_child_malnutrition</t>
        </is>
      </c>
    </row>
    <row r="597">
      <c r="A597" s="4" t="inlineStr">
        <is>
          <t>Poverty Mapping Project: Small Area Estimates of Poverty and Inequality</t>
        </is>
      </c>
      <c r="B597" s="19" t="inlineStr">
        <is>
          <t>Silver</t>
        </is>
      </c>
      <c r="C597" s="4" t="inlineStr"/>
      <c r="D597" s="4" t="inlineStr"/>
      <c r="E597" s="4" t="inlineStr">
        <is>
          <t>healthy</t>
        </is>
      </c>
      <c r="F597" s="4" t="inlineStr">
        <is>
          <t>open</t>
        </is>
      </c>
      <c r="G597" s="4" t="inlineStr">
        <is>
          <t>polygon</t>
        </is>
      </c>
      <c r="H597" s="4" t="inlineStr"/>
      <c r="I597" s="4" t="inlineStr"/>
      <c r="J597" s="4" t="inlineStr"/>
      <c r="K597" s="4" t="inlineStr">
        <is>
          <t>Catalog lead</t>
        </is>
      </c>
      <c r="L597" s="4" t="n">
        <v>2002</v>
      </c>
      <c r="M597" s="4" t="inlineStr">
        <is>
          <t>open</t>
        </is>
      </c>
      <c r="N597" s="4" t="inlineStr">
        <is>
          <t>2026-10-29</t>
        </is>
      </c>
      <c r="O597" s="14" t="inlineStr">
        <is>
          <t>pass</t>
        </is>
      </c>
      <c r="P597" s="4" t="inlineStr"/>
      <c r="Q597" s="4" t="inlineStr"/>
      <c r="R597" s="14" t="inlineStr">
        <is>
          <t>pass</t>
        </is>
      </c>
      <c r="S597" s="14" t="inlineStr">
        <is>
          <t>pass</t>
        </is>
      </c>
      <c r="T597" s="4" t="inlineStr"/>
      <c r="U597" s="4" t="inlineStr"/>
      <c r="V597" s="4" t="inlineStr"/>
      <c r="W597" s="4" t="inlineStr"/>
      <c r="X597" s="4" t="inlineStr"/>
      <c r="Y597" s="14" t="inlineStr">
        <is>
          <t>pass</t>
        </is>
      </c>
      <c r="Z597" s="14" t="inlineStr">
        <is>
          <t>pass</t>
        </is>
      </c>
      <c r="AA597" s="16" t="inlineStr">
        <is>
          <t>warn</t>
        </is>
      </c>
      <c r="AB597" s="4" t="inlineStr"/>
      <c r="AC597" s="4" t="inlineStr"/>
      <c r="AD597" s="16" t="inlineStr">
        <is>
          <t>warn</t>
        </is>
      </c>
      <c r="AE597" s="14" t="inlineStr">
        <is>
          <t>pass</t>
        </is>
      </c>
      <c r="AF597" s="14" t="inlineStr">
        <is>
          <t>pass</t>
        </is>
      </c>
      <c r="AG597" s="14" t="inlineStr">
        <is>
          <t>pass</t>
        </is>
      </c>
      <c r="AH597" s="14" t="inlineStr">
        <is>
          <t>pass</t>
        </is>
      </c>
      <c r="AI597" s="4" t="inlineStr"/>
      <c r="AJ597" s="4" t="inlineStr"/>
      <c r="AK597" s="4" t="inlineStr">
        <is>
          <t>recency(warn);unit(warn)</t>
        </is>
      </c>
      <c r="AL597" s="17" t="inlineStr">
        <is>
          <t>https://doi.org/10.7910/dvn/rkrw8q</t>
        </is>
      </c>
      <c r="AM597" s="4" t="inlineStr">
        <is>
          <t>global_ciesin_povmap_small_area_poverty_inequality</t>
        </is>
      </c>
    </row>
    <row r="598">
      <c r="A598" s="4" t="inlineStr">
        <is>
          <t>National Poverty Line  - Subnational Poverty</t>
        </is>
      </c>
      <c r="B598" s="13" t="inlineStr">
        <is>
          <t>Gold</t>
        </is>
      </c>
      <c r="C598" s="4" t="inlineStr"/>
      <c r="D598" s="4" t="inlineStr"/>
      <c r="E598" s="4" t="inlineStr">
        <is>
          <t>healthy</t>
        </is>
      </c>
      <c r="F598" s="4" t="inlineStr">
        <is>
          <t>open</t>
        </is>
      </c>
      <c r="G598" s="4" t="inlineStr">
        <is>
          <t>admin1</t>
        </is>
      </c>
      <c r="H598" s="4" t="inlineStr"/>
      <c r="I598" s="4" t="inlineStr"/>
      <c r="J598" s="4" t="inlineStr"/>
      <c r="K598" s="4" t="inlineStr">
        <is>
          <t>Catalog lead</t>
        </is>
      </c>
      <c r="L598" s="4" t="n">
        <v>2016</v>
      </c>
      <c r="M598" s="4" t="inlineStr">
        <is>
          <t>open</t>
        </is>
      </c>
      <c r="N598" s="4" t="inlineStr">
        <is>
          <t>2026-10-29</t>
        </is>
      </c>
      <c r="O598" s="14" t="inlineStr">
        <is>
          <t>pass</t>
        </is>
      </c>
      <c r="P598" s="4" t="inlineStr"/>
      <c r="Q598" s="4" t="inlineStr"/>
      <c r="R598" s="14" t="inlineStr">
        <is>
          <t>pass</t>
        </is>
      </c>
      <c r="S598" s="14" t="inlineStr">
        <is>
          <t>pass</t>
        </is>
      </c>
      <c r="T598" s="4" t="inlineStr"/>
      <c r="U598" s="4" t="inlineStr"/>
      <c r="V598" s="4" t="inlineStr"/>
      <c r="W598" s="4" t="inlineStr"/>
      <c r="X598" s="4" t="inlineStr"/>
      <c r="Y598" s="14" t="inlineStr">
        <is>
          <t>pass</t>
        </is>
      </c>
      <c r="Z598" s="14" t="inlineStr">
        <is>
          <t>pass</t>
        </is>
      </c>
      <c r="AA598" s="16" t="inlineStr">
        <is>
          <t>warn</t>
        </is>
      </c>
      <c r="AB598" s="4" t="inlineStr"/>
      <c r="AC598" s="4" t="inlineStr"/>
      <c r="AD598" s="14" t="inlineStr">
        <is>
          <t>pass</t>
        </is>
      </c>
      <c r="AE598" s="14" t="inlineStr">
        <is>
          <t>pass</t>
        </is>
      </c>
      <c r="AF598" s="14" t="inlineStr">
        <is>
          <t>pass</t>
        </is>
      </c>
      <c r="AG598" s="16" t="inlineStr">
        <is>
          <t>warn</t>
        </is>
      </c>
      <c r="AH598" s="16" t="inlineStr">
        <is>
          <t>warn</t>
        </is>
      </c>
      <c r="AI598" s="4" t="inlineStr"/>
      <c r="AJ598" s="4" t="inlineStr"/>
      <c r="AK598" s="4" t="inlineStr">
        <is>
          <t>recency(warn);join_key(warn);format_gaia(warn)</t>
        </is>
      </c>
      <c r="AL598" s="17" t="inlineStr">
        <is>
          <t>https://doi.org/10.57966/tk74-ep75</t>
        </is>
      </c>
      <c r="AM598" s="4" t="inlineStr">
        <is>
          <t>global_worldbank_national_poverty_line_subnational</t>
        </is>
      </c>
    </row>
    <row r="599">
      <c r="A599" s="4" t="inlineStr">
        <is>
          <t>USAID DHS Spatial Data Repository</t>
        </is>
      </c>
      <c r="B599" s="21" t="inlineStr">
        <is>
          <t>Browser needed</t>
        </is>
      </c>
      <c r="C599" s="4" t="inlineStr"/>
      <c r="D599" s="4" t="inlineStr"/>
      <c r="E599" s="4" t="inlineStr">
        <is>
          <t>blocked</t>
        </is>
      </c>
      <c r="F599" s="4" t="inlineStr">
        <is>
          <t>unknown</t>
        </is>
      </c>
      <c r="G599" s="4" t="inlineStr"/>
      <c r="H599" s="4" t="inlineStr"/>
      <c r="I599" s="4" t="inlineStr"/>
      <c r="J599" s="4" t="inlineStr"/>
      <c r="K599" s="4" t="inlineStr">
        <is>
          <t>Catalog lead</t>
        </is>
      </c>
      <c r="L599" s="4" t="inlineStr"/>
      <c r="M599" s="4" t="inlineStr"/>
      <c r="N599" s="4" t="inlineStr">
        <is>
          <t>2026-10-29</t>
        </is>
      </c>
      <c r="O599" s="16" t="inlineStr">
        <is>
          <t>warn</t>
        </is>
      </c>
      <c r="P599" s="4" t="inlineStr"/>
      <c r="Q599" s="4" t="inlineStr"/>
      <c r="R599" s="4" t="inlineStr"/>
      <c r="S599" s="4" t="inlineStr"/>
      <c r="T599" s="4" t="inlineStr"/>
      <c r="U599" s="4" t="inlineStr"/>
      <c r="V599" s="4" t="inlineStr"/>
      <c r="W599" s="4" t="inlineStr"/>
      <c r="X599" s="4" t="inlineStr"/>
      <c r="Y599" s="15" t="inlineStr">
        <is>
          <t>not_checked</t>
        </is>
      </c>
      <c r="Z599" s="15" t="inlineStr">
        <is>
          <t>not_checked</t>
        </is>
      </c>
      <c r="AA599" s="15" t="inlineStr">
        <is>
          <t>not_checked</t>
        </is>
      </c>
      <c r="AB599" s="4" t="inlineStr"/>
      <c r="AC599" s="4" t="inlineStr"/>
      <c r="AD599" s="15" t="inlineStr">
        <is>
          <t>not_checked</t>
        </is>
      </c>
      <c r="AE599" s="15" t="inlineStr">
        <is>
          <t>not_checked</t>
        </is>
      </c>
      <c r="AF599" s="15" t="inlineStr">
        <is>
          <t>not_checked</t>
        </is>
      </c>
      <c r="AG599" s="15" t="inlineStr">
        <is>
          <t>not_checked</t>
        </is>
      </c>
      <c r="AH599" s="15" t="inlineStr">
        <is>
          <t>not_checked</t>
        </is>
      </c>
      <c r="AI599" s="4" t="inlineStr"/>
      <c r="AJ599" s="4" t="inlineStr"/>
      <c r="AK599" s="4" t="inlineStr">
        <is>
          <t>blocked at content step (HTTP 403 or JavaScript-only page)</t>
        </is>
      </c>
      <c r="AL599" s="17" t="inlineStr">
        <is>
          <t>https://doi.org/10.3886/e224321</t>
        </is>
      </c>
      <c r="AM599" s="4" t="inlineStr">
        <is>
          <t>global_usaid_dhs_spatial_data_repository</t>
        </is>
      </c>
    </row>
    <row r="600">
      <c r="A600" s="4" t="inlineStr">
        <is>
          <t>Mexico Subnational Poverty Trends (Global MPI)</t>
        </is>
      </c>
      <c r="B600" s="20" t="inlineStr">
        <is>
          <t>Bronze</t>
        </is>
      </c>
      <c r="C600" s="4" t="inlineStr"/>
      <c r="D600" s="4" t="inlineStr"/>
      <c r="E600" s="4" t="inlineStr">
        <is>
          <t>healthy</t>
        </is>
      </c>
      <c r="F600" s="4" t="inlineStr">
        <is>
          <t>unknown</t>
        </is>
      </c>
      <c r="G600" s="4" t="inlineStr">
        <is>
          <t>admin1</t>
        </is>
      </c>
      <c r="H600" s="4" t="inlineStr"/>
      <c r="I600" s="4" t="inlineStr"/>
      <c r="J600" s="4" t="inlineStr"/>
      <c r="K600" s="4" t="inlineStr">
        <is>
          <t>Catalog lead</t>
        </is>
      </c>
      <c r="L600" s="4" t="inlineStr"/>
      <c r="M600" s="4" t="inlineStr">
        <is>
          <t>unknown</t>
        </is>
      </c>
      <c r="N600" s="4" t="inlineStr">
        <is>
          <t>2026-10-29</t>
        </is>
      </c>
      <c r="O600" s="14" t="inlineStr">
        <is>
          <t>pass</t>
        </is>
      </c>
      <c r="P600" s="4" t="inlineStr"/>
      <c r="Q600" s="4" t="inlineStr"/>
      <c r="R600" s="14" t="inlineStr">
        <is>
          <t>pass</t>
        </is>
      </c>
      <c r="S600" s="14" t="inlineStr">
        <is>
          <t>pass</t>
        </is>
      </c>
      <c r="T600" s="4" t="inlineStr"/>
      <c r="U600" s="4" t="inlineStr"/>
      <c r="V600" s="4" t="inlineStr"/>
      <c r="W600" s="4" t="inlineStr"/>
      <c r="X600" s="4" t="inlineStr"/>
      <c r="Y600" s="16" t="inlineStr">
        <is>
          <t>warn</t>
        </is>
      </c>
      <c r="Z600" s="16" t="inlineStr">
        <is>
          <t>warn</t>
        </is>
      </c>
      <c r="AA600" s="15" t="inlineStr">
        <is>
          <t>not_checked</t>
        </is>
      </c>
      <c r="AB600" s="4" t="inlineStr"/>
      <c r="AC600" s="4" t="inlineStr"/>
      <c r="AD600" s="16" t="inlineStr">
        <is>
          <t>warn</t>
        </is>
      </c>
      <c r="AE600" s="14" t="inlineStr">
        <is>
          <t>pass</t>
        </is>
      </c>
      <c r="AF600" s="16" t="inlineStr">
        <is>
          <t>warn</t>
        </is>
      </c>
      <c r="AG600" s="16" t="inlineStr">
        <is>
          <t>warn</t>
        </is>
      </c>
      <c r="AH600" s="16" t="inlineStr">
        <is>
          <t>warn</t>
        </is>
      </c>
      <c r="AI600" s="4" t="inlineStr"/>
      <c r="AJ600" s="4" t="inlineStr"/>
      <c r="AK600" s="4" t="inlineStr">
        <is>
          <t>license(warn);temporal(warn);unit(warn);access(warn);join_key(warn);format_gaia(warn)</t>
        </is>
      </c>
      <c r="AL600" s="17" t="inlineStr">
        <is>
          <t>https://doi.org/10.71646/aqjlzz</t>
        </is>
      </c>
      <c r="AM600" s="4" t="inlineStr">
        <is>
          <t>mx_climateverse_subnational_mpi_trends</t>
        </is>
      </c>
    </row>
    <row r="601">
      <c r="A601" s="4" t="inlineStr">
        <is>
          <t>Mexico - Subnational Demographic and Health Data</t>
        </is>
      </c>
      <c r="B601" s="20" t="inlineStr">
        <is>
          <t>Bronze</t>
        </is>
      </c>
      <c r="C601" s="4" t="inlineStr"/>
      <c r="D601" s="4" t="inlineStr"/>
      <c r="E601" s="4" t="inlineStr">
        <is>
          <t>healthy</t>
        </is>
      </c>
      <c r="F601" s="4" t="inlineStr">
        <is>
          <t>unknown</t>
        </is>
      </c>
      <c r="G601" s="4" t="inlineStr">
        <is>
          <t>admin1</t>
        </is>
      </c>
      <c r="H601" s="4" t="inlineStr"/>
      <c r="I601" s="4" t="inlineStr"/>
      <c r="J601" s="4" t="inlineStr"/>
      <c r="K601" s="4" t="inlineStr">
        <is>
          <t>Catalog lead</t>
        </is>
      </c>
      <c r="L601" s="4" t="inlineStr"/>
      <c r="M601" s="4" t="inlineStr">
        <is>
          <t>unknown</t>
        </is>
      </c>
      <c r="N601" s="4" t="inlineStr">
        <is>
          <t>2026-10-29</t>
        </is>
      </c>
      <c r="O601" s="14" t="inlineStr">
        <is>
          <t>pass</t>
        </is>
      </c>
      <c r="P601" s="4" t="inlineStr"/>
      <c r="Q601" s="4" t="inlineStr"/>
      <c r="R601" s="14" t="inlineStr">
        <is>
          <t>pass</t>
        </is>
      </c>
      <c r="S601" s="14" t="inlineStr">
        <is>
          <t>pass</t>
        </is>
      </c>
      <c r="T601" s="4" t="inlineStr"/>
      <c r="U601" s="4" t="inlineStr"/>
      <c r="V601" s="4" t="inlineStr"/>
      <c r="W601" s="4" t="inlineStr"/>
      <c r="X601" s="4" t="inlineStr"/>
      <c r="Y601" s="16" t="inlineStr">
        <is>
          <t>warn</t>
        </is>
      </c>
      <c r="Z601" s="16" t="inlineStr">
        <is>
          <t>warn</t>
        </is>
      </c>
      <c r="AA601" s="15" t="inlineStr">
        <is>
          <t>not_checked</t>
        </is>
      </c>
      <c r="AB601" s="4" t="inlineStr"/>
      <c r="AC601" s="4" t="inlineStr"/>
      <c r="AD601" s="16" t="inlineStr">
        <is>
          <t>warn</t>
        </is>
      </c>
      <c r="AE601" s="14" t="inlineStr">
        <is>
          <t>pass</t>
        </is>
      </c>
      <c r="AF601" s="16" t="inlineStr">
        <is>
          <t>warn</t>
        </is>
      </c>
      <c r="AG601" s="16" t="inlineStr">
        <is>
          <t>warn</t>
        </is>
      </c>
      <c r="AH601" s="16" t="inlineStr">
        <is>
          <t>warn</t>
        </is>
      </c>
      <c r="AI601" s="4" t="inlineStr"/>
      <c r="AJ601" s="4" t="inlineStr"/>
      <c r="AK601" s="4" t="inlineStr">
        <is>
          <t>license(warn);temporal(warn);unit(warn);access(warn);join_key(warn);format_gaia(warn)</t>
        </is>
      </c>
      <c r="AL601" s="17" t="inlineStr">
        <is>
          <t>https://doi.org/10.71646/uf5ewr</t>
        </is>
      </c>
      <c r="AM601" s="4" t="inlineStr">
        <is>
          <t>mx_climateverse_subnational_dhs</t>
        </is>
      </c>
    </row>
    <row r="602">
      <c r="A602" s="4" t="inlineStr">
        <is>
          <t>National Multidimensional Poverty Index</t>
        </is>
      </c>
      <c r="B602" s="19" t="inlineStr">
        <is>
          <t>Silver</t>
        </is>
      </c>
      <c r="C602" s="4" t="inlineStr"/>
      <c r="D602" s="4" t="inlineStr"/>
      <c r="E602" s="4" t="inlineStr">
        <is>
          <t>healthy</t>
        </is>
      </c>
      <c r="F602" s="4" t="inlineStr">
        <is>
          <t>open</t>
        </is>
      </c>
      <c r="G602" s="4" t="inlineStr">
        <is>
          <t>admin2</t>
        </is>
      </c>
      <c r="H602" s="4" t="inlineStr"/>
      <c r="I602" s="4" t="inlineStr"/>
      <c r="J602" s="4" t="inlineStr"/>
      <c r="K602" s="4" t="inlineStr">
        <is>
          <t>Catalog lead</t>
        </is>
      </c>
      <c r="L602" s="4" t="n">
        <v>2023</v>
      </c>
      <c r="M602" s="4" t="inlineStr">
        <is>
          <t>unknown</t>
        </is>
      </c>
      <c r="N602" s="4" t="inlineStr">
        <is>
          <t>2026-10-29</t>
        </is>
      </c>
      <c r="O602" s="14" t="inlineStr">
        <is>
          <t>pass</t>
        </is>
      </c>
      <c r="P602" s="4" t="inlineStr"/>
      <c r="Q602" s="4" t="inlineStr"/>
      <c r="R602" s="14" t="inlineStr">
        <is>
          <t>pass</t>
        </is>
      </c>
      <c r="S602" s="14" t="inlineStr">
        <is>
          <t>pass</t>
        </is>
      </c>
      <c r="T602" s="4" t="inlineStr"/>
      <c r="U602" s="4" t="inlineStr"/>
      <c r="V602" s="4" t="inlineStr"/>
      <c r="W602" s="4" t="inlineStr"/>
      <c r="X602" s="4" t="inlineStr"/>
      <c r="Y602" s="14" t="inlineStr">
        <is>
          <t>pass</t>
        </is>
      </c>
      <c r="Z602" s="14" t="inlineStr">
        <is>
          <t>pass</t>
        </is>
      </c>
      <c r="AA602" s="14" t="inlineStr">
        <is>
          <t>pass</t>
        </is>
      </c>
      <c r="AB602" s="4" t="inlineStr"/>
      <c r="AC602" s="4" t="inlineStr"/>
      <c r="AD602" s="14" t="inlineStr">
        <is>
          <t>pass</t>
        </is>
      </c>
      <c r="AE602" s="14" t="inlineStr">
        <is>
          <t>pass</t>
        </is>
      </c>
      <c r="AF602" s="16" t="inlineStr">
        <is>
          <t>warn</t>
        </is>
      </c>
      <c r="AG602" s="16" t="inlineStr">
        <is>
          <t>warn</t>
        </is>
      </c>
      <c r="AH602" s="16" t="inlineStr">
        <is>
          <t>warn</t>
        </is>
      </c>
      <c r="AI602" s="4" t="inlineStr"/>
      <c r="AJ602" s="4" t="inlineStr"/>
      <c r="AK602" s="4" t="inlineStr">
        <is>
          <t>access(warn);join_key(warn);format_gaia(warn)</t>
        </is>
      </c>
      <c r="AL602" s="17" t="inlineStr">
        <is>
          <t>https://doi.org/10.71646/ljsccn</t>
        </is>
      </c>
      <c r="AM602" s="4" t="inlineStr">
        <is>
          <t>in_climateverse_national_mpi_state_district</t>
        </is>
      </c>
    </row>
    <row r="603">
      <c r="A603" s="4" t="inlineStr">
        <is>
          <t>Satellite monitoring of cyanobacterial harmful algal bloom frequency in recreational waters and drinking water sources</t>
        </is>
      </c>
      <c r="B603" s="20" t="inlineStr">
        <is>
          <t>Bronze</t>
        </is>
      </c>
      <c r="C603" s="4" t="inlineStr"/>
      <c r="D603" s="4" t="inlineStr"/>
      <c r="E603" s="4" t="inlineStr">
        <is>
          <t>healthy</t>
        </is>
      </c>
      <c r="F603" s="4" t="inlineStr">
        <is>
          <t>unknown</t>
        </is>
      </c>
      <c r="G603" s="4" t="inlineStr">
        <is>
          <t>raster</t>
        </is>
      </c>
      <c r="H603" s="4" t="inlineStr"/>
      <c r="I603" s="4" t="inlineStr"/>
      <c r="J603" s="4" t="inlineStr"/>
      <c r="K603" s="4" t="inlineStr">
        <is>
          <t>Catalog lead</t>
        </is>
      </c>
      <c r="L603" s="4" t="n">
        <v>2017</v>
      </c>
      <c r="M603" s="4" t="inlineStr">
        <is>
          <t>restricted</t>
        </is>
      </c>
      <c r="N603" s="4" t="inlineStr">
        <is>
          <t>2026-10-29</t>
        </is>
      </c>
      <c r="O603" s="14" t="inlineStr">
        <is>
          <t>pass</t>
        </is>
      </c>
      <c r="P603" s="4" t="inlineStr"/>
      <c r="Q603" s="4" t="inlineStr"/>
      <c r="R603" s="14" t="inlineStr">
        <is>
          <t>pass</t>
        </is>
      </c>
      <c r="S603" s="14" t="inlineStr">
        <is>
          <t>pass</t>
        </is>
      </c>
      <c r="T603" s="4" t="inlineStr"/>
      <c r="U603" s="4" t="inlineStr"/>
      <c r="V603" s="4" t="inlineStr"/>
      <c r="W603" s="4" t="inlineStr"/>
      <c r="X603" s="4" t="inlineStr"/>
      <c r="Y603" s="16" t="inlineStr">
        <is>
          <t>warn</t>
        </is>
      </c>
      <c r="Z603" s="16" t="inlineStr">
        <is>
          <t>warn</t>
        </is>
      </c>
      <c r="AA603" s="16" t="inlineStr">
        <is>
          <t>warn</t>
        </is>
      </c>
      <c r="AB603" s="4" t="inlineStr"/>
      <c r="AC603" s="4" t="inlineStr"/>
      <c r="AD603" s="14" t="inlineStr">
        <is>
          <t>pass</t>
        </is>
      </c>
      <c r="AE603" s="14" t="inlineStr">
        <is>
          <t>pass</t>
        </is>
      </c>
      <c r="AF603" s="18" t="inlineStr">
        <is>
          <t>fail</t>
        </is>
      </c>
      <c r="AG603" s="16" t="inlineStr">
        <is>
          <t>warn</t>
        </is>
      </c>
      <c r="AH603" s="18" t="inlineStr">
        <is>
          <t>fail</t>
        </is>
      </c>
      <c r="AI603" s="4" t="inlineStr"/>
      <c r="AJ603" s="4" t="inlineStr"/>
      <c r="AK603" s="4" t="inlineStr">
        <is>
          <t>license(warn);temporal(warn);recency(warn);join_key(warn);access;format_gaia</t>
        </is>
      </c>
      <c r="AL603" s="17" t="inlineStr">
        <is>
          <t>https://doi.org/10.23719/1366973</t>
        </is>
      </c>
      <c r="AM603" s="4" t="inlineStr">
        <is>
          <t>us_epa_cyan_meris_cyano_frequency_oh_fl</t>
        </is>
      </c>
    </row>
    <row r="604">
      <c r="A604" s="4" t="inlineStr">
        <is>
          <t>Cyanobacterial HAB Monitoring using Satellite Imagery for the United States Great Lakes region created by the NOAA Harmful Algal Bloom Forecasting Branch (HAB-F) from 2000 to 2024 (NCEI Accession 0312614)</t>
        </is>
      </c>
      <c r="B604" s="19" t="inlineStr">
        <is>
          <t>Silver</t>
        </is>
      </c>
      <c r="C604" s="4" t="inlineStr"/>
      <c r="D604" s="4" t="inlineStr"/>
      <c r="E604" s="4" t="inlineStr">
        <is>
          <t>healthy</t>
        </is>
      </c>
      <c r="F604" s="4" t="inlineStr">
        <is>
          <t>open</t>
        </is>
      </c>
      <c r="G604" s="4" t="inlineStr">
        <is>
          <t>raster</t>
        </is>
      </c>
      <c r="H604" s="4" t="inlineStr"/>
      <c r="I604" s="4" t="inlineStr"/>
      <c r="J604" s="4" t="inlineStr"/>
      <c r="K604" s="4" t="inlineStr">
        <is>
          <t>Catalog lead</t>
        </is>
      </c>
      <c r="L604" s="4" t="n">
        <v>2024</v>
      </c>
      <c r="M604" s="4" t="inlineStr">
        <is>
          <t>open</t>
        </is>
      </c>
      <c r="N604" s="4" t="inlineStr">
        <is>
          <t>2026-10-29</t>
        </is>
      </c>
      <c r="O604" s="14" t="inlineStr">
        <is>
          <t>pass</t>
        </is>
      </c>
      <c r="P604" s="4" t="inlineStr"/>
      <c r="Q604" s="4" t="inlineStr"/>
      <c r="R604" s="14" t="inlineStr">
        <is>
          <t>pass</t>
        </is>
      </c>
      <c r="S604" s="14" t="inlineStr">
        <is>
          <t>pass</t>
        </is>
      </c>
      <c r="T604" s="4" t="inlineStr"/>
      <c r="U604" s="4" t="inlineStr"/>
      <c r="V604" s="4" t="inlineStr"/>
      <c r="W604" s="4" t="inlineStr"/>
      <c r="X604" s="4" t="inlineStr"/>
      <c r="Y604" s="14" t="inlineStr">
        <is>
          <t>pass</t>
        </is>
      </c>
      <c r="Z604" s="14" t="inlineStr">
        <is>
          <t>pass</t>
        </is>
      </c>
      <c r="AA604" s="14" t="inlineStr">
        <is>
          <t>pass</t>
        </is>
      </c>
      <c r="AB604" s="4" t="inlineStr"/>
      <c r="AC604" s="4" t="inlineStr"/>
      <c r="AD604" s="16" t="inlineStr">
        <is>
          <t>warn</t>
        </is>
      </c>
      <c r="AE604" s="14" t="inlineStr">
        <is>
          <t>pass</t>
        </is>
      </c>
      <c r="AF604" s="14" t="inlineStr">
        <is>
          <t>pass</t>
        </is>
      </c>
      <c r="AG604" s="16" t="inlineStr">
        <is>
          <t>warn</t>
        </is>
      </c>
      <c r="AH604" s="14" t="inlineStr">
        <is>
          <t>pass</t>
        </is>
      </c>
      <c r="AI604" s="4" t="inlineStr"/>
      <c r="AJ604" s="4" t="inlineStr"/>
      <c r="AK604" s="4" t="inlineStr">
        <is>
          <t>unit(warn);join_key(warn)</t>
        </is>
      </c>
      <c r="AL604" s="17" t="inlineStr">
        <is>
          <t>https://doi.org/10.25921/wzk1-r208</t>
        </is>
      </c>
      <c r="AM604" s="4" t="inlineStr">
        <is>
          <t>us_noaa_ncei_greatlakes_cyano_hab_satellite</t>
        </is>
      </c>
    </row>
    <row r="605">
      <c r="A605" s="4" t="inlineStr">
        <is>
          <t>Experimental Harmful Algal Bloom (HAB) bulletin forecast products and associated satellite imagery from Lake Erie from 2008-09-04 to 2016-11-01 created by the NOAA National Centers for Coastal Ocean Science</t>
        </is>
      </c>
      <c r="B605" s="19" t="inlineStr">
        <is>
          <t>Silver</t>
        </is>
      </c>
      <c r="C605" s="4" t="inlineStr"/>
      <c r="D605" s="4" t="inlineStr"/>
      <c r="E605" s="4" t="inlineStr">
        <is>
          <t>healthy</t>
        </is>
      </c>
      <c r="F605" s="4" t="inlineStr">
        <is>
          <t>open</t>
        </is>
      </c>
      <c r="G605" s="4" t="inlineStr">
        <is>
          <t>raster</t>
        </is>
      </c>
      <c r="H605" s="4" t="inlineStr"/>
      <c r="I605" s="4" t="inlineStr"/>
      <c r="J605" s="4" t="inlineStr"/>
      <c r="K605" s="4" t="inlineStr">
        <is>
          <t>Catalog lead</t>
        </is>
      </c>
      <c r="L605" s="4" t="n">
        <v>2016</v>
      </c>
      <c r="M605" s="4" t="inlineStr">
        <is>
          <t>open</t>
        </is>
      </c>
      <c r="N605" s="4" t="inlineStr">
        <is>
          <t>2026-10-29</t>
        </is>
      </c>
      <c r="O605" s="14" t="inlineStr">
        <is>
          <t>pass</t>
        </is>
      </c>
      <c r="P605" s="4" t="inlineStr"/>
      <c r="Q605" s="4" t="inlineStr"/>
      <c r="R605" s="14" t="inlineStr">
        <is>
          <t>pass</t>
        </is>
      </c>
      <c r="S605" s="14" t="inlineStr">
        <is>
          <t>pass</t>
        </is>
      </c>
      <c r="T605" s="4" t="inlineStr"/>
      <c r="U605" s="4" t="inlineStr"/>
      <c r="V605" s="4" t="inlineStr"/>
      <c r="W605" s="4" t="inlineStr"/>
      <c r="X605" s="4" t="inlineStr"/>
      <c r="Y605" s="14" t="inlineStr">
        <is>
          <t>pass</t>
        </is>
      </c>
      <c r="Z605" s="14" t="inlineStr">
        <is>
          <t>pass</t>
        </is>
      </c>
      <c r="AA605" s="16" t="inlineStr">
        <is>
          <t>warn</t>
        </is>
      </c>
      <c r="AB605" s="4" t="inlineStr"/>
      <c r="AC605" s="4" t="inlineStr"/>
      <c r="AD605" s="16" t="inlineStr">
        <is>
          <t>warn</t>
        </is>
      </c>
      <c r="AE605" s="14" t="inlineStr">
        <is>
          <t>pass</t>
        </is>
      </c>
      <c r="AF605" s="14" t="inlineStr">
        <is>
          <t>pass</t>
        </is>
      </c>
      <c r="AG605" s="16" t="inlineStr">
        <is>
          <t>warn</t>
        </is>
      </c>
      <c r="AH605" s="14" t="inlineStr">
        <is>
          <t>pass</t>
        </is>
      </c>
      <c r="AI605" s="4" t="inlineStr"/>
      <c r="AJ605" s="4" t="inlineStr"/>
      <c r="AK605" s="4" t="inlineStr">
        <is>
          <t>recency(warn);unit(warn);join_key(warn)</t>
        </is>
      </c>
      <c r="AL605" s="17" t="inlineStr">
        <is>
          <t>https://doi.org/10.25921/q053-h813</t>
        </is>
      </c>
      <c r="AM605" s="4" t="inlineStr">
        <is>
          <t>us_noaa_ncei_lake_erie_hab_bulletin_experimental</t>
        </is>
      </c>
    </row>
    <row r="606">
      <c r="A606" s="4" t="inlineStr">
        <is>
          <t>Harmful Algal Bloom Reports for 405 lakes in New York State (USA), with antecedent weather conditions and trophic status for each lake.</t>
        </is>
      </c>
      <c r="B606" s="21" t="inlineStr">
        <is>
          <t>Browser needed</t>
        </is>
      </c>
      <c r="C606" s="4" t="inlineStr"/>
      <c r="D606" s="4" t="inlineStr"/>
      <c r="E606" s="4" t="inlineStr">
        <is>
          <t>blocked</t>
        </is>
      </c>
      <c r="F606" s="4" t="inlineStr">
        <is>
          <t>unknown</t>
        </is>
      </c>
      <c r="G606" s="4" t="inlineStr"/>
      <c r="H606" s="4" t="inlineStr"/>
      <c r="I606" s="4" t="inlineStr"/>
      <c r="J606" s="4" t="inlineStr"/>
      <c r="K606" s="4" t="inlineStr">
        <is>
          <t>Catalog lead</t>
        </is>
      </c>
      <c r="L606" s="4" t="inlineStr"/>
      <c r="M606" s="4" t="inlineStr"/>
      <c r="N606" s="4" t="inlineStr">
        <is>
          <t>2026-10-29</t>
        </is>
      </c>
      <c r="O606" s="16" t="inlineStr">
        <is>
          <t>warn</t>
        </is>
      </c>
      <c r="P606" s="4" t="inlineStr"/>
      <c r="Q606" s="4" t="inlineStr"/>
      <c r="R606" s="4" t="inlineStr"/>
      <c r="S606" s="4" t="inlineStr"/>
      <c r="T606" s="4" t="inlineStr"/>
      <c r="U606" s="4" t="inlineStr"/>
      <c r="V606" s="4" t="inlineStr"/>
      <c r="W606" s="4" t="inlineStr"/>
      <c r="X606" s="4" t="inlineStr"/>
      <c r="Y606" s="15" t="inlineStr">
        <is>
          <t>not_checked</t>
        </is>
      </c>
      <c r="Z606" s="15" t="inlineStr">
        <is>
          <t>not_checked</t>
        </is>
      </c>
      <c r="AA606" s="15" t="inlineStr">
        <is>
          <t>not_checked</t>
        </is>
      </c>
      <c r="AB606" s="4" t="inlineStr"/>
      <c r="AC606" s="4" t="inlineStr"/>
      <c r="AD606" s="15" t="inlineStr">
        <is>
          <t>not_checked</t>
        </is>
      </c>
      <c r="AE606" s="15" t="inlineStr">
        <is>
          <t>not_checked</t>
        </is>
      </c>
      <c r="AF606" s="15" t="inlineStr">
        <is>
          <t>not_checked</t>
        </is>
      </c>
      <c r="AG606" s="15" t="inlineStr">
        <is>
          <t>not_checked</t>
        </is>
      </c>
      <c r="AH606" s="15" t="inlineStr">
        <is>
          <t>not_checked</t>
        </is>
      </c>
      <c r="AI606" s="4" t="inlineStr"/>
      <c r="AJ606" s="4" t="inlineStr"/>
      <c r="AK606" s="4" t="inlineStr">
        <is>
          <t>blocked at content step (HTTP 403 or JavaScript-only page)</t>
        </is>
      </c>
      <c r="AL606" s="17" t="inlineStr">
        <is>
          <t>https://doi.org/10.6073/pasta/12b922a74c9efc87403fca24bdca05b7</t>
        </is>
      </c>
      <c r="AM606" s="4" t="inlineStr">
        <is>
          <t>us_edi_ny_lakes_hab_reports</t>
        </is>
      </c>
    </row>
    <row r="607">
      <c r="A607" s="4" t="inlineStr">
        <is>
          <t>Data and Materials for: Statewide Intensification of Harmful Algal Blooms Across California Lakes and Reservoirs</t>
        </is>
      </c>
      <c r="B607" s="19" t="inlineStr">
        <is>
          <t>Silver</t>
        </is>
      </c>
      <c r="C607" s="4" t="inlineStr"/>
      <c r="D607" s="4" t="inlineStr"/>
      <c r="E607" s="4" t="inlineStr">
        <is>
          <t>healthy</t>
        </is>
      </c>
      <c r="F607" s="4" t="inlineStr">
        <is>
          <t>open</t>
        </is>
      </c>
      <c r="G607" s="4" t="inlineStr"/>
      <c r="H607" s="4" t="inlineStr"/>
      <c r="I607" s="4" t="inlineStr"/>
      <c r="J607" s="4" t="inlineStr"/>
      <c r="K607" s="4" t="inlineStr">
        <is>
          <t>Catalog lead</t>
        </is>
      </c>
      <c r="L607" s="4" t="inlineStr"/>
      <c r="M607" s="4" t="inlineStr">
        <is>
          <t>open</t>
        </is>
      </c>
      <c r="N607" s="4" t="inlineStr">
        <is>
          <t>2026-10-29</t>
        </is>
      </c>
      <c r="O607" s="14" t="inlineStr">
        <is>
          <t>pass</t>
        </is>
      </c>
      <c r="P607" s="4" t="inlineStr"/>
      <c r="Q607" s="4" t="inlineStr"/>
      <c r="R607" s="14" t="inlineStr">
        <is>
          <t>pass</t>
        </is>
      </c>
      <c r="S607" s="14" t="inlineStr">
        <is>
          <t>pass</t>
        </is>
      </c>
      <c r="T607" s="4" t="inlineStr"/>
      <c r="U607" s="4" t="inlineStr"/>
      <c r="V607" s="4" t="inlineStr"/>
      <c r="W607" s="4" t="inlineStr"/>
      <c r="X607" s="4" t="inlineStr"/>
      <c r="Y607" s="14" t="inlineStr">
        <is>
          <t>pass</t>
        </is>
      </c>
      <c r="Z607" s="16" t="inlineStr">
        <is>
          <t>warn</t>
        </is>
      </c>
      <c r="AA607" s="15" t="inlineStr">
        <is>
          <t>not_checked</t>
        </is>
      </c>
      <c r="AB607" s="4" t="inlineStr"/>
      <c r="AC607" s="4" t="inlineStr"/>
      <c r="AD607" s="15" t="inlineStr">
        <is>
          <t>not_checked</t>
        </is>
      </c>
      <c r="AE607" s="14" t="inlineStr">
        <is>
          <t>pass</t>
        </is>
      </c>
      <c r="AF607" s="14" t="inlineStr">
        <is>
          <t>pass</t>
        </is>
      </c>
      <c r="AG607" s="16" t="inlineStr">
        <is>
          <t>warn</t>
        </is>
      </c>
      <c r="AH607" s="16" t="inlineStr">
        <is>
          <t>warn</t>
        </is>
      </c>
      <c r="AI607" s="4" t="inlineStr"/>
      <c r="AJ607" s="4" t="inlineStr"/>
      <c r="AK607" s="4" t="inlineStr">
        <is>
          <t>temporal(warn);join_key(warn);format_gaia(warn)</t>
        </is>
      </c>
      <c r="AL607" s="17" t="inlineStr">
        <is>
          <t>https://doi.org/10.17632/66dm3vs3g2</t>
        </is>
      </c>
      <c r="AM607" s="4" t="inlineStr">
        <is>
          <t>us_mendeley_california_lakes_hab_intensification</t>
        </is>
      </c>
    </row>
    <row r="608">
      <c r="A608" s="4" t="inlineStr">
        <is>
          <t>PFAS in Iowa Drinking Water Sources</t>
        </is>
      </c>
      <c r="B608" s="21" t="inlineStr">
        <is>
          <t>Browser needed</t>
        </is>
      </c>
      <c r="C608" s="4" t="inlineStr"/>
      <c r="D608" s="4" t="inlineStr"/>
      <c r="E608" s="4" t="inlineStr">
        <is>
          <t>blocked</t>
        </is>
      </c>
      <c r="F608" s="4" t="inlineStr">
        <is>
          <t>unknown</t>
        </is>
      </c>
      <c r="G608" s="4" t="inlineStr"/>
      <c r="H608" s="4" t="inlineStr"/>
      <c r="I608" s="4" t="inlineStr"/>
      <c r="J608" s="4" t="inlineStr"/>
      <c r="K608" s="4" t="inlineStr">
        <is>
          <t>Catalog lead</t>
        </is>
      </c>
      <c r="L608" s="4" t="inlineStr"/>
      <c r="M608" s="4" t="inlineStr"/>
      <c r="N608" s="4" t="inlineStr">
        <is>
          <t>2026-10-29</t>
        </is>
      </c>
      <c r="O608" s="16" t="inlineStr">
        <is>
          <t>warn</t>
        </is>
      </c>
      <c r="P608" s="4" t="inlineStr"/>
      <c r="Q608" s="4" t="inlineStr"/>
      <c r="R608" s="4" t="inlineStr"/>
      <c r="S608" s="4" t="inlineStr"/>
      <c r="T608" s="4" t="inlineStr"/>
      <c r="U608" s="4" t="inlineStr"/>
      <c r="V608" s="4" t="inlineStr"/>
      <c r="W608" s="4" t="inlineStr"/>
      <c r="X608" s="4" t="inlineStr"/>
      <c r="Y608" s="15" t="inlineStr">
        <is>
          <t>not_checked</t>
        </is>
      </c>
      <c r="Z608" s="15" t="inlineStr">
        <is>
          <t>not_checked</t>
        </is>
      </c>
      <c r="AA608" s="15" t="inlineStr">
        <is>
          <t>not_checked</t>
        </is>
      </c>
      <c r="AB608" s="4" t="inlineStr"/>
      <c r="AC608" s="4" t="inlineStr"/>
      <c r="AD608" s="15" t="inlineStr">
        <is>
          <t>not_checked</t>
        </is>
      </c>
      <c r="AE608" s="15" t="inlineStr">
        <is>
          <t>not_checked</t>
        </is>
      </c>
      <c r="AF608" s="15" t="inlineStr">
        <is>
          <t>not_checked</t>
        </is>
      </c>
      <c r="AG608" s="15" t="inlineStr">
        <is>
          <t>not_checked</t>
        </is>
      </c>
      <c r="AH608" s="15" t="inlineStr">
        <is>
          <t>not_checked</t>
        </is>
      </c>
      <c r="AI608" s="4" t="inlineStr"/>
      <c r="AJ608" s="4" t="inlineStr"/>
      <c r="AK608" s="4" t="inlineStr">
        <is>
          <t>blocked at content step (HTTP 403 or JavaScript-only page)</t>
        </is>
      </c>
      <c r="AL608" s="17" t="inlineStr">
        <is>
          <t>https://doi.org/10.25380/iastate.28025432</t>
        </is>
      </c>
      <c r="AM608" s="4" t="inlineStr">
        <is>
          <t>us_iastate_pfas_iowa_drinking_water_sources</t>
        </is>
      </c>
    </row>
    <row r="609">
      <c r="A609" s="4" t="inlineStr">
        <is>
          <t>Calculating Hazard Indices for PFAS in California's Drinking Water</t>
        </is>
      </c>
      <c r="B609" s="19" t="inlineStr">
        <is>
          <t>Silver</t>
        </is>
      </c>
      <c r="C609" s="4" t="inlineStr"/>
      <c r="D609" s="4" t="inlineStr"/>
      <c r="E609" s="4" t="inlineStr">
        <is>
          <t>healthy</t>
        </is>
      </c>
      <c r="F609" s="4" t="inlineStr">
        <is>
          <t>open</t>
        </is>
      </c>
      <c r="G609" s="4" t="inlineStr">
        <is>
          <t>point</t>
        </is>
      </c>
      <c r="H609" s="4" t="inlineStr"/>
      <c r="I609" s="4" t="inlineStr"/>
      <c r="J609" s="4" t="inlineStr"/>
      <c r="K609" s="4" t="inlineStr">
        <is>
          <t>Catalog lead</t>
        </is>
      </c>
      <c r="L609" s="4" t="inlineStr"/>
      <c r="M609" s="4" t="inlineStr">
        <is>
          <t>open</t>
        </is>
      </c>
      <c r="N609" s="4" t="inlineStr">
        <is>
          <t>2026-10-29</t>
        </is>
      </c>
      <c r="O609" s="14" t="inlineStr">
        <is>
          <t>pass</t>
        </is>
      </c>
      <c r="P609" s="4" t="inlineStr"/>
      <c r="Q609" s="4" t="inlineStr"/>
      <c r="R609" s="14" t="inlineStr">
        <is>
          <t>pass</t>
        </is>
      </c>
      <c r="S609" s="14" t="inlineStr">
        <is>
          <t>pass</t>
        </is>
      </c>
      <c r="T609" s="4" t="inlineStr"/>
      <c r="U609" s="4" t="inlineStr"/>
      <c r="V609" s="4" t="inlineStr"/>
      <c r="W609" s="4" t="inlineStr"/>
      <c r="X609" s="4" t="inlineStr"/>
      <c r="Y609" s="14" t="inlineStr">
        <is>
          <t>pass</t>
        </is>
      </c>
      <c r="Z609" s="16" t="inlineStr">
        <is>
          <t>warn</t>
        </is>
      </c>
      <c r="AA609" s="15" t="inlineStr">
        <is>
          <t>not_checked</t>
        </is>
      </c>
      <c r="AB609" s="4" t="inlineStr"/>
      <c r="AC609" s="4" t="inlineStr"/>
      <c r="AD609" s="16" t="inlineStr">
        <is>
          <t>warn</t>
        </is>
      </c>
      <c r="AE609" s="14" t="inlineStr">
        <is>
          <t>pass</t>
        </is>
      </c>
      <c r="AF609" s="14" t="inlineStr">
        <is>
          <t>pass</t>
        </is>
      </c>
      <c r="AG609" s="16" t="inlineStr">
        <is>
          <t>warn</t>
        </is>
      </c>
      <c r="AH609" s="16" t="inlineStr">
        <is>
          <t>warn</t>
        </is>
      </c>
      <c r="AI609" s="4" t="inlineStr"/>
      <c r="AJ609" s="4" t="inlineStr"/>
      <c r="AK609" s="4" t="inlineStr">
        <is>
          <t>temporal(warn);unit(warn);join_key(warn);format_gaia(warn)</t>
        </is>
      </c>
      <c r="AL609" s="17" t="inlineStr">
        <is>
          <t>https://doi.org/10.17632/hy28gb37tg</t>
        </is>
      </c>
      <c r="AM609" s="4" t="inlineStr">
        <is>
          <t>us_mendeley_california_pfas_hazard_indices</t>
        </is>
      </c>
    </row>
    <row r="610">
      <c r="A610" s="4" t="inlineStr">
        <is>
          <t>Beachwatch swim sites with pollution forecasts and latest water quality, New South Wales</t>
        </is>
      </c>
      <c r="B610" s="13" t="inlineStr">
        <is>
          <t>Gold</t>
        </is>
      </c>
      <c r="C610" s="4" t="inlineStr"/>
      <c r="D610" s="4" t="inlineStr"/>
      <c r="E610" s="4" t="inlineStr">
        <is>
          <t>healthy</t>
        </is>
      </c>
      <c r="F610" s="4" t="inlineStr">
        <is>
          <t>open</t>
        </is>
      </c>
      <c r="G610" s="4" t="inlineStr">
        <is>
          <t>point</t>
        </is>
      </c>
      <c r="H610" s="4" t="inlineStr"/>
      <c r="I610" s="4" t="inlineStr"/>
      <c r="J610" s="4" t="inlineStr"/>
      <c r="K610" s="4" t="inlineStr">
        <is>
          <t>Catalog lead</t>
        </is>
      </c>
      <c r="L610" s="4" t="n">
        <v>2026</v>
      </c>
      <c r="M610" s="4" t="inlineStr">
        <is>
          <t>open</t>
        </is>
      </c>
      <c r="N610" s="4" t="inlineStr">
        <is>
          <t>2026-10-29</t>
        </is>
      </c>
      <c r="O610" s="14" t="inlineStr">
        <is>
          <t>pass</t>
        </is>
      </c>
      <c r="P610" s="4" t="inlineStr"/>
      <c r="Q610" s="4" t="inlineStr"/>
      <c r="R610" s="14" t="inlineStr">
        <is>
          <t>pass</t>
        </is>
      </c>
      <c r="S610" s="14" t="inlineStr">
        <is>
          <t>pass</t>
        </is>
      </c>
      <c r="T610" s="4" t="inlineStr"/>
      <c r="U610" s="4" t="inlineStr"/>
      <c r="V610" s="4" t="inlineStr"/>
      <c r="W610" s="4" t="inlineStr"/>
      <c r="X610" s="4" t="inlineStr"/>
      <c r="Y610" s="14" t="inlineStr">
        <is>
          <t>pass</t>
        </is>
      </c>
      <c r="Z610" s="14" t="inlineStr">
        <is>
          <t>pass</t>
        </is>
      </c>
      <c r="AA610" s="14" t="inlineStr">
        <is>
          <t>pass</t>
        </is>
      </c>
      <c r="AB610" s="4" t="inlineStr"/>
      <c r="AC610" s="4" t="inlineStr"/>
      <c r="AD610" s="14" t="inlineStr">
        <is>
          <t>pass</t>
        </is>
      </c>
      <c r="AE610" s="14" t="inlineStr">
        <is>
          <t>pass</t>
        </is>
      </c>
      <c r="AF610" s="14" t="inlineStr">
        <is>
          <t>pass</t>
        </is>
      </c>
      <c r="AG610" s="16" t="inlineStr">
        <is>
          <t>warn</t>
        </is>
      </c>
      <c r="AH610" s="14" t="inlineStr">
        <is>
          <t>pass</t>
        </is>
      </c>
      <c r="AI610" s="4" t="inlineStr"/>
      <c r="AJ610" s="4" t="inlineStr"/>
      <c r="AK610" s="4" t="inlineStr">
        <is>
          <t>join_key(warn)</t>
        </is>
      </c>
      <c r="AL610" s="17" t="inlineStr">
        <is>
          <t>https://doi.org/10.5281/zenodo.23113632</t>
        </is>
      </c>
      <c r="AM610" s="4" t="inlineStr">
        <is>
          <t>au_nsw_beachwatch_swim_sites_live</t>
        </is>
      </c>
    </row>
    <row r="611">
      <c r="A611" s="4" t="inlineStr">
        <is>
          <t>Compilation of riverine water quality data from the Great Barrier Reef catchment area, northeastern Australia: version 2.0</t>
        </is>
      </c>
      <c r="B611" s="19" t="inlineStr">
        <is>
          <t>Silver</t>
        </is>
      </c>
      <c r="C611" s="4" t="inlineStr"/>
      <c r="D611" s="4" t="inlineStr"/>
      <c r="E611" s="4" t="inlineStr">
        <is>
          <t>healthy</t>
        </is>
      </c>
      <c r="F611" s="4" t="inlineStr">
        <is>
          <t>open</t>
        </is>
      </c>
      <c r="G611" s="4" t="inlineStr">
        <is>
          <t>point</t>
        </is>
      </c>
      <c r="H611" s="4" t="inlineStr"/>
      <c r="I611" s="4" t="inlineStr"/>
      <c r="J611" s="4" t="inlineStr"/>
      <c r="K611" s="4" t="inlineStr">
        <is>
          <t>Catalog lead</t>
        </is>
      </c>
      <c r="L611" s="4" t="n">
        <v>2023</v>
      </c>
      <c r="M611" s="4" t="inlineStr">
        <is>
          <t>open</t>
        </is>
      </c>
      <c r="N611" s="4" t="inlineStr">
        <is>
          <t>2026-10-29</t>
        </is>
      </c>
      <c r="O611" s="14" t="inlineStr">
        <is>
          <t>pass</t>
        </is>
      </c>
      <c r="P611" s="4" t="inlineStr"/>
      <c r="Q611" s="4" t="inlineStr"/>
      <c r="R611" s="14" t="inlineStr">
        <is>
          <t>pass</t>
        </is>
      </c>
      <c r="S611" s="14" t="inlineStr">
        <is>
          <t>pass</t>
        </is>
      </c>
      <c r="T611" s="4" t="inlineStr"/>
      <c r="U611" s="4" t="inlineStr"/>
      <c r="V611" s="4" t="inlineStr"/>
      <c r="W611" s="4" t="inlineStr"/>
      <c r="X611" s="4" t="inlineStr"/>
      <c r="Y611" s="14" t="inlineStr">
        <is>
          <t>pass</t>
        </is>
      </c>
      <c r="Z611" s="14" t="inlineStr">
        <is>
          <t>pass</t>
        </is>
      </c>
      <c r="AA611" s="14" t="inlineStr">
        <is>
          <t>pass</t>
        </is>
      </c>
      <c r="AB611" s="4" t="inlineStr"/>
      <c r="AC611" s="4" t="inlineStr"/>
      <c r="AD611" s="16" t="inlineStr">
        <is>
          <t>warn</t>
        </is>
      </c>
      <c r="AE611" s="14" t="inlineStr">
        <is>
          <t>pass</t>
        </is>
      </c>
      <c r="AF611" s="14" t="inlineStr">
        <is>
          <t>pass</t>
        </is>
      </c>
      <c r="AG611" s="16" t="inlineStr">
        <is>
          <t>warn</t>
        </is>
      </c>
      <c r="AH611" s="16" t="inlineStr">
        <is>
          <t>warn</t>
        </is>
      </c>
      <c r="AI611" s="4" t="inlineStr"/>
      <c r="AJ611" s="4" t="inlineStr"/>
      <c r="AK611" s="4" t="inlineStr">
        <is>
          <t>unit(warn);join_key(warn);format_gaia(warn)</t>
        </is>
      </c>
      <c r="AL611" s="17" t="inlineStr">
        <is>
          <t>https://doi.org/10.25903/pase-na93</t>
        </is>
      </c>
      <c r="AM611" s="4" t="inlineStr">
        <is>
          <t>au_jcu_gbr_catchment_riverine_water_quality_v2</t>
        </is>
      </c>
    </row>
    <row r="612">
      <c r="A612" s="4" t="inlineStr">
        <is>
          <t>MODIS/Terra Land Surface Temperature/Emissivity Daily L3 Global 1km SIN Grid V061</t>
        </is>
      </c>
      <c r="B612" s="19" t="inlineStr">
        <is>
          <t>Silver</t>
        </is>
      </c>
      <c r="C612" s="4" t="inlineStr"/>
      <c r="D612" s="4" t="inlineStr"/>
      <c r="E612" s="4" t="inlineStr">
        <is>
          <t>healthy</t>
        </is>
      </c>
      <c r="F612" s="4" t="inlineStr">
        <is>
          <t>open</t>
        </is>
      </c>
      <c r="G612" s="4" t="inlineStr">
        <is>
          <t>raster</t>
        </is>
      </c>
      <c r="H612" s="4" t="inlineStr"/>
      <c r="I612" s="4" t="inlineStr"/>
      <c r="J612" s="4" t="inlineStr"/>
      <c r="K612" s="4" t="inlineStr">
        <is>
          <t>Catalog lead</t>
        </is>
      </c>
      <c r="L612" s="4" t="n">
        <v>2026</v>
      </c>
      <c r="M612" s="4" t="inlineStr">
        <is>
          <t>unknown</t>
        </is>
      </c>
      <c r="N612" s="4" t="inlineStr">
        <is>
          <t>2026-10-29</t>
        </is>
      </c>
      <c r="O612" s="14" t="inlineStr">
        <is>
          <t>pass</t>
        </is>
      </c>
      <c r="P612" s="4" t="inlineStr"/>
      <c r="Q612" s="4" t="inlineStr"/>
      <c r="R612" s="14" t="inlineStr">
        <is>
          <t>pass</t>
        </is>
      </c>
      <c r="S612" s="14" t="inlineStr">
        <is>
          <t>pass</t>
        </is>
      </c>
      <c r="T612" s="4" t="inlineStr"/>
      <c r="U612" s="4" t="inlineStr"/>
      <c r="V612" s="4" t="inlineStr"/>
      <c r="W612" s="4" t="inlineStr"/>
      <c r="X612" s="4" t="inlineStr"/>
      <c r="Y612" s="14" t="inlineStr">
        <is>
          <t>pass</t>
        </is>
      </c>
      <c r="Z612" s="14" t="inlineStr">
        <is>
          <t>pass</t>
        </is>
      </c>
      <c r="AA612" s="14" t="inlineStr">
        <is>
          <t>pass</t>
        </is>
      </c>
      <c r="AB612" s="4" t="inlineStr"/>
      <c r="AC612" s="4" t="inlineStr"/>
      <c r="AD612" s="14" t="inlineStr">
        <is>
          <t>pass</t>
        </is>
      </c>
      <c r="AE612" s="14" t="inlineStr">
        <is>
          <t>pass</t>
        </is>
      </c>
      <c r="AF612" s="16" t="inlineStr">
        <is>
          <t>warn</t>
        </is>
      </c>
      <c r="AG612" s="16" t="inlineStr">
        <is>
          <t>warn</t>
        </is>
      </c>
      <c r="AH612" s="16" t="inlineStr">
        <is>
          <t>warn</t>
        </is>
      </c>
      <c r="AI612" s="4" t="inlineStr"/>
      <c r="AJ612" s="4" t="inlineStr"/>
      <c r="AK612" s="4" t="inlineStr">
        <is>
          <t>access(warn);join_key(warn);format_gaia(warn)</t>
        </is>
      </c>
      <c r="AL612" s="17" t="inlineStr">
        <is>
          <t>https://doi.org/10.5067/modis/mod11a1.061</t>
        </is>
      </c>
      <c r="AM612" s="4" t="inlineStr">
        <is>
          <t>global_nasa_mod11a1_v061</t>
        </is>
      </c>
    </row>
    <row r="613">
      <c r="A613" s="4" t="inlineStr">
        <is>
          <t>VIIRS/NPP Land Surface Temperature and Emissivity Daily L3 Global 1km SIN Grid Day V001</t>
        </is>
      </c>
      <c r="B613" s="20" t="inlineStr">
        <is>
          <t>Bronze</t>
        </is>
      </c>
      <c r="C613" s="4" t="inlineStr"/>
      <c r="D613" s="4" t="inlineStr"/>
      <c r="E613" s="4" t="inlineStr">
        <is>
          <t>healthy</t>
        </is>
      </c>
      <c r="F613" s="4" t="inlineStr">
        <is>
          <t>open</t>
        </is>
      </c>
      <c r="G613" s="4" t="inlineStr">
        <is>
          <t>raster</t>
        </is>
      </c>
      <c r="H613" s="4" t="inlineStr"/>
      <c r="I613" s="4" t="inlineStr"/>
      <c r="J613" s="4" t="inlineStr"/>
      <c r="K613" s="4" t="inlineStr">
        <is>
          <t>Catalog lead</t>
        </is>
      </c>
      <c r="L613" s="4" t="n">
        <v>2024</v>
      </c>
      <c r="M613" s="4" t="inlineStr">
        <is>
          <t>unknown</t>
        </is>
      </c>
      <c r="N613" s="4" t="inlineStr">
        <is>
          <t>2026-10-29</t>
        </is>
      </c>
      <c r="O613" s="14" t="inlineStr">
        <is>
          <t>pass</t>
        </is>
      </c>
      <c r="P613" s="4" t="inlineStr"/>
      <c r="Q613" s="4" t="inlineStr"/>
      <c r="R613" s="14" t="inlineStr">
        <is>
          <t>pass</t>
        </is>
      </c>
      <c r="S613" s="16" t="inlineStr">
        <is>
          <t>warn</t>
        </is>
      </c>
      <c r="T613" s="4" t="inlineStr"/>
      <c r="U613" s="4" t="inlineStr"/>
      <c r="V613" s="4" t="inlineStr"/>
      <c r="W613" s="4" t="inlineStr"/>
      <c r="X613" s="4" t="inlineStr"/>
      <c r="Y613" s="14" t="inlineStr">
        <is>
          <t>pass</t>
        </is>
      </c>
      <c r="Z613" s="14" t="inlineStr">
        <is>
          <t>pass</t>
        </is>
      </c>
      <c r="AA613" s="14" t="inlineStr">
        <is>
          <t>pass</t>
        </is>
      </c>
      <c r="AB613" s="4" t="inlineStr"/>
      <c r="AC613" s="4" t="inlineStr"/>
      <c r="AD613" s="14" t="inlineStr">
        <is>
          <t>pass</t>
        </is>
      </c>
      <c r="AE613" s="14" t="inlineStr">
        <is>
          <t>pass</t>
        </is>
      </c>
      <c r="AF613" s="16" t="inlineStr">
        <is>
          <t>warn</t>
        </is>
      </c>
      <c r="AG613" s="16" t="inlineStr">
        <is>
          <t>warn</t>
        </is>
      </c>
      <c r="AH613" s="16" t="inlineStr">
        <is>
          <t>warn</t>
        </is>
      </c>
      <c r="AI613" s="4" t="inlineStr"/>
      <c r="AJ613" s="4" t="inlineStr"/>
      <c r="AK613" s="4" t="inlineStr">
        <is>
          <t>withdrawn(warn);access(warn);join_key(warn);format_gaia(warn)</t>
        </is>
      </c>
      <c r="AL613" s="17" t="inlineStr">
        <is>
          <t>https://doi.org/10.5067/viirs/vnp21a1d.001</t>
        </is>
      </c>
      <c r="AM613" s="4" t="inlineStr">
        <is>
          <t>global_nasa_vnp21a1d_v001</t>
        </is>
      </c>
    </row>
    <row r="614">
      <c r="A614" s="4" t="inlineStr">
        <is>
          <t>NOAA nClimGrid-Daily Version 1 – Daily gridded temperature and precipitation for the Contiguous United States since 1951</t>
        </is>
      </c>
      <c r="B614" s="13" t="inlineStr">
        <is>
          <t>Gold</t>
        </is>
      </c>
      <c r="C614" s="4" t="inlineStr"/>
      <c r="D614" s="4" t="inlineStr"/>
      <c r="E614" s="4" t="inlineStr">
        <is>
          <t>healthy</t>
        </is>
      </c>
      <c r="F614" s="4" t="inlineStr">
        <is>
          <t>open</t>
        </is>
      </c>
      <c r="G614" s="4" t="inlineStr">
        <is>
          <t>grid_5km</t>
        </is>
      </c>
      <c r="H614" s="4" t="inlineStr"/>
      <c r="I614" s="4" t="inlineStr"/>
      <c r="J614" s="4" t="inlineStr"/>
      <c r="K614" s="4" t="inlineStr">
        <is>
          <t>Catalog lead</t>
        </is>
      </c>
      <c r="L614" s="4" t="n">
        <v>2026</v>
      </c>
      <c r="M614" s="4" t="inlineStr">
        <is>
          <t>open</t>
        </is>
      </c>
      <c r="N614" s="4" t="inlineStr">
        <is>
          <t>2026-10-29</t>
        </is>
      </c>
      <c r="O614" s="14" t="inlineStr">
        <is>
          <t>pass</t>
        </is>
      </c>
      <c r="P614" s="4" t="inlineStr"/>
      <c r="Q614" s="4" t="inlineStr"/>
      <c r="R614" s="14" t="inlineStr">
        <is>
          <t>pass</t>
        </is>
      </c>
      <c r="S614" s="14" t="inlineStr">
        <is>
          <t>pass</t>
        </is>
      </c>
      <c r="T614" s="4" t="inlineStr"/>
      <c r="U614" s="4" t="inlineStr"/>
      <c r="V614" s="4" t="inlineStr"/>
      <c r="W614" s="4" t="inlineStr"/>
      <c r="X614" s="4" t="inlineStr"/>
      <c r="Y614" s="14" t="inlineStr">
        <is>
          <t>pass</t>
        </is>
      </c>
      <c r="Z614" s="14" t="inlineStr">
        <is>
          <t>pass</t>
        </is>
      </c>
      <c r="AA614" s="14" t="inlineStr">
        <is>
          <t>pass</t>
        </is>
      </c>
      <c r="AB614" s="4" t="inlineStr"/>
      <c r="AC614" s="4" t="inlineStr"/>
      <c r="AD614" s="14" t="inlineStr">
        <is>
          <t>pass</t>
        </is>
      </c>
      <c r="AE614" s="14" t="inlineStr">
        <is>
          <t>pass</t>
        </is>
      </c>
      <c r="AF614" s="14" t="inlineStr">
        <is>
          <t>pass</t>
        </is>
      </c>
      <c r="AG614" s="16" t="inlineStr">
        <is>
          <t>warn</t>
        </is>
      </c>
      <c r="AH614" s="14" t="inlineStr">
        <is>
          <t>pass</t>
        </is>
      </c>
      <c r="AI614" s="4" t="inlineStr"/>
      <c r="AJ614" s="4" t="inlineStr"/>
      <c r="AK614" s="4" t="inlineStr">
        <is>
          <t>join_key(warn)</t>
        </is>
      </c>
      <c r="AL614" s="17" t="inlineStr">
        <is>
          <t>https://doi.org/10.25921/c4gt-r169</t>
        </is>
      </c>
      <c r="AM614" s="4" t="inlineStr">
        <is>
          <t>us_noaa_nclimgrid_daily</t>
        </is>
      </c>
    </row>
    <row r="615">
      <c r="A615" s="4" t="inlineStr">
        <is>
          <t>GridEX: A Dataset for Assessing the Area-wide Extreme Heat and Cold (EHE/ECE) Exposure in the United States: 2008-2022</t>
        </is>
      </c>
      <c r="B615" s="13" t="inlineStr">
        <is>
          <t>Gold</t>
        </is>
      </c>
      <c r="C615" s="4" t="inlineStr"/>
      <c r="D615" s="4" t="inlineStr"/>
      <c r="E615" s="4" t="inlineStr">
        <is>
          <t>healthy</t>
        </is>
      </c>
      <c r="F615" s="4" t="inlineStr">
        <is>
          <t>open</t>
        </is>
      </c>
      <c r="G615" s="4" t="inlineStr">
        <is>
          <t>tract</t>
        </is>
      </c>
      <c r="H615" s="4" t="inlineStr"/>
      <c r="I615" s="4" t="inlineStr"/>
      <c r="J615" s="4" t="inlineStr"/>
      <c r="K615" s="4" t="inlineStr">
        <is>
          <t>Catalog lead</t>
        </is>
      </c>
      <c r="L615" s="4" t="n">
        <v>2022</v>
      </c>
      <c r="M615" s="4" t="inlineStr">
        <is>
          <t>open</t>
        </is>
      </c>
      <c r="N615" s="4" t="inlineStr">
        <is>
          <t>2026-10-29</t>
        </is>
      </c>
      <c r="O615" s="14" t="inlineStr">
        <is>
          <t>pass</t>
        </is>
      </c>
      <c r="P615" s="4" t="inlineStr"/>
      <c r="Q615" s="4" t="inlineStr"/>
      <c r="R615" s="14" t="inlineStr">
        <is>
          <t>pass</t>
        </is>
      </c>
      <c r="S615" s="14" t="inlineStr">
        <is>
          <t>pass</t>
        </is>
      </c>
      <c r="T615" s="4" t="inlineStr"/>
      <c r="U615" s="4" t="inlineStr"/>
      <c r="V615" s="4" t="inlineStr"/>
      <c r="W615" s="4" t="inlineStr"/>
      <c r="X615" s="4" t="inlineStr"/>
      <c r="Y615" s="14" t="inlineStr">
        <is>
          <t>pass</t>
        </is>
      </c>
      <c r="Z615" s="14" t="inlineStr">
        <is>
          <t>pass</t>
        </is>
      </c>
      <c r="AA615" s="14" t="inlineStr">
        <is>
          <t>pass</t>
        </is>
      </c>
      <c r="AB615" s="4" t="inlineStr"/>
      <c r="AC615" s="4" t="inlineStr"/>
      <c r="AD615" s="14" t="inlineStr">
        <is>
          <t>pass</t>
        </is>
      </c>
      <c r="AE615" s="14" t="inlineStr">
        <is>
          <t>pass</t>
        </is>
      </c>
      <c r="AF615" s="14" t="inlineStr">
        <is>
          <t>pass</t>
        </is>
      </c>
      <c r="AG615" s="16" t="inlineStr">
        <is>
          <t>warn</t>
        </is>
      </c>
      <c r="AH615" s="14" t="inlineStr">
        <is>
          <t>pass</t>
        </is>
      </c>
      <c r="AI615" s="4" t="inlineStr"/>
      <c r="AJ615" s="4" t="inlineStr"/>
      <c r="AK615" s="4" t="inlineStr">
        <is>
          <t>join_key(warn)</t>
        </is>
      </c>
      <c r="AL615" s="17" t="inlineStr">
        <is>
          <t>https://doi.org/10.7910/dvn/djgkdj</t>
        </is>
      </c>
      <c r="AM615" s="4" t="inlineStr">
        <is>
          <t>us_gridex_extreme_heat_cold_events</t>
        </is>
      </c>
    </row>
    <row r="616">
      <c r="A616" s="4" t="inlineStr">
        <is>
          <t>Global High Resolution Daily Urban Extreme Heat Exposure (UHE-Daily), 1983 - 2016</t>
        </is>
      </c>
      <c r="B616" s="19" t="inlineStr">
        <is>
          <t>Silver</t>
        </is>
      </c>
      <c r="C616" s="4" t="inlineStr"/>
      <c r="D616" s="4" t="inlineStr"/>
      <c r="E616" s="4" t="inlineStr">
        <is>
          <t>healthy</t>
        </is>
      </c>
      <c r="F616" s="4" t="inlineStr">
        <is>
          <t>open</t>
        </is>
      </c>
      <c r="G616" s="4" t="inlineStr">
        <is>
          <t>polygon</t>
        </is>
      </c>
      <c r="H616" s="4" t="inlineStr"/>
      <c r="I616" s="4" t="inlineStr"/>
      <c r="J616" s="4" t="inlineStr"/>
      <c r="K616" s="4" t="inlineStr">
        <is>
          <t>Catalog lead</t>
        </is>
      </c>
      <c r="L616" s="4" t="n">
        <v>2016</v>
      </c>
      <c r="M616" s="4" t="inlineStr">
        <is>
          <t>unknown</t>
        </is>
      </c>
      <c r="N616" s="4" t="inlineStr">
        <is>
          <t>2026-10-29</t>
        </is>
      </c>
      <c r="O616" s="14" t="inlineStr">
        <is>
          <t>pass</t>
        </is>
      </c>
      <c r="P616" s="4" t="inlineStr"/>
      <c r="Q616" s="4" t="inlineStr"/>
      <c r="R616" s="14" t="inlineStr">
        <is>
          <t>pass</t>
        </is>
      </c>
      <c r="S616" s="14" t="inlineStr">
        <is>
          <t>pass</t>
        </is>
      </c>
      <c r="T616" s="4" t="inlineStr"/>
      <c r="U616" s="4" t="inlineStr"/>
      <c r="V616" s="4" t="inlineStr"/>
      <c r="W616" s="4" t="inlineStr"/>
      <c r="X616" s="4" t="inlineStr"/>
      <c r="Y616" s="14" t="inlineStr">
        <is>
          <t>pass</t>
        </is>
      </c>
      <c r="Z616" s="14" t="inlineStr">
        <is>
          <t>pass</t>
        </is>
      </c>
      <c r="AA616" s="16" t="inlineStr">
        <is>
          <t>warn</t>
        </is>
      </c>
      <c r="AB616" s="4" t="inlineStr"/>
      <c r="AC616" s="4" t="inlineStr"/>
      <c r="AD616" s="16" t="inlineStr">
        <is>
          <t>warn</t>
        </is>
      </c>
      <c r="AE616" s="14" t="inlineStr">
        <is>
          <t>pass</t>
        </is>
      </c>
      <c r="AF616" s="16" t="inlineStr">
        <is>
          <t>warn</t>
        </is>
      </c>
      <c r="AG616" s="14" t="inlineStr">
        <is>
          <t>pass</t>
        </is>
      </c>
      <c r="AH616" s="14" t="inlineStr">
        <is>
          <t>pass</t>
        </is>
      </c>
      <c r="AI616" s="4" t="inlineStr"/>
      <c r="AJ616" s="4" t="inlineStr"/>
      <c r="AK616" s="4" t="inlineStr">
        <is>
          <t>recency(warn);unit(warn);access(warn)</t>
        </is>
      </c>
      <c r="AL616" s="17" t="inlineStr">
        <is>
          <t>https://doi.org/10.7927/fq7g-ny13</t>
        </is>
      </c>
      <c r="AM616" s="4" t="inlineStr">
        <is>
          <t>global_sedac_uhe_daily_1983_2016</t>
        </is>
      </c>
    </row>
    <row r="617">
      <c r="A617" s="4" t="inlineStr">
        <is>
          <t>Yearly Occupational Heat Exposure by Census Tract, County, State, and Nationwide in the Contiguous US, 2010-2019</t>
        </is>
      </c>
      <c r="B617" s="13" t="inlineStr">
        <is>
          <t>Gold</t>
        </is>
      </c>
      <c r="C617" s="4" t="inlineStr"/>
      <c r="D617" s="4" t="inlineStr"/>
      <c r="E617" s="4" t="inlineStr">
        <is>
          <t>healthy</t>
        </is>
      </c>
      <c r="F617" s="4" t="inlineStr">
        <is>
          <t>open</t>
        </is>
      </c>
      <c r="G617" s="4" t="inlineStr">
        <is>
          <t>tract</t>
        </is>
      </c>
      <c r="H617" s="4" t="inlineStr"/>
      <c r="I617" s="4" t="inlineStr"/>
      <c r="J617" s="4" t="inlineStr"/>
      <c r="K617" s="4" t="inlineStr">
        <is>
          <t>Catalog lead</t>
        </is>
      </c>
      <c r="L617" s="4" t="n">
        <v>2019</v>
      </c>
      <c r="M617" s="4" t="inlineStr">
        <is>
          <t>open</t>
        </is>
      </c>
      <c r="N617" s="4" t="inlineStr">
        <is>
          <t>2026-10-29</t>
        </is>
      </c>
      <c r="O617" s="14" t="inlineStr">
        <is>
          <t>pass</t>
        </is>
      </c>
      <c r="P617" s="4" t="inlineStr"/>
      <c r="Q617" s="4" t="inlineStr"/>
      <c r="R617" s="14" t="inlineStr">
        <is>
          <t>pass</t>
        </is>
      </c>
      <c r="S617" s="14" t="inlineStr">
        <is>
          <t>pass</t>
        </is>
      </c>
      <c r="T617" s="4" t="inlineStr"/>
      <c r="U617" s="4" t="inlineStr"/>
      <c r="V617" s="4" t="inlineStr"/>
      <c r="W617" s="4" t="inlineStr"/>
      <c r="X617" s="4" t="inlineStr"/>
      <c r="Y617" s="14" t="inlineStr">
        <is>
          <t>pass</t>
        </is>
      </c>
      <c r="Z617" s="14" t="inlineStr">
        <is>
          <t>pass</t>
        </is>
      </c>
      <c r="AA617" s="16" t="inlineStr">
        <is>
          <t>warn</t>
        </is>
      </c>
      <c r="AB617" s="4" t="inlineStr"/>
      <c r="AC617" s="4" t="inlineStr"/>
      <c r="AD617" s="14" t="inlineStr">
        <is>
          <t>pass</t>
        </is>
      </c>
      <c r="AE617" s="14" t="inlineStr">
        <is>
          <t>pass</t>
        </is>
      </c>
      <c r="AF617" s="14" t="inlineStr">
        <is>
          <t>pass</t>
        </is>
      </c>
      <c r="AG617" s="16" t="inlineStr">
        <is>
          <t>warn</t>
        </is>
      </c>
      <c r="AH617" s="16" t="inlineStr">
        <is>
          <t>warn</t>
        </is>
      </c>
      <c r="AI617" s="4" t="inlineStr"/>
      <c r="AJ617" s="4" t="inlineStr"/>
      <c r="AK617" s="4" t="inlineStr">
        <is>
          <t>recency(warn);join_key(warn);format_gaia(warn)</t>
        </is>
      </c>
      <c r="AL617" s="17" t="inlineStr">
        <is>
          <t>https://doi.org/10.5281/zenodo.15199025</t>
        </is>
      </c>
      <c r="AM617" s="4" t="inlineStr">
        <is>
          <t>us_zenodo_occupational_heat_exposure_tract</t>
        </is>
      </c>
    </row>
    <row r="618">
      <c r="A618" s="4" t="inlineStr">
        <is>
          <t>HadISDH.extremes: gridded global monthly land surface wet bulb and dry bulb temperature extremes index data version 1.0.0.2022f</t>
        </is>
      </c>
      <c r="B618" s="19" t="inlineStr">
        <is>
          <t>Silver</t>
        </is>
      </c>
      <c r="C618" s="4" t="inlineStr"/>
      <c r="D618" s="4" t="inlineStr"/>
      <c r="E618" s="4" t="inlineStr">
        <is>
          <t>healthy</t>
        </is>
      </c>
      <c r="F618" s="4" t="inlineStr">
        <is>
          <t>open</t>
        </is>
      </c>
      <c r="G618" s="4" t="inlineStr">
        <is>
          <t>grid_5deg</t>
        </is>
      </c>
      <c r="H618" s="4" t="inlineStr"/>
      <c r="I618" s="4" t="inlineStr"/>
      <c r="J618" s="4" t="inlineStr"/>
      <c r="K618" s="4" t="inlineStr">
        <is>
          <t>Catalog lead</t>
        </is>
      </c>
      <c r="L618" s="4" t="n">
        <v>2022</v>
      </c>
      <c r="M618" s="4" t="inlineStr">
        <is>
          <t>open</t>
        </is>
      </c>
      <c r="N618" s="4" t="inlineStr">
        <is>
          <t>2026-10-29</t>
        </is>
      </c>
      <c r="O618" s="14" t="inlineStr">
        <is>
          <t>pass</t>
        </is>
      </c>
      <c r="P618" s="4" t="inlineStr"/>
      <c r="Q618" s="4" t="inlineStr"/>
      <c r="R618" s="14" t="inlineStr">
        <is>
          <t>pass</t>
        </is>
      </c>
      <c r="S618" s="16" t="inlineStr">
        <is>
          <t>warn</t>
        </is>
      </c>
      <c r="T618" s="4" t="inlineStr"/>
      <c r="U618" s="4" t="inlineStr"/>
      <c r="V618" s="4" t="inlineStr"/>
      <c r="W618" s="4" t="inlineStr"/>
      <c r="X618" s="4" t="inlineStr"/>
      <c r="Y618" s="14" t="inlineStr">
        <is>
          <t>pass</t>
        </is>
      </c>
      <c r="Z618" s="14" t="inlineStr">
        <is>
          <t>pass</t>
        </is>
      </c>
      <c r="AA618" s="14" t="inlineStr">
        <is>
          <t>pass</t>
        </is>
      </c>
      <c r="AB618" s="4" t="inlineStr"/>
      <c r="AC618" s="4" t="inlineStr"/>
      <c r="AD618" s="14" t="inlineStr">
        <is>
          <t>pass</t>
        </is>
      </c>
      <c r="AE618" s="14" t="inlineStr">
        <is>
          <t>pass</t>
        </is>
      </c>
      <c r="AF618" s="14" t="inlineStr">
        <is>
          <t>pass</t>
        </is>
      </c>
      <c r="AG618" s="16" t="inlineStr">
        <is>
          <t>warn</t>
        </is>
      </c>
      <c r="AH618" s="14" t="inlineStr">
        <is>
          <t>pass</t>
        </is>
      </c>
      <c r="AI618" s="4" t="inlineStr"/>
      <c r="AJ618" s="4" t="inlineStr"/>
      <c r="AK618" s="4" t="inlineStr">
        <is>
          <t>withdrawn(warn);join_key(warn)</t>
        </is>
      </c>
      <c r="AL618" s="17" t="inlineStr">
        <is>
          <t>https://doi.org/10.5285/2d1613955e1b4cd1b156e5f3edbd7e66</t>
        </is>
      </c>
      <c r="AM618" s="4" t="inlineStr">
        <is>
          <t>gb_ceda_hadisdh_extremes</t>
        </is>
      </c>
    </row>
    <row r="619">
      <c r="A619" s="4" t="inlineStr">
        <is>
          <t>Global 0.05° daily mean land surface temperature product (2001-2023)</t>
        </is>
      </c>
      <c r="B619" s="13" t="inlineStr">
        <is>
          <t>Gold</t>
        </is>
      </c>
      <c r="C619" s="4" t="inlineStr"/>
      <c r="D619" s="4" t="inlineStr"/>
      <c r="E619" s="4" t="inlineStr">
        <is>
          <t>healthy</t>
        </is>
      </c>
      <c r="F619" s="4" t="inlineStr">
        <is>
          <t>open</t>
        </is>
      </c>
      <c r="G619" s="4" t="inlineStr">
        <is>
          <t>grid_0.05deg</t>
        </is>
      </c>
      <c r="H619" s="4" t="inlineStr"/>
      <c r="I619" s="4" t="inlineStr"/>
      <c r="J619" s="4" t="inlineStr"/>
      <c r="K619" s="4" t="inlineStr">
        <is>
          <t>Catalog lead</t>
        </is>
      </c>
      <c r="L619" s="4" t="n">
        <v>2023</v>
      </c>
      <c r="M619" s="4" t="inlineStr">
        <is>
          <t>open</t>
        </is>
      </c>
      <c r="N619" s="4" t="inlineStr">
        <is>
          <t>2026-10-29</t>
        </is>
      </c>
      <c r="O619" s="14" t="inlineStr">
        <is>
          <t>pass</t>
        </is>
      </c>
      <c r="P619" s="4" t="inlineStr"/>
      <c r="Q619" s="4" t="inlineStr"/>
      <c r="R619" s="14" t="inlineStr">
        <is>
          <t>pass</t>
        </is>
      </c>
      <c r="S619" s="14" t="inlineStr">
        <is>
          <t>pass</t>
        </is>
      </c>
      <c r="T619" s="4" t="inlineStr"/>
      <c r="U619" s="4" t="inlineStr"/>
      <c r="V619" s="4" t="inlineStr"/>
      <c r="W619" s="4" t="inlineStr"/>
      <c r="X619" s="4" t="inlineStr"/>
      <c r="Y619" s="14" t="inlineStr">
        <is>
          <t>pass</t>
        </is>
      </c>
      <c r="Z619" s="14" t="inlineStr">
        <is>
          <t>pass</t>
        </is>
      </c>
      <c r="AA619" s="14" t="inlineStr">
        <is>
          <t>pass</t>
        </is>
      </c>
      <c r="AB619" s="4" t="inlineStr"/>
      <c r="AC619" s="4" t="inlineStr"/>
      <c r="AD619" s="14" t="inlineStr">
        <is>
          <t>pass</t>
        </is>
      </c>
      <c r="AE619" s="14" t="inlineStr">
        <is>
          <t>pass</t>
        </is>
      </c>
      <c r="AF619" s="14" t="inlineStr">
        <is>
          <t>pass</t>
        </is>
      </c>
      <c r="AG619" s="16" t="inlineStr">
        <is>
          <t>warn</t>
        </is>
      </c>
      <c r="AH619" s="16" t="inlineStr">
        <is>
          <t>warn</t>
        </is>
      </c>
      <c r="AI619" s="4" t="inlineStr"/>
      <c r="AJ619" s="4" t="inlineStr"/>
      <c r="AK619" s="4" t="inlineStr">
        <is>
          <t>join_key(warn);format_gaia(warn)</t>
        </is>
      </c>
      <c r="AL619" s="17" t="inlineStr">
        <is>
          <t>https://doi.org/10.5281/zenodo.15187724</t>
        </is>
      </c>
      <c r="AM619" s="4" t="inlineStr">
        <is>
          <t>global_zenodo_lst_005deg_daily_2001_2023</t>
        </is>
      </c>
    </row>
    <row r="620">
      <c r="A620" s="4" t="inlineStr">
        <is>
          <t>Global Urban Heat Island Intensity Dataset</t>
        </is>
      </c>
      <c r="B620" s="21" t="inlineStr">
        <is>
          <t>Browser needed</t>
        </is>
      </c>
      <c r="C620" s="4" t="inlineStr"/>
      <c r="D620" s="4" t="inlineStr"/>
      <c r="E620" s="4" t="inlineStr">
        <is>
          <t>blocked</t>
        </is>
      </c>
      <c r="F620" s="4" t="inlineStr">
        <is>
          <t>unknown</t>
        </is>
      </c>
      <c r="G620" s="4" t="inlineStr"/>
      <c r="H620" s="4" t="inlineStr"/>
      <c r="I620" s="4" t="inlineStr"/>
      <c r="J620" s="4" t="inlineStr"/>
      <c r="K620" s="4" t="inlineStr">
        <is>
          <t>Catalog lead</t>
        </is>
      </c>
      <c r="L620" s="4" t="inlineStr"/>
      <c r="M620" s="4" t="inlineStr"/>
      <c r="N620" s="4" t="inlineStr">
        <is>
          <t>2026-10-29</t>
        </is>
      </c>
      <c r="O620" s="16" t="inlineStr">
        <is>
          <t>warn</t>
        </is>
      </c>
      <c r="P620" s="4" t="inlineStr"/>
      <c r="Q620" s="4" t="inlineStr"/>
      <c r="R620" s="4" t="inlineStr"/>
      <c r="S620" s="4" t="inlineStr"/>
      <c r="T620" s="4" t="inlineStr"/>
      <c r="U620" s="4" t="inlineStr"/>
      <c r="V620" s="4" t="inlineStr"/>
      <c r="W620" s="4" t="inlineStr"/>
      <c r="X620" s="4" t="inlineStr"/>
      <c r="Y620" s="15" t="inlineStr">
        <is>
          <t>not_checked</t>
        </is>
      </c>
      <c r="Z620" s="15" t="inlineStr">
        <is>
          <t>not_checked</t>
        </is>
      </c>
      <c r="AA620" s="15" t="inlineStr">
        <is>
          <t>not_checked</t>
        </is>
      </c>
      <c r="AB620" s="4" t="inlineStr"/>
      <c r="AC620" s="4" t="inlineStr"/>
      <c r="AD620" s="15" t="inlineStr">
        <is>
          <t>not_checked</t>
        </is>
      </c>
      <c r="AE620" s="15" t="inlineStr">
        <is>
          <t>not_checked</t>
        </is>
      </c>
      <c r="AF620" s="15" t="inlineStr">
        <is>
          <t>not_checked</t>
        </is>
      </c>
      <c r="AG620" s="15" t="inlineStr">
        <is>
          <t>not_checked</t>
        </is>
      </c>
      <c r="AH620" s="15" t="inlineStr">
        <is>
          <t>not_checked</t>
        </is>
      </c>
      <c r="AI620" s="4" t="inlineStr"/>
      <c r="AJ620" s="4" t="inlineStr"/>
      <c r="AK620" s="4" t="inlineStr">
        <is>
          <t>blocked at content step (HTTP 403 or JavaScript-only page)</t>
        </is>
      </c>
      <c r="AL620" s="17" t="inlineStr">
        <is>
          <t>https://doi.org/10.6084/m9.figshare.24821538</t>
        </is>
      </c>
      <c r="AM620" s="4" t="inlineStr">
        <is>
          <t>global_figshare_urban_heat_island_intensity</t>
        </is>
      </c>
    </row>
    <row r="621">
      <c r="A621" s="4" t="inlineStr">
        <is>
          <t>ERA5-Land weekly: Air temperature at 2 meter above surface, weekly time series for Europe at 1 km resolution (2016 - 2020)</t>
        </is>
      </c>
      <c r="B621" s="13" t="inlineStr">
        <is>
          <t>Gold</t>
        </is>
      </c>
      <c r="C621" s="4" t="inlineStr"/>
      <c r="D621" s="4" t="inlineStr"/>
      <c r="E621" s="4" t="inlineStr">
        <is>
          <t>healthy</t>
        </is>
      </c>
      <c r="F621" s="4" t="inlineStr">
        <is>
          <t>open</t>
        </is>
      </c>
      <c r="G621" s="4" t="inlineStr">
        <is>
          <t>grid_1km</t>
        </is>
      </c>
      <c r="H621" s="4" t="inlineStr"/>
      <c r="I621" s="4" t="inlineStr"/>
      <c r="J621" s="4" t="inlineStr"/>
      <c r="K621" s="4" t="inlineStr">
        <is>
          <t>Catalog lead</t>
        </is>
      </c>
      <c r="L621" s="4" t="n">
        <v>2020</v>
      </c>
      <c r="M621" s="4" t="inlineStr">
        <is>
          <t>open</t>
        </is>
      </c>
      <c r="N621" s="4" t="inlineStr">
        <is>
          <t>2026-10-29</t>
        </is>
      </c>
      <c r="O621" s="14" t="inlineStr">
        <is>
          <t>pass</t>
        </is>
      </c>
      <c r="P621" s="4" t="inlineStr"/>
      <c r="Q621" s="4" t="inlineStr"/>
      <c r="R621" s="14" t="inlineStr">
        <is>
          <t>pass</t>
        </is>
      </c>
      <c r="S621" s="14" t="inlineStr">
        <is>
          <t>pass</t>
        </is>
      </c>
      <c r="T621" s="4" t="inlineStr"/>
      <c r="U621" s="4" t="inlineStr"/>
      <c r="V621" s="4" t="inlineStr"/>
      <c r="W621" s="4" t="inlineStr"/>
      <c r="X621" s="4" t="inlineStr"/>
      <c r="Y621" s="14" t="inlineStr">
        <is>
          <t>pass</t>
        </is>
      </c>
      <c r="Z621" s="14" t="inlineStr">
        <is>
          <t>pass</t>
        </is>
      </c>
      <c r="AA621" s="14" t="inlineStr">
        <is>
          <t>pass</t>
        </is>
      </c>
      <c r="AB621" s="4" t="inlineStr"/>
      <c r="AC621" s="4" t="inlineStr"/>
      <c r="AD621" s="14" t="inlineStr">
        <is>
          <t>pass</t>
        </is>
      </c>
      <c r="AE621" s="14" t="inlineStr">
        <is>
          <t>pass</t>
        </is>
      </c>
      <c r="AF621" s="14" t="inlineStr">
        <is>
          <t>pass</t>
        </is>
      </c>
      <c r="AG621" s="16" t="inlineStr">
        <is>
          <t>warn</t>
        </is>
      </c>
      <c r="AH621" s="14" t="inlineStr">
        <is>
          <t>pass</t>
        </is>
      </c>
      <c r="AI621" s="4" t="inlineStr"/>
      <c r="AJ621" s="4" t="inlineStr"/>
      <c r="AK621" s="4" t="inlineStr">
        <is>
          <t>join_key(warn)</t>
        </is>
      </c>
      <c r="AL621" s="17" t="inlineStr">
        <is>
          <t>https://doi.org/10.5281/zenodo.6559121</t>
        </is>
      </c>
      <c r="AM621" s="4" t="inlineStr">
        <is>
          <t>eu_zenodo_era5land_weekly_air_temperature_1km</t>
        </is>
      </c>
    </row>
    <row r="622">
      <c r="A622" s="4" t="inlineStr">
        <is>
          <t>Daytime surface urban heat island intensity across 6022 global cities in summer 2019</t>
        </is>
      </c>
      <c r="B622" s="13" t="inlineStr">
        <is>
          <t>Gold</t>
        </is>
      </c>
      <c r="C622" s="4" t="inlineStr"/>
      <c r="D622" s="4" t="inlineStr"/>
      <c r="E622" s="4" t="inlineStr">
        <is>
          <t>healthy</t>
        </is>
      </c>
      <c r="F622" s="4" t="inlineStr">
        <is>
          <t>open</t>
        </is>
      </c>
      <c r="G622" s="4" t="inlineStr">
        <is>
          <t>point</t>
        </is>
      </c>
      <c r="H622" s="4" t="inlineStr"/>
      <c r="I622" s="4" t="inlineStr"/>
      <c r="J622" s="4" t="inlineStr"/>
      <c r="K622" s="4" t="inlineStr">
        <is>
          <t>Catalog lead</t>
        </is>
      </c>
      <c r="L622" s="4" t="n">
        <v>2019</v>
      </c>
      <c r="M622" s="4" t="inlineStr">
        <is>
          <t>open</t>
        </is>
      </c>
      <c r="N622" s="4" t="inlineStr">
        <is>
          <t>2026-10-29</t>
        </is>
      </c>
      <c r="O622" s="14" t="inlineStr">
        <is>
          <t>pass</t>
        </is>
      </c>
      <c r="P622" s="4" t="inlineStr"/>
      <c r="Q622" s="4" t="inlineStr"/>
      <c r="R622" s="14" t="inlineStr">
        <is>
          <t>pass</t>
        </is>
      </c>
      <c r="S622" s="14" t="inlineStr">
        <is>
          <t>pass</t>
        </is>
      </c>
      <c r="T622" s="4" t="inlineStr"/>
      <c r="U622" s="4" t="inlineStr"/>
      <c r="V622" s="4" t="inlineStr"/>
      <c r="W622" s="4" t="inlineStr"/>
      <c r="X622" s="4" t="inlineStr"/>
      <c r="Y622" s="14" t="inlineStr">
        <is>
          <t>pass</t>
        </is>
      </c>
      <c r="Z622" s="14" t="inlineStr">
        <is>
          <t>pass</t>
        </is>
      </c>
      <c r="AA622" s="16" t="inlineStr">
        <is>
          <t>warn</t>
        </is>
      </c>
      <c r="AB622" s="4" t="inlineStr"/>
      <c r="AC622" s="4" t="inlineStr"/>
      <c r="AD622" s="14" t="inlineStr">
        <is>
          <t>pass</t>
        </is>
      </c>
      <c r="AE622" s="14" t="inlineStr">
        <is>
          <t>pass</t>
        </is>
      </c>
      <c r="AF622" s="14" t="inlineStr">
        <is>
          <t>pass</t>
        </is>
      </c>
      <c r="AG622" s="14" t="inlineStr">
        <is>
          <t>pass</t>
        </is>
      </c>
      <c r="AH622" s="14" t="inlineStr">
        <is>
          <t>pass</t>
        </is>
      </c>
      <c r="AI622" s="4" t="inlineStr"/>
      <c r="AJ622" s="4" t="inlineStr"/>
      <c r="AK622" s="4" t="inlineStr">
        <is>
          <t>recency(warn)</t>
        </is>
      </c>
      <c r="AL622" s="17" t="inlineStr">
        <is>
          <t>https://doi.org/10.5281/zenodo.17644686</t>
        </is>
      </c>
      <c r="AM622" s="4" t="inlineStr">
        <is>
          <t>global_zenodo_daytime_suhi_6022_cities_2019</t>
        </is>
      </c>
    </row>
    <row r="623">
      <c r="A623" s="4" t="inlineStr">
        <is>
          <t>Land surface temperature and urban heat island estimates for Australian capital cities, summer 2018-19</t>
        </is>
      </c>
      <c r="B623" s="21" t="inlineStr">
        <is>
          <t>Browser needed</t>
        </is>
      </c>
      <c r="C623" s="4" t="inlineStr"/>
      <c r="D623" s="4" t="inlineStr"/>
      <c r="E623" s="4" t="inlineStr">
        <is>
          <t>blocked</t>
        </is>
      </c>
      <c r="F623" s="4" t="inlineStr">
        <is>
          <t>unknown</t>
        </is>
      </c>
      <c r="G623" s="4" t="inlineStr"/>
      <c r="H623" s="4" t="inlineStr"/>
      <c r="I623" s="4" t="inlineStr"/>
      <c r="J623" s="4" t="inlineStr"/>
      <c r="K623" s="4" t="inlineStr">
        <is>
          <t>Catalog lead</t>
        </is>
      </c>
      <c r="L623" s="4" t="inlineStr"/>
      <c r="M623" s="4" t="inlineStr"/>
      <c r="N623" s="4" t="inlineStr">
        <is>
          <t>2026-10-29</t>
        </is>
      </c>
      <c r="O623" s="16" t="inlineStr">
        <is>
          <t>warn</t>
        </is>
      </c>
      <c r="P623" s="4" t="inlineStr"/>
      <c r="Q623" s="4" t="inlineStr"/>
      <c r="R623" s="4" t="inlineStr"/>
      <c r="S623" s="4" t="inlineStr"/>
      <c r="T623" s="4" t="inlineStr"/>
      <c r="U623" s="4" t="inlineStr"/>
      <c r="V623" s="4" t="inlineStr"/>
      <c r="W623" s="4" t="inlineStr"/>
      <c r="X623" s="4" t="inlineStr"/>
      <c r="Y623" s="15" t="inlineStr">
        <is>
          <t>not_checked</t>
        </is>
      </c>
      <c r="Z623" s="15" t="inlineStr">
        <is>
          <t>not_checked</t>
        </is>
      </c>
      <c r="AA623" s="15" t="inlineStr">
        <is>
          <t>not_checked</t>
        </is>
      </c>
      <c r="AB623" s="4" t="inlineStr"/>
      <c r="AC623" s="4" t="inlineStr"/>
      <c r="AD623" s="15" t="inlineStr">
        <is>
          <t>not_checked</t>
        </is>
      </c>
      <c r="AE623" s="15" t="inlineStr">
        <is>
          <t>not_checked</t>
        </is>
      </c>
      <c r="AF623" s="15" t="inlineStr">
        <is>
          <t>not_checked</t>
        </is>
      </c>
      <c r="AG623" s="15" t="inlineStr">
        <is>
          <t>not_checked</t>
        </is>
      </c>
      <c r="AH623" s="15" t="inlineStr">
        <is>
          <t>not_checked</t>
        </is>
      </c>
      <c r="AI623" s="4" t="inlineStr"/>
      <c r="AJ623" s="4" t="inlineStr"/>
      <c r="AK623" s="4" t="inlineStr">
        <is>
          <t>blocked at content step (HTTP 403 or JavaScript-only page)</t>
        </is>
      </c>
      <c r="AL623" s="17" t="inlineStr">
        <is>
          <t>https://doi.org/10.25919/5d8adf30f001e</t>
        </is>
      </c>
      <c r="AM623" s="4" t="inlineStr">
        <is>
          <t>au_csiro_lst_uhi_capital_cities_2018_19</t>
        </is>
      </c>
    </row>
    <row r="624">
      <c r="A624" s="4" t="inlineStr">
        <is>
          <t>National Neighborhood Data Archive (NaNDA): Standardized Area Deprivation Index (ADI) by Census Block Group, United States, 2015, 2020 and 2022</t>
        </is>
      </c>
      <c r="B624" s="21" t="inlineStr">
        <is>
          <t>Browser needed</t>
        </is>
      </c>
      <c r="C624" s="4" t="inlineStr"/>
      <c r="D624" s="4" t="inlineStr"/>
      <c r="E624" s="4" t="inlineStr">
        <is>
          <t>blocked</t>
        </is>
      </c>
      <c r="F624" s="4" t="inlineStr">
        <is>
          <t>unknown</t>
        </is>
      </c>
      <c r="G624" s="4" t="inlineStr">
        <is>
          <t>block_group</t>
        </is>
      </c>
      <c r="H624" s="4" t="inlineStr"/>
      <c r="I624" s="4" t="inlineStr"/>
      <c r="J624" s="4" t="inlineStr"/>
      <c r="K624" s="4" t="inlineStr">
        <is>
          <t>Catalog lead</t>
        </is>
      </c>
      <c r="L624" s="4" t="inlineStr"/>
      <c r="M624" s="4" t="inlineStr"/>
      <c r="N624" s="4" t="inlineStr">
        <is>
          <t>2026-10-29</t>
        </is>
      </c>
      <c r="O624" s="16" t="inlineStr">
        <is>
          <t>warn</t>
        </is>
      </c>
      <c r="P624" s="4" t="inlineStr"/>
      <c r="Q624" s="4" t="inlineStr"/>
      <c r="R624" s="4" t="inlineStr"/>
      <c r="S624" s="4" t="inlineStr"/>
      <c r="T624" s="4" t="inlineStr"/>
      <c r="U624" s="4" t="inlineStr"/>
      <c r="V624" s="4" t="inlineStr"/>
      <c r="W624" s="4" t="inlineStr"/>
      <c r="X624" s="4" t="inlineStr"/>
      <c r="Y624" s="15" t="inlineStr">
        <is>
          <t>not_checked</t>
        </is>
      </c>
      <c r="Z624" s="15" t="inlineStr">
        <is>
          <t>not_checked</t>
        </is>
      </c>
      <c r="AA624" s="15" t="inlineStr">
        <is>
          <t>not_checked</t>
        </is>
      </c>
      <c r="AB624" s="4" t="inlineStr"/>
      <c r="AC624" s="4" t="inlineStr"/>
      <c r="AD624" s="15" t="inlineStr">
        <is>
          <t>not_checked</t>
        </is>
      </c>
      <c r="AE624" s="15" t="inlineStr">
        <is>
          <t>not_checked</t>
        </is>
      </c>
      <c r="AF624" s="15" t="inlineStr">
        <is>
          <t>not_checked</t>
        </is>
      </c>
      <c r="AG624" s="15" t="inlineStr">
        <is>
          <t>not_checked</t>
        </is>
      </c>
      <c r="AH624" s="15" t="inlineStr">
        <is>
          <t>not_checked</t>
        </is>
      </c>
      <c r="AI624" s="4" t="inlineStr"/>
      <c r="AJ624" s="4" t="inlineStr"/>
      <c r="AK624" s="4" t="inlineStr">
        <is>
          <t>blocked at content step (HTTP 403 or JavaScript-only page)</t>
        </is>
      </c>
      <c r="AL624" s="17" t="inlineStr">
        <is>
          <t>https://doi.org/10.3886/e210581</t>
        </is>
      </c>
      <c r="AM624" s="4" t="inlineStr">
        <is>
          <t>us_nanda_adi_block_group</t>
        </is>
      </c>
    </row>
    <row r="625">
      <c r="A625" s="4" t="inlineStr">
        <is>
          <t>2022 Social Vulnerability by US Census Block Group</t>
        </is>
      </c>
      <c r="B625" s="19" t="inlineStr">
        <is>
          <t>Silver</t>
        </is>
      </c>
      <c r="C625" s="4" t="inlineStr"/>
      <c r="D625" s="4" t="inlineStr"/>
      <c r="E625" s="4" t="inlineStr">
        <is>
          <t>healthy</t>
        </is>
      </c>
      <c r="F625" s="4" t="inlineStr">
        <is>
          <t>open</t>
        </is>
      </c>
      <c r="G625" s="4" t="inlineStr">
        <is>
          <t>block_group</t>
        </is>
      </c>
      <c r="H625" s="4" t="inlineStr"/>
      <c r="I625" s="4" t="inlineStr"/>
      <c r="J625" s="4" t="inlineStr"/>
      <c r="K625" s="4" t="inlineStr">
        <is>
          <t>Catalog lead</t>
        </is>
      </c>
      <c r="L625" s="4" t="n">
        <v>2022</v>
      </c>
      <c r="M625" s="4" t="inlineStr">
        <is>
          <t>open</t>
        </is>
      </c>
      <c r="N625" s="4" t="inlineStr">
        <is>
          <t>2026-10-29</t>
        </is>
      </c>
      <c r="O625" s="14" t="inlineStr">
        <is>
          <t>pass</t>
        </is>
      </c>
      <c r="P625" s="4" t="inlineStr"/>
      <c r="Q625" s="4" t="inlineStr"/>
      <c r="R625" s="14" t="inlineStr">
        <is>
          <t>pass</t>
        </is>
      </c>
      <c r="S625" s="14" t="inlineStr">
        <is>
          <t>pass</t>
        </is>
      </c>
      <c r="T625" s="4" t="inlineStr"/>
      <c r="U625" s="4" t="inlineStr"/>
      <c r="V625" s="4" t="inlineStr"/>
      <c r="W625" s="4" t="inlineStr"/>
      <c r="X625" s="4" t="inlineStr"/>
      <c r="Y625" s="14" t="inlineStr">
        <is>
          <t>pass</t>
        </is>
      </c>
      <c r="Z625" s="16" t="inlineStr">
        <is>
          <t>warn</t>
        </is>
      </c>
      <c r="AA625" s="14" t="inlineStr">
        <is>
          <t>pass</t>
        </is>
      </c>
      <c r="AB625" s="4" t="inlineStr"/>
      <c r="AC625" s="4" t="inlineStr"/>
      <c r="AD625" s="14" t="inlineStr">
        <is>
          <t>pass</t>
        </is>
      </c>
      <c r="AE625" s="14" t="inlineStr">
        <is>
          <t>pass</t>
        </is>
      </c>
      <c r="AF625" s="14" t="inlineStr">
        <is>
          <t>pass</t>
        </is>
      </c>
      <c r="AG625" s="16" t="inlineStr">
        <is>
          <t>warn</t>
        </is>
      </c>
      <c r="AH625" s="16" t="inlineStr">
        <is>
          <t>warn</t>
        </is>
      </c>
      <c r="AI625" s="4" t="inlineStr"/>
      <c r="AJ625" s="4" t="inlineStr"/>
      <c r="AK625" s="4" t="inlineStr">
        <is>
          <t>temporal(warn);join_key(warn);format_gaia(warn)</t>
        </is>
      </c>
      <c r="AL625" s="17" t="inlineStr">
        <is>
          <t>https://doi.org/10.7910/dvn/arbhpk</t>
        </is>
      </c>
      <c r="AM625" s="4" t="inlineStr">
        <is>
          <t>us_harvard_svi_percentiles_block_group</t>
        </is>
      </c>
    </row>
    <row r="626">
      <c r="A626" s="4" t="inlineStr">
        <is>
          <t>Global Gridded Relative Deprivation Index (GRDI), Version 1</t>
        </is>
      </c>
      <c r="B626" s="13" t="inlineStr">
        <is>
          <t>Gold</t>
        </is>
      </c>
      <c r="C626" s="4" t="inlineStr"/>
      <c r="D626" s="4" t="inlineStr"/>
      <c r="E626" s="4" t="inlineStr">
        <is>
          <t>healthy</t>
        </is>
      </c>
      <c r="F626" s="4" t="inlineStr">
        <is>
          <t>open</t>
        </is>
      </c>
      <c r="G626" s="4" t="inlineStr">
        <is>
          <t>grid_1km</t>
        </is>
      </c>
      <c r="H626" s="4" t="inlineStr"/>
      <c r="I626" s="4" t="inlineStr"/>
      <c r="J626" s="4" t="inlineStr"/>
      <c r="K626" s="4" t="inlineStr">
        <is>
          <t>Catalog lead</t>
        </is>
      </c>
      <c r="L626" s="4" t="n">
        <v>2020</v>
      </c>
      <c r="M626" s="4" t="inlineStr">
        <is>
          <t>open</t>
        </is>
      </c>
      <c r="N626" s="4" t="inlineStr">
        <is>
          <t>2026-10-29</t>
        </is>
      </c>
      <c r="O626" s="14" t="inlineStr">
        <is>
          <t>pass</t>
        </is>
      </c>
      <c r="P626" s="4" t="inlineStr"/>
      <c r="Q626" s="4" t="inlineStr"/>
      <c r="R626" s="14" t="inlineStr">
        <is>
          <t>pass</t>
        </is>
      </c>
      <c r="S626" s="14" t="inlineStr">
        <is>
          <t>pass</t>
        </is>
      </c>
      <c r="T626" s="4" t="inlineStr"/>
      <c r="U626" s="4" t="inlineStr"/>
      <c r="V626" s="4" t="inlineStr"/>
      <c r="W626" s="4" t="inlineStr"/>
      <c r="X626" s="4" t="inlineStr"/>
      <c r="Y626" s="14" t="inlineStr">
        <is>
          <t>pass</t>
        </is>
      </c>
      <c r="Z626" s="14" t="inlineStr">
        <is>
          <t>pass</t>
        </is>
      </c>
      <c r="AA626" s="14" t="inlineStr">
        <is>
          <t>pass</t>
        </is>
      </c>
      <c r="AB626" s="4" t="inlineStr"/>
      <c r="AC626" s="4" t="inlineStr"/>
      <c r="AD626" s="14" t="inlineStr">
        <is>
          <t>pass</t>
        </is>
      </c>
      <c r="AE626" s="14" t="inlineStr">
        <is>
          <t>pass</t>
        </is>
      </c>
      <c r="AF626" s="14" t="inlineStr">
        <is>
          <t>pass</t>
        </is>
      </c>
      <c r="AG626" s="16" t="inlineStr">
        <is>
          <t>warn</t>
        </is>
      </c>
      <c r="AH626" s="14" t="inlineStr">
        <is>
          <t>pass</t>
        </is>
      </c>
      <c r="AI626" s="4" t="inlineStr"/>
      <c r="AJ626" s="4" t="inlineStr"/>
      <c r="AK626" s="4" t="inlineStr">
        <is>
          <t>join_key(warn)</t>
        </is>
      </c>
      <c r="AL626" s="17" t="inlineStr">
        <is>
          <t>https://doi.org/10.7910/dvn/vosv99</t>
        </is>
      </c>
      <c r="AM626" s="4" t="inlineStr">
        <is>
          <t>global_ciesin_grdi_v1</t>
        </is>
      </c>
    </row>
    <row r="627">
      <c r="A627" s="4" t="inlineStr">
        <is>
          <t>Neighborhood Deprivation Index for year 2010, using the 2010 census geographic boundaries</t>
        </is>
      </c>
      <c r="B627" s="19" t="inlineStr">
        <is>
          <t>Silver</t>
        </is>
      </c>
      <c r="C627" s="4" t="inlineStr"/>
      <c r="D627" s="4" t="inlineStr"/>
      <c r="E627" s="4" t="inlineStr">
        <is>
          <t>healthy</t>
        </is>
      </c>
      <c r="F627" s="4" t="inlineStr">
        <is>
          <t>unknown</t>
        </is>
      </c>
      <c r="G627" s="4" t="inlineStr">
        <is>
          <t>tract</t>
        </is>
      </c>
      <c r="H627" s="4" t="inlineStr"/>
      <c r="I627" s="4" t="inlineStr"/>
      <c r="J627" s="4" t="inlineStr"/>
      <c r="K627" s="4" t="inlineStr">
        <is>
          <t>Catalog lead</t>
        </is>
      </c>
      <c r="L627" s="4" t="n">
        <v>2010</v>
      </c>
      <c r="M627" s="4" t="inlineStr">
        <is>
          <t>unknown</t>
        </is>
      </c>
      <c r="N627" s="4" t="inlineStr">
        <is>
          <t>2026-10-29</t>
        </is>
      </c>
      <c r="O627" s="14" t="inlineStr">
        <is>
          <t>pass</t>
        </is>
      </c>
      <c r="P627" s="4" t="inlineStr"/>
      <c r="Q627" s="4" t="inlineStr"/>
      <c r="R627" s="14" t="inlineStr">
        <is>
          <t>pass</t>
        </is>
      </c>
      <c r="S627" s="14" t="inlineStr">
        <is>
          <t>pass</t>
        </is>
      </c>
      <c r="T627" s="4" t="inlineStr"/>
      <c r="U627" s="4" t="inlineStr"/>
      <c r="V627" s="4" t="inlineStr"/>
      <c r="W627" s="4" t="inlineStr"/>
      <c r="X627" s="4" t="inlineStr"/>
      <c r="Y627" s="15" t="inlineStr">
        <is>
          <t>not_checked</t>
        </is>
      </c>
      <c r="Z627" s="14" t="inlineStr">
        <is>
          <t>pass</t>
        </is>
      </c>
      <c r="AA627" s="16" t="inlineStr">
        <is>
          <t>warn</t>
        </is>
      </c>
      <c r="AB627" s="4" t="inlineStr"/>
      <c r="AC627" s="4" t="inlineStr"/>
      <c r="AD627" s="14" t="inlineStr">
        <is>
          <t>pass</t>
        </is>
      </c>
      <c r="AE627" s="14" t="inlineStr">
        <is>
          <t>pass</t>
        </is>
      </c>
      <c r="AF627" s="16" t="inlineStr">
        <is>
          <t>warn</t>
        </is>
      </c>
      <c r="AG627" s="16" t="inlineStr">
        <is>
          <t>warn</t>
        </is>
      </c>
      <c r="AH627" s="16" t="inlineStr">
        <is>
          <t>warn</t>
        </is>
      </c>
      <c r="AI627" s="4" t="inlineStr"/>
      <c r="AJ627" s="4" t="inlineStr"/>
      <c r="AK627" s="4" t="inlineStr">
        <is>
          <t>recency(warn);access(warn);join_key(warn);format_gaia(warn)</t>
        </is>
      </c>
      <c r="AL627" s="17" t="inlineStr">
        <is>
          <t>https://doi.org/10.25614/ndi_2010_trt_allstates</t>
        </is>
      </c>
      <c r="AM627" s="4" t="inlineStr">
        <is>
          <t>us_cehi_ndi_2010_tract</t>
        </is>
      </c>
    </row>
    <row r="628">
      <c r="A628" s="4" t="inlineStr">
        <is>
          <t>Neighborhood Deprivation Index for Year 2018 at Census Tract level for All US States</t>
        </is>
      </c>
      <c r="B628" s="21" t="inlineStr">
        <is>
          <t>Browser needed</t>
        </is>
      </c>
      <c r="C628" s="4" t="inlineStr"/>
      <c r="D628" s="4" t="inlineStr"/>
      <c r="E628" s="4" t="inlineStr">
        <is>
          <t>blocked</t>
        </is>
      </c>
      <c r="F628" s="4" t="inlineStr">
        <is>
          <t>unknown</t>
        </is>
      </c>
      <c r="G628" s="4" t="inlineStr">
        <is>
          <t>tract</t>
        </is>
      </c>
      <c r="H628" s="4" t="inlineStr"/>
      <c r="I628" s="4" t="inlineStr"/>
      <c r="J628" s="4" t="inlineStr"/>
      <c r="K628" s="4" t="inlineStr">
        <is>
          <t>Catalog lead</t>
        </is>
      </c>
      <c r="L628" s="4" t="inlineStr"/>
      <c r="M628" s="4" t="inlineStr"/>
      <c r="N628" s="4" t="inlineStr">
        <is>
          <t>2026-10-29</t>
        </is>
      </c>
      <c r="O628" s="16" t="inlineStr">
        <is>
          <t>warn</t>
        </is>
      </c>
      <c r="P628" s="4" t="inlineStr"/>
      <c r="Q628" s="4" t="inlineStr"/>
      <c r="R628" s="4" t="inlineStr"/>
      <c r="S628" s="4" t="inlineStr"/>
      <c r="T628" s="4" t="inlineStr"/>
      <c r="U628" s="4" t="inlineStr"/>
      <c r="V628" s="4" t="inlineStr"/>
      <c r="W628" s="4" t="inlineStr"/>
      <c r="X628" s="4" t="inlineStr"/>
      <c r="Y628" s="15" t="inlineStr">
        <is>
          <t>not_checked</t>
        </is>
      </c>
      <c r="Z628" s="15" t="inlineStr">
        <is>
          <t>not_checked</t>
        </is>
      </c>
      <c r="AA628" s="15" t="inlineStr">
        <is>
          <t>not_checked</t>
        </is>
      </c>
      <c r="AB628" s="4" t="inlineStr"/>
      <c r="AC628" s="4" t="inlineStr"/>
      <c r="AD628" s="15" t="inlineStr">
        <is>
          <t>not_checked</t>
        </is>
      </c>
      <c r="AE628" s="15" t="inlineStr">
        <is>
          <t>not_checked</t>
        </is>
      </c>
      <c r="AF628" s="15" t="inlineStr">
        <is>
          <t>not_checked</t>
        </is>
      </c>
      <c r="AG628" s="15" t="inlineStr">
        <is>
          <t>not_checked</t>
        </is>
      </c>
      <c r="AH628" s="15" t="inlineStr">
        <is>
          <t>not_checked</t>
        </is>
      </c>
      <c r="AI628" s="4" t="inlineStr"/>
      <c r="AJ628" s="4" t="inlineStr"/>
      <c r="AK628" s="4" t="inlineStr">
        <is>
          <t>blocked at content step (HTTP 403 or JavaScript-only page)</t>
        </is>
      </c>
      <c r="AL628" s="17" t="inlineStr">
        <is>
          <t>https://doi.org/10.25417/uic.28684901.v1</t>
        </is>
      </c>
      <c r="AM628" s="4" t="inlineStr">
        <is>
          <t>us_uic_ndi_2018_tract</t>
        </is>
      </c>
    </row>
    <row r="629">
      <c r="A629" s="4" t="inlineStr">
        <is>
          <t>Portuguese European Deprivation Index 2021 (EDI-PT 2021): quintiles at parish and municipality level</t>
        </is>
      </c>
      <c r="B629" s="20" t="inlineStr">
        <is>
          <t>Bronze</t>
        </is>
      </c>
      <c r="C629" s="4" t="inlineStr"/>
      <c r="D629" s="4" t="inlineStr"/>
      <c r="E629" s="4" t="inlineStr">
        <is>
          <t>healthy</t>
        </is>
      </c>
      <c r="F629" s="4" t="inlineStr">
        <is>
          <t>open</t>
        </is>
      </c>
      <c r="G629" s="4" t="inlineStr">
        <is>
          <t>admin3</t>
        </is>
      </c>
      <c r="H629" s="4" t="inlineStr"/>
      <c r="I629" s="4" t="inlineStr"/>
      <c r="J629" s="4" t="inlineStr"/>
      <c r="K629" s="4" t="inlineStr">
        <is>
          <t>Catalog lead</t>
        </is>
      </c>
      <c r="L629" s="4" t="n">
        <v>2021</v>
      </c>
      <c r="M629" s="4" t="inlineStr">
        <is>
          <t>restricted</t>
        </is>
      </c>
      <c r="N629" s="4" t="inlineStr">
        <is>
          <t>2026-10-29</t>
        </is>
      </c>
      <c r="O629" s="14" t="inlineStr">
        <is>
          <t>pass</t>
        </is>
      </c>
      <c r="P629" s="4" t="inlineStr"/>
      <c r="Q629" s="4" t="inlineStr"/>
      <c r="R629" s="14" t="inlineStr">
        <is>
          <t>pass</t>
        </is>
      </c>
      <c r="S629" s="14" t="inlineStr">
        <is>
          <t>pass</t>
        </is>
      </c>
      <c r="T629" s="4" t="inlineStr"/>
      <c r="U629" s="4" t="inlineStr"/>
      <c r="V629" s="4" t="inlineStr"/>
      <c r="W629" s="4" t="inlineStr"/>
      <c r="X629" s="4" t="inlineStr"/>
      <c r="Y629" s="14" t="inlineStr">
        <is>
          <t>pass</t>
        </is>
      </c>
      <c r="Z629" s="14" t="inlineStr">
        <is>
          <t>pass</t>
        </is>
      </c>
      <c r="AA629" s="14" t="inlineStr">
        <is>
          <t>pass</t>
        </is>
      </c>
      <c r="AB629" s="4" t="inlineStr"/>
      <c r="AC629" s="4" t="inlineStr"/>
      <c r="AD629" s="14" t="inlineStr">
        <is>
          <t>pass</t>
        </is>
      </c>
      <c r="AE629" s="14" t="inlineStr">
        <is>
          <t>pass</t>
        </is>
      </c>
      <c r="AF629" s="18" t="inlineStr">
        <is>
          <t>fail</t>
        </is>
      </c>
      <c r="AG629" s="14" t="inlineStr">
        <is>
          <t>pass</t>
        </is>
      </c>
      <c r="AH629" s="16" t="inlineStr">
        <is>
          <t>warn</t>
        </is>
      </c>
      <c r="AI629" s="4" t="inlineStr"/>
      <c r="AJ629" s="4" t="inlineStr"/>
      <c r="AK629" s="4" t="inlineStr">
        <is>
          <t>format_gaia(warn);access</t>
        </is>
      </c>
      <c r="AL629" s="17" t="inlineStr">
        <is>
          <t>https://doi.org/10.5281/zenodo.22974765</t>
        </is>
      </c>
      <c r="AM629" s="4" t="inlineStr">
        <is>
          <t>pt_edi_pt_2021_parish</t>
        </is>
      </c>
    </row>
    <row r="630">
      <c r="A630" s="4" t="inlineStr">
        <is>
          <t>Small-area Deprivation Measure for Brazil: Data Documentation</t>
        </is>
      </c>
      <c r="B630" s="13" t="inlineStr">
        <is>
          <t>Gold</t>
        </is>
      </c>
      <c r="C630" s="4" t="inlineStr"/>
      <c r="D630" s="4" t="inlineStr"/>
      <c r="E630" s="4" t="inlineStr">
        <is>
          <t>healthy</t>
        </is>
      </c>
      <c r="F630" s="4" t="inlineStr">
        <is>
          <t>open</t>
        </is>
      </c>
      <c r="G630" s="4" t="inlineStr">
        <is>
          <t>small_area</t>
        </is>
      </c>
      <c r="H630" s="4" t="inlineStr"/>
      <c r="I630" s="4" t="inlineStr"/>
      <c r="J630" s="4" t="inlineStr"/>
      <c r="K630" s="4" t="inlineStr">
        <is>
          <t>Catalog lead</t>
        </is>
      </c>
      <c r="L630" s="4" t="n">
        <v>2010</v>
      </c>
      <c r="M630" s="4" t="inlineStr">
        <is>
          <t>open</t>
        </is>
      </c>
      <c r="N630" s="4" t="inlineStr">
        <is>
          <t>2026-10-29</t>
        </is>
      </c>
      <c r="O630" s="14" t="inlineStr">
        <is>
          <t>pass</t>
        </is>
      </c>
      <c r="P630" s="4" t="inlineStr"/>
      <c r="Q630" s="4" t="inlineStr"/>
      <c r="R630" s="14" t="inlineStr">
        <is>
          <t>pass</t>
        </is>
      </c>
      <c r="S630" s="14" t="inlineStr">
        <is>
          <t>pass</t>
        </is>
      </c>
      <c r="T630" s="4" t="inlineStr"/>
      <c r="U630" s="4" t="inlineStr"/>
      <c r="V630" s="4" t="inlineStr"/>
      <c r="W630" s="4" t="inlineStr"/>
      <c r="X630" s="4" t="inlineStr"/>
      <c r="Y630" s="14" t="inlineStr">
        <is>
          <t>pass</t>
        </is>
      </c>
      <c r="Z630" s="14" t="inlineStr">
        <is>
          <t>pass</t>
        </is>
      </c>
      <c r="AA630" s="16" t="inlineStr">
        <is>
          <t>warn</t>
        </is>
      </c>
      <c r="AB630" s="4" t="inlineStr"/>
      <c r="AC630" s="4" t="inlineStr"/>
      <c r="AD630" s="14" t="inlineStr">
        <is>
          <t>pass</t>
        </is>
      </c>
      <c r="AE630" s="14" t="inlineStr">
        <is>
          <t>pass</t>
        </is>
      </c>
      <c r="AF630" s="14" t="inlineStr">
        <is>
          <t>pass</t>
        </is>
      </c>
      <c r="AG630" s="16" t="inlineStr">
        <is>
          <t>warn</t>
        </is>
      </c>
      <c r="AH630" s="16" t="inlineStr">
        <is>
          <t>warn</t>
        </is>
      </c>
      <c r="AI630" s="4" t="inlineStr"/>
      <c r="AJ630" s="4" t="inlineStr"/>
      <c r="AK630" s="4" t="inlineStr">
        <is>
          <t>recency(warn);join_key(warn);format_gaia(warn)</t>
        </is>
      </c>
      <c r="AL630" s="17" t="inlineStr">
        <is>
          <t>https://doi.org/10.5525/gla.researchdata.980</t>
        </is>
      </c>
      <c r="AM630" s="4" t="inlineStr">
        <is>
          <t>br_glasgow_small_area_deprivation_2010</t>
        </is>
      </c>
    </row>
    <row r="631">
      <c r="A631" s="4" t="inlineStr">
        <is>
          <t>SECC 2011 Household Deprivation by District</t>
        </is>
      </c>
      <c r="B631" s="20" t="inlineStr">
        <is>
          <t>Bronze</t>
        </is>
      </c>
      <c r="C631" s="4" t="inlineStr"/>
      <c r="D631" s="4" t="inlineStr"/>
      <c r="E631" s="4" t="inlineStr">
        <is>
          <t>healthy</t>
        </is>
      </c>
      <c r="F631" s="4" t="inlineStr">
        <is>
          <t>open</t>
        </is>
      </c>
      <c r="G631" s="4" t="inlineStr">
        <is>
          <t>admin2</t>
        </is>
      </c>
      <c r="H631" s="4" t="inlineStr"/>
      <c r="I631" s="4" t="inlineStr"/>
      <c r="J631" s="4" t="inlineStr"/>
      <c r="K631" s="4" t="inlineStr">
        <is>
          <t>Catalog lead</t>
        </is>
      </c>
      <c r="L631" s="4" t="n">
        <v>2011</v>
      </c>
      <c r="M631" s="4" t="inlineStr">
        <is>
          <t>unknown</t>
        </is>
      </c>
      <c r="N631" s="4" t="inlineStr">
        <is>
          <t>2026-10-29</t>
        </is>
      </c>
      <c r="O631" s="14" t="inlineStr">
        <is>
          <t>pass</t>
        </is>
      </c>
      <c r="P631" s="4" t="inlineStr"/>
      <c r="Q631" s="4" t="inlineStr"/>
      <c r="R631" s="14" t="inlineStr">
        <is>
          <t>pass</t>
        </is>
      </c>
      <c r="S631" s="14" t="inlineStr">
        <is>
          <t>pass</t>
        </is>
      </c>
      <c r="T631" s="4" t="inlineStr"/>
      <c r="U631" s="4" t="inlineStr"/>
      <c r="V631" s="4" t="inlineStr"/>
      <c r="W631" s="4" t="inlineStr"/>
      <c r="X631" s="4" t="inlineStr"/>
      <c r="Y631" s="14" t="inlineStr">
        <is>
          <t>pass</t>
        </is>
      </c>
      <c r="Z631" s="14" t="inlineStr">
        <is>
          <t>pass</t>
        </is>
      </c>
      <c r="AA631" s="16" t="inlineStr">
        <is>
          <t>warn</t>
        </is>
      </c>
      <c r="AB631" s="4" t="inlineStr"/>
      <c r="AC631" s="4" t="inlineStr"/>
      <c r="AD631" s="14" t="inlineStr">
        <is>
          <t>pass</t>
        </is>
      </c>
      <c r="AE631" s="14" t="inlineStr">
        <is>
          <t>pass</t>
        </is>
      </c>
      <c r="AF631" s="16" t="inlineStr">
        <is>
          <t>warn</t>
        </is>
      </c>
      <c r="AG631" s="16" t="inlineStr">
        <is>
          <t>warn</t>
        </is>
      </c>
      <c r="AH631" s="16" t="inlineStr">
        <is>
          <t>warn</t>
        </is>
      </c>
      <c r="AI631" s="4" t="inlineStr"/>
      <c r="AJ631" s="4" t="inlineStr"/>
      <c r="AK631" s="4" t="inlineStr">
        <is>
          <t>recency(warn);access(warn);join_key(warn);format_gaia(warn)</t>
        </is>
      </c>
      <c r="AL631" s="17" t="inlineStr">
        <is>
          <t>https://doi.org/10.71646/6jgclo</t>
        </is>
      </c>
      <c r="AM631" s="4" t="inlineStr">
        <is>
          <t>in_meghalaya_secc_2011_household_deprivation_district</t>
        </is>
      </c>
    </row>
    <row r="632">
      <c r="A632" s="4" t="inlineStr">
        <is>
          <t>Severe material deprivation rate by NUTS 2 region</t>
        </is>
      </c>
      <c r="B632" s="21" t="inlineStr">
        <is>
          <t>Browser needed</t>
        </is>
      </c>
      <c r="C632" s="4" t="inlineStr"/>
      <c r="D632" s="4" t="inlineStr"/>
      <c r="E632" s="4" t="inlineStr">
        <is>
          <t>blocked</t>
        </is>
      </c>
      <c r="F632" s="4" t="inlineStr">
        <is>
          <t>unknown</t>
        </is>
      </c>
      <c r="G632" s="4" t="inlineStr">
        <is>
          <t>nuts2</t>
        </is>
      </c>
      <c r="H632" s="4" t="inlineStr"/>
      <c r="I632" s="4" t="inlineStr"/>
      <c r="J632" s="4" t="inlineStr"/>
      <c r="K632" s="4" t="inlineStr">
        <is>
          <t>Catalog lead</t>
        </is>
      </c>
      <c r="L632" s="4" t="inlineStr"/>
      <c r="M632" s="4" t="inlineStr"/>
      <c r="N632" s="4" t="inlineStr">
        <is>
          <t>2026-10-29</t>
        </is>
      </c>
      <c r="O632" s="16" t="inlineStr">
        <is>
          <t>warn</t>
        </is>
      </c>
      <c r="P632" s="4" t="inlineStr"/>
      <c r="Q632" s="4" t="inlineStr"/>
      <c r="R632" s="4" t="inlineStr"/>
      <c r="S632" s="4" t="inlineStr"/>
      <c r="T632" s="4" t="inlineStr"/>
      <c r="U632" s="4" t="inlineStr"/>
      <c r="V632" s="4" t="inlineStr"/>
      <c r="W632" s="4" t="inlineStr"/>
      <c r="X632" s="4" t="inlineStr"/>
      <c r="Y632" s="15" t="inlineStr">
        <is>
          <t>not_checked</t>
        </is>
      </c>
      <c r="Z632" s="15" t="inlineStr">
        <is>
          <t>not_checked</t>
        </is>
      </c>
      <c r="AA632" s="15" t="inlineStr">
        <is>
          <t>not_checked</t>
        </is>
      </c>
      <c r="AB632" s="4" t="inlineStr"/>
      <c r="AC632" s="4" t="inlineStr"/>
      <c r="AD632" s="15" t="inlineStr">
        <is>
          <t>not_checked</t>
        </is>
      </c>
      <c r="AE632" s="15" t="inlineStr">
        <is>
          <t>not_checked</t>
        </is>
      </c>
      <c r="AF632" s="15" t="inlineStr">
        <is>
          <t>not_checked</t>
        </is>
      </c>
      <c r="AG632" s="15" t="inlineStr">
        <is>
          <t>not_checked</t>
        </is>
      </c>
      <c r="AH632" s="15" t="inlineStr">
        <is>
          <t>not_checked</t>
        </is>
      </c>
      <c r="AI632" s="4" t="inlineStr"/>
      <c r="AJ632" s="4" t="inlineStr"/>
      <c r="AK632" s="4" t="inlineStr">
        <is>
          <t>blocked at content step (HTTP 403 or JavaScript-only page)</t>
        </is>
      </c>
      <c r="AL632" s="17" t="inlineStr">
        <is>
          <t>https://doi.org/10.2908/ilc_mddd21</t>
        </is>
      </c>
      <c r="AM632" s="4" t="inlineStr">
        <is>
          <t>eu_eurostat_severe_material_deprivation_nuts2</t>
        </is>
      </c>
    </row>
    <row r="633">
      <c r="A633" s="4" t="inlineStr">
        <is>
          <t>Birthing Friendly Hospitals with Geocoded Addresses</t>
        </is>
      </c>
      <c r="B633" s="19" t="inlineStr">
        <is>
          <t>Silver</t>
        </is>
      </c>
      <c r="C633" s="4" t="inlineStr"/>
      <c r="D633" s="4" t="inlineStr"/>
      <c r="E633" s="4" t="inlineStr"/>
      <c r="F633" s="4" t="inlineStr">
        <is>
          <t>public_domain_us_federal</t>
        </is>
      </c>
      <c r="G633" s="4" t="inlineStr">
        <is>
          <t>facility (point; geocoded)</t>
        </is>
      </c>
      <c r="H633" s="4" t="inlineStr"/>
      <c r="I633" s="4" t="inlineStr"/>
      <c r="J633" s="4" t="inlineStr"/>
      <c r="K633" s="4" t="inlineStr">
        <is>
          <t>Catalog lead</t>
        </is>
      </c>
      <c r="L633" s="4" t="inlineStr"/>
      <c r="M633" s="4" t="inlineStr"/>
      <c r="N633" s="4" t="inlineStr">
        <is>
          <t>2026-10-29</t>
        </is>
      </c>
      <c r="O633" s="4" t="inlineStr"/>
      <c r="P633" s="4" t="inlineStr"/>
      <c r="Q633" s="4" t="inlineStr"/>
      <c r="R633" s="4" t="inlineStr"/>
      <c r="S633" s="4" t="inlineStr"/>
      <c r="T633" s="4" t="inlineStr"/>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c r="AI633" s="4" t="inlineStr"/>
      <c r="AJ633" s="4" t="inlineStr"/>
      <c r="AK633" s="4" t="inlineStr"/>
      <c r="AL633" s="17" t="inlineStr">
        <is>
          <t>https://data.cms.gov/provider-data/dataset/hbf-map</t>
        </is>
      </c>
      <c r="AM633" s="4" t="inlineStr">
        <is>
          <t>us_cms_pdc_hbf_map</t>
        </is>
      </c>
    </row>
    <row r="634">
      <c r="A634" s="4" t="inlineStr">
        <is>
          <t>Inpatient Rehabilitation Facility - General Information</t>
        </is>
      </c>
      <c r="B634" s="19" t="inlineStr">
        <is>
          <t>Silver</t>
        </is>
      </c>
      <c r="C634" s="4" t="inlineStr"/>
      <c r="D634" s="4" t="inlineStr"/>
      <c r="E634" s="4" t="inlineStr"/>
      <c r="F634" s="4" t="inlineStr">
        <is>
          <t>public_domain_us_federal</t>
        </is>
      </c>
      <c r="G634" s="4" t="inlineStr">
        <is>
          <t>facility (address, ZIP)</t>
        </is>
      </c>
      <c r="H634" s="4" t="inlineStr"/>
      <c r="I634" s="4" t="inlineStr"/>
      <c r="J634" s="4" t="inlineStr"/>
      <c r="K634" s="4" t="inlineStr">
        <is>
          <t>Catalog lead</t>
        </is>
      </c>
      <c r="L634" s="4" t="inlineStr"/>
      <c r="M634" s="4" t="inlineStr"/>
      <c r="N634" s="4" t="inlineStr">
        <is>
          <t>2026-10-29</t>
        </is>
      </c>
      <c r="O634" s="4" t="inlineStr"/>
      <c r="P634" s="4" t="inlineStr"/>
      <c r="Q634" s="4" t="inlineStr"/>
      <c r="R634" s="4" t="inlineStr"/>
      <c r="S634" s="4" t="inlineStr"/>
      <c r="T634" s="4" t="inlineStr"/>
      <c r="U634" s="4" t="inlineStr"/>
      <c r="V634" s="4" t="inlineStr"/>
      <c r="W634" s="4" t="inlineStr"/>
      <c r="X634" s="4" t="inlineStr"/>
      <c r="Y634" s="4" t="inlineStr"/>
      <c r="Z634" s="4" t="inlineStr"/>
      <c r="AA634" s="4" t="inlineStr"/>
      <c r="AB634" s="4" t="inlineStr"/>
      <c r="AC634" s="4" t="inlineStr"/>
      <c r="AD634" s="4" t="inlineStr"/>
      <c r="AE634" s="4" t="inlineStr"/>
      <c r="AF634" s="4" t="inlineStr"/>
      <c r="AG634" s="4" t="inlineStr"/>
      <c r="AH634" s="4" t="inlineStr"/>
      <c r="AI634" s="4" t="inlineStr"/>
      <c r="AJ634" s="4" t="inlineStr"/>
      <c r="AK634" s="4" t="inlineStr"/>
      <c r="AL634" s="17" t="inlineStr">
        <is>
          <t>https://data.cms.gov/provider-data/dataset/7t8x-u3ir</t>
        </is>
      </c>
      <c r="AM634" s="4" t="inlineStr">
        <is>
          <t>us_cms_pdc_7t8x_u3ir</t>
        </is>
      </c>
    </row>
    <row r="635">
      <c r="A635" s="4" t="inlineStr">
        <is>
          <t>Long-Term Care Hospital - General Information</t>
        </is>
      </c>
      <c r="B635" s="19" t="inlineStr">
        <is>
          <t>Silver</t>
        </is>
      </c>
      <c r="C635" s="4" t="inlineStr"/>
      <c r="D635" s="4" t="inlineStr"/>
      <c r="E635" s="4" t="inlineStr"/>
      <c r="F635" s="4" t="inlineStr">
        <is>
          <t>public_domain_us_federal</t>
        </is>
      </c>
      <c r="G635" s="4" t="inlineStr">
        <is>
          <t>facility (address, ZIP)</t>
        </is>
      </c>
      <c r="H635" s="4" t="inlineStr"/>
      <c r="I635" s="4" t="inlineStr"/>
      <c r="J635" s="4" t="inlineStr"/>
      <c r="K635" s="4" t="inlineStr">
        <is>
          <t>Catalog lead</t>
        </is>
      </c>
      <c r="L635" s="4" t="inlineStr"/>
      <c r="M635" s="4" t="inlineStr"/>
      <c r="N635" s="4" t="inlineStr">
        <is>
          <t>2026-10-29</t>
        </is>
      </c>
      <c r="O635" s="4" t="inlineStr"/>
      <c r="P635" s="4" t="inlineStr"/>
      <c r="Q635" s="4" t="inlineStr"/>
      <c r="R635" s="4" t="inlineStr"/>
      <c r="S635" s="4" t="inlineStr"/>
      <c r="T635" s="4" t="inlineStr"/>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c r="AI635" s="4" t="inlineStr"/>
      <c r="AJ635" s="4" t="inlineStr"/>
      <c r="AK635" s="4" t="inlineStr"/>
      <c r="AL635" s="17" t="inlineStr">
        <is>
          <t>https://data.cms.gov/provider-data/dataset/azum-44iv</t>
        </is>
      </c>
      <c r="AM635" s="4" t="inlineStr">
        <is>
          <t>us_cms_pdc_azum_44iv</t>
        </is>
      </c>
    </row>
    <row r="636">
      <c r="A636" s="4" t="inlineStr">
        <is>
          <t>Veterans Health Administration Provider Level Data</t>
        </is>
      </c>
      <c r="B636" s="19" t="inlineStr">
        <is>
          <t>Silver</t>
        </is>
      </c>
      <c r="C636" s="4" t="inlineStr"/>
      <c r="D636" s="4" t="inlineStr"/>
      <c r="E636" s="4" t="inlineStr"/>
      <c r="F636" s="4" t="inlineStr">
        <is>
          <t>public_domain_us_federal</t>
        </is>
      </c>
      <c r="G636" s="4" t="inlineStr">
        <is>
          <t>facility/provider (VA; quality measures)</t>
        </is>
      </c>
      <c r="H636" s="4" t="inlineStr"/>
      <c r="I636" s="4" t="inlineStr"/>
      <c r="J636" s="4" t="inlineStr"/>
      <c r="K636" s="4" t="inlineStr">
        <is>
          <t>Catalog lead</t>
        </is>
      </c>
      <c r="L636" s="4" t="inlineStr"/>
      <c r="M636" s="4" t="inlineStr"/>
      <c r="N636" s="4" t="inlineStr">
        <is>
          <t>2026-10-29</t>
        </is>
      </c>
      <c r="O636" s="4" t="inlineStr"/>
      <c r="P636" s="4" t="inlineStr"/>
      <c r="Q636" s="4" t="inlineStr"/>
      <c r="R636" s="4" t="inlineStr"/>
      <c r="S636" s="4" t="inlineStr"/>
      <c r="T636" s="4" t="inlineStr"/>
      <c r="U636" s="4" t="inlineStr"/>
      <c r="V636" s="4" t="inlineStr"/>
      <c r="W636" s="4" t="inlineStr"/>
      <c r="X636" s="4" t="inlineStr"/>
      <c r="Y636" s="4" t="inlineStr"/>
      <c r="Z636" s="4" t="inlineStr"/>
      <c r="AA636" s="4" t="inlineStr"/>
      <c r="AB636" s="4" t="inlineStr"/>
      <c r="AC636" s="4" t="inlineStr"/>
      <c r="AD636" s="4" t="inlineStr"/>
      <c r="AE636" s="4" t="inlineStr"/>
      <c r="AF636" s="4" t="inlineStr"/>
      <c r="AG636" s="4" t="inlineStr"/>
      <c r="AH636" s="4" t="inlineStr"/>
      <c r="AI636" s="4" t="inlineStr"/>
      <c r="AJ636" s="4" t="inlineStr"/>
      <c r="AK636" s="4" t="inlineStr"/>
      <c r="AL636" s="17" t="inlineStr">
        <is>
          <t>https://data.cms.gov/provider-data/dataset/uyx4-5s7f</t>
        </is>
      </c>
      <c r="AM636" s="4" t="inlineStr">
        <is>
          <t>us_cms_pdc_uyx4_5s7f</t>
        </is>
      </c>
    </row>
    <row r="637">
      <c r="A637" s="4" t="inlineStr">
        <is>
          <t>Complications and Unplanned Hospital Visits - PPS-Exempt Cancer Hospital</t>
        </is>
      </c>
      <c r="B637" s="19" t="inlineStr">
        <is>
          <t>Silver</t>
        </is>
      </c>
      <c r="C637" s="4" t="inlineStr"/>
      <c r="D637" s="4" t="inlineStr"/>
      <c r="E637" s="4" t="inlineStr"/>
      <c r="F637" s="4" t="inlineStr">
        <is>
          <t>public_domain_us_federal</t>
        </is>
      </c>
      <c r="G637" s="4" t="inlineStr">
        <is>
          <t>facility (11 PPS-exempt cancer hospitals)</t>
        </is>
      </c>
      <c r="H637" s="4" t="inlineStr"/>
      <c r="I637" s="4" t="inlineStr"/>
      <c r="J637" s="4" t="inlineStr"/>
      <c r="K637" s="4" t="inlineStr">
        <is>
          <t>Catalog lead</t>
        </is>
      </c>
      <c r="L637" s="4" t="inlineStr"/>
      <c r="M637" s="4" t="inlineStr"/>
      <c r="N637" s="4" t="inlineStr">
        <is>
          <t>2026-10-29</t>
        </is>
      </c>
      <c r="O637" s="4" t="inlineStr"/>
      <c r="P637" s="4" t="inlineStr"/>
      <c r="Q637" s="4" t="inlineStr"/>
      <c r="R637" s="4" t="inlineStr"/>
      <c r="S637" s="4" t="inlineStr"/>
      <c r="T637" s="4" t="inlineStr"/>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c r="AJ637" s="4" t="inlineStr"/>
      <c r="AK637" s="4" t="inlineStr"/>
      <c r="AL637" s="17" t="inlineStr">
        <is>
          <t>https://data.cms.gov/provider-data/dataset/z8ax-x9j1</t>
        </is>
      </c>
      <c r="AM637" s="4" t="inlineStr">
        <is>
          <t>us_cms_pdc_z8ax_x9j1</t>
        </is>
      </c>
    </row>
    <row r="638">
      <c r="A638" s="4" t="inlineStr">
        <is>
          <t>Home Health Care - Zip Codes</t>
        </is>
      </c>
      <c r="B638" s="19" t="inlineStr">
        <is>
          <t>Silver</t>
        </is>
      </c>
      <c r="C638" s="4" t="inlineStr"/>
      <c r="D638" s="4" t="inlineStr"/>
      <c r="E638" s="4" t="inlineStr"/>
      <c r="F638" s="4" t="inlineStr">
        <is>
          <t>public_domain_us_federal</t>
        </is>
      </c>
      <c r="G638" s="4" t="inlineStr">
        <is>
          <t>ZIP (agency service areas)</t>
        </is>
      </c>
      <c r="H638" s="4" t="inlineStr"/>
      <c r="I638" s="4" t="inlineStr"/>
      <c r="J638" s="4" t="inlineStr"/>
      <c r="K638" s="4" t="inlineStr">
        <is>
          <t>Catalog lead</t>
        </is>
      </c>
      <c r="L638" s="4" t="inlineStr"/>
      <c r="M638" s="4" t="inlineStr"/>
      <c r="N638" s="4" t="inlineStr">
        <is>
          <t>2026-10-29</t>
        </is>
      </c>
      <c r="O638" s="4" t="inlineStr"/>
      <c r="P638" s="4" t="inlineStr"/>
      <c r="Q638" s="4" t="inlineStr"/>
      <c r="R638" s="4" t="inlineStr"/>
      <c r="S638" s="4" t="inlineStr"/>
      <c r="T638" s="4" t="inlineStr"/>
      <c r="U638" s="4" t="inlineStr"/>
      <c r="V638" s="4" t="inlineStr"/>
      <c r="W638" s="4" t="inlineStr"/>
      <c r="X638" s="4" t="inlineStr"/>
      <c r="Y638" s="4" t="inlineStr"/>
      <c r="Z638" s="4" t="inlineStr"/>
      <c r="AA638" s="4" t="inlineStr"/>
      <c r="AB638" s="4" t="inlineStr"/>
      <c r="AC638" s="4" t="inlineStr"/>
      <c r="AD638" s="4" t="inlineStr"/>
      <c r="AE638" s="4" t="inlineStr"/>
      <c r="AF638" s="4" t="inlineStr"/>
      <c r="AG638" s="4" t="inlineStr"/>
      <c r="AH638" s="4" t="inlineStr"/>
      <c r="AI638" s="4" t="inlineStr"/>
      <c r="AJ638" s="4" t="inlineStr"/>
      <c r="AK638" s="4" t="inlineStr"/>
      <c r="AL638" s="17" t="inlineStr">
        <is>
          <t>https://data.cms.gov/provider-data/dataset/m5eg-upu5</t>
        </is>
      </c>
      <c r="AM638" s="4" t="inlineStr">
        <is>
          <t>us_cms_pdc_m5eg_upu5</t>
        </is>
      </c>
    </row>
    <row r="639">
      <c r="A639" s="4" t="inlineStr">
        <is>
          <t>Hospice - Zip Data</t>
        </is>
      </c>
      <c r="B639" s="19" t="inlineStr">
        <is>
          <t>Silver</t>
        </is>
      </c>
      <c r="C639" s="4" t="inlineStr"/>
      <c r="D639" s="4" t="inlineStr"/>
      <c r="E639" s="4" t="inlineStr"/>
      <c r="F639" s="4" t="inlineStr">
        <is>
          <t>public_domain_us_federal</t>
        </is>
      </c>
      <c r="G639" s="4" t="inlineStr">
        <is>
          <t>ZIP (hospice service ZIPs)</t>
        </is>
      </c>
      <c r="H639" s="4" t="inlineStr"/>
      <c r="I639" s="4" t="inlineStr"/>
      <c r="J639" s="4" t="inlineStr"/>
      <c r="K639" s="4" t="inlineStr">
        <is>
          <t>Catalog lead</t>
        </is>
      </c>
      <c r="L639" s="4" t="inlineStr"/>
      <c r="M639" s="4" t="inlineStr"/>
      <c r="N639" s="4" t="inlineStr">
        <is>
          <t>2026-10-29</t>
        </is>
      </c>
      <c r="O639" s="4" t="inlineStr"/>
      <c r="P639" s="4" t="inlineStr"/>
      <c r="Q639" s="4" t="inlineStr"/>
      <c r="R639" s="4" t="inlineStr"/>
      <c r="S639" s="4" t="inlineStr"/>
      <c r="T639" s="4" t="inlineStr"/>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c r="AI639" s="4" t="inlineStr"/>
      <c r="AJ639" s="4" t="inlineStr"/>
      <c r="AK639" s="4" t="inlineStr"/>
      <c r="AL639" s="17" t="inlineStr">
        <is>
          <t>https://data.cms.gov/provider-data/dataset/95rg-2usp</t>
        </is>
      </c>
      <c r="AM639" s="4" t="inlineStr">
        <is>
          <t>us_cms_pdc_95rg_2usp</t>
        </is>
      </c>
    </row>
    <row r="640">
      <c r="A640" s="4" t="inlineStr">
        <is>
          <t>Prescription Drug Monitoring Program Laws: Reporting, Mandates &amp; Access, 2014-2019</t>
        </is>
      </c>
      <c r="B640" s="19" t="inlineStr">
        <is>
          <t>Silver</t>
        </is>
      </c>
      <c r="C640" s="4" t="inlineStr"/>
      <c r="D640" s="4" t="inlineStr"/>
      <c r="E640" s="4" t="inlineStr"/>
      <c r="F640" s="4" t="inlineStr">
        <is>
          <t>not checked</t>
        </is>
      </c>
      <c r="G640" s="4" t="inlineStr">
        <is>
          <t>state (50 states + DC code; no local)</t>
        </is>
      </c>
      <c r="H640" s="4" t="inlineStr"/>
      <c r="I640" s="4" t="inlineStr"/>
      <c r="J640" s="4" t="inlineStr"/>
      <c r="K640" s="4" t="inlineStr">
        <is>
          <t>Catalog lead</t>
        </is>
      </c>
      <c r="L640" s="4" t="inlineStr"/>
      <c r="M640" s="4" t="inlineStr"/>
      <c r="N640" s="4" t="inlineStr">
        <is>
          <t>2026-10-29</t>
        </is>
      </c>
      <c r="O640" s="4" t="inlineStr"/>
      <c r="P640" s="4" t="inlineStr"/>
      <c r="Q640" s="4" t="inlineStr"/>
      <c r="R640" s="4" t="inlineStr"/>
      <c r="S640" s="4" t="inlineStr"/>
      <c r="T640" s="4" t="inlineStr"/>
      <c r="U640" s="4" t="inlineStr"/>
      <c r="V640" s="4" t="inlineStr"/>
      <c r="W640" s="4" t="inlineStr"/>
      <c r="X640" s="4" t="inlineStr"/>
      <c r="Y640" s="4" t="inlineStr"/>
      <c r="Z640" s="4" t="inlineStr"/>
      <c r="AA640" s="4" t="inlineStr"/>
      <c r="AB640" s="4" t="inlineStr"/>
      <c r="AC640" s="4" t="inlineStr"/>
      <c r="AD640" s="4" t="inlineStr"/>
      <c r="AE640" s="4" t="inlineStr"/>
      <c r="AF640" s="4" t="inlineStr"/>
      <c r="AG640" s="4" t="inlineStr"/>
      <c r="AH640" s="4" t="inlineStr"/>
      <c r="AI640" s="4" t="inlineStr"/>
      <c r="AJ640" s="4" t="inlineStr"/>
      <c r="AK640" s="4" t="inlineStr"/>
      <c r="AL640" s="17" t="inlineStr">
        <is>
          <t>https://pdaps.org/datasets/pdmp-mandates</t>
        </is>
      </c>
      <c r="AM640" s="4" t="inlineStr">
        <is>
          <t>us_pdaps_pdmp_mandates</t>
        </is>
      </c>
    </row>
    <row r="641">
      <c r="A641" s="4" t="inlineStr">
        <is>
          <t>Good Samaritan Overdose Prevention Laws</t>
        </is>
      </c>
      <c r="B641" s="19" t="inlineStr">
        <is>
          <t>Silver</t>
        </is>
      </c>
      <c r="C641" s="4" t="inlineStr"/>
      <c r="D641" s="4" t="inlineStr"/>
      <c r="E641" s="4" t="inlineStr"/>
      <c r="F641" s="4" t="inlineStr">
        <is>
          <t>not checked</t>
        </is>
      </c>
      <c r="G641" s="4" t="inlineStr">
        <is>
          <t>state (50 states + DC code; no local)</t>
        </is>
      </c>
      <c r="H641" s="4" t="inlineStr"/>
      <c r="I641" s="4" t="inlineStr"/>
      <c r="J641" s="4" t="inlineStr"/>
      <c r="K641" s="4" t="inlineStr">
        <is>
          <t>Catalog lead</t>
        </is>
      </c>
      <c r="L641" s="4" t="inlineStr"/>
      <c r="M641" s="4" t="inlineStr"/>
      <c r="N641" s="4" t="inlineStr">
        <is>
          <t>2026-10-29</t>
        </is>
      </c>
      <c r="O641" s="4" t="inlineStr"/>
      <c r="P641" s="4" t="inlineStr"/>
      <c r="Q641" s="4" t="inlineStr"/>
      <c r="R641" s="4" t="inlineStr"/>
      <c r="S641" s="4" t="inlineStr"/>
      <c r="T641" s="4" t="inlineStr"/>
      <c r="U641" s="4" t="inlineStr"/>
      <c r="V641" s="4" t="inlineStr"/>
      <c r="W641" s="4" t="inlineStr"/>
      <c r="X641" s="4" t="inlineStr"/>
      <c r="Y641" s="4" t="inlineStr"/>
      <c r="Z641" s="4" t="inlineStr"/>
      <c r="AA641" s="4" t="inlineStr"/>
      <c r="AB641" s="4" t="inlineStr"/>
      <c r="AC641" s="4" t="inlineStr"/>
      <c r="AD641" s="4" t="inlineStr"/>
      <c r="AE641" s="4" t="inlineStr"/>
      <c r="AF641" s="4" t="inlineStr"/>
      <c r="AG641" s="4" t="inlineStr"/>
      <c r="AH641" s="4" t="inlineStr"/>
      <c r="AI641" s="4" t="inlineStr"/>
      <c r="AJ641" s="4" t="inlineStr"/>
      <c r="AK641" s="4" t="inlineStr"/>
      <c r="AL641" s="17" t="inlineStr">
        <is>
          <t>https://pdaps.org/datasets/good-samaritan-overdose-laws-1501695153</t>
        </is>
      </c>
      <c r="AM641" s="4" t="inlineStr">
        <is>
          <t>us_pdaps_good_samaritan_overdose_laws_1501695153</t>
        </is>
      </c>
    </row>
    <row r="642">
      <c r="A642" s="4" t="inlineStr">
        <is>
          <t>State Laws Limiting Prescriptions for Opioid Analgesics</t>
        </is>
      </c>
      <c r="B642" s="19" t="inlineStr">
        <is>
          <t>Silver</t>
        </is>
      </c>
      <c r="C642" s="4" t="inlineStr"/>
      <c r="D642" s="4" t="inlineStr"/>
      <c r="E642" s="4" t="inlineStr"/>
      <c r="F642" s="4" t="inlineStr">
        <is>
          <t>not checked</t>
        </is>
      </c>
      <c r="G642" s="4" t="inlineStr">
        <is>
          <t>state (50 states + DC code; no local)</t>
        </is>
      </c>
      <c r="H642" s="4" t="inlineStr"/>
      <c r="I642" s="4" t="inlineStr"/>
      <c r="J642" s="4" t="inlineStr"/>
      <c r="K642" s="4" t="inlineStr">
        <is>
          <t>Catalog lead</t>
        </is>
      </c>
      <c r="L642" s="4" t="inlineStr"/>
      <c r="M642" s="4" t="inlineStr"/>
      <c r="N642" s="4" t="inlineStr">
        <is>
          <t>2026-10-29</t>
        </is>
      </c>
      <c r="O642" s="4" t="inlineStr"/>
      <c r="P642" s="4" t="inlineStr"/>
      <c r="Q642" s="4" t="inlineStr"/>
      <c r="R642" s="4" t="inlineStr"/>
      <c r="S642" s="4" t="inlineStr"/>
      <c r="T642" s="4" t="inlineStr"/>
      <c r="U642" s="4" t="inlineStr"/>
      <c r="V642" s="4" t="inlineStr"/>
      <c r="W642" s="4" t="inlineStr"/>
      <c r="X642" s="4" t="inlineStr"/>
      <c r="Y642" s="4" t="inlineStr"/>
      <c r="Z642" s="4" t="inlineStr"/>
      <c r="AA642" s="4" t="inlineStr"/>
      <c r="AB642" s="4" t="inlineStr"/>
      <c r="AC642" s="4" t="inlineStr"/>
      <c r="AD642" s="4" t="inlineStr"/>
      <c r="AE642" s="4" t="inlineStr"/>
      <c r="AF642" s="4" t="inlineStr"/>
      <c r="AG642" s="4" t="inlineStr"/>
      <c r="AH642" s="4" t="inlineStr"/>
      <c r="AI642" s="4" t="inlineStr"/>
      <c r="AJ642" s="4" t="inlineStr"/>
      <c r="AK642" s="4" t="inlineStr"/>
      <c r="AL642" s="17" t="inlineStr">
        <is>
          <t>https://pdaps.org/datasets/opioid-analgesics-prescribing-limits</t>
        </is>
      </c>
      <c r="AM642" s="4" t="inlineStr">
        <is>
          <t>us_pdaps_opioid_analgesics_prescribing_limits</t>
        </is>
      </c>
    </row>
    <row r="643">
      <c r="A643" s="4" t="inlineStr">
        <is>
          <t>Naloxone Overdose Prevention Laws</t>
        </is>
      </c>
      <c r="B643" s="19" t="inlineStr">
        <is>
          <t>Silver</t>
        </is>
      </c>
      <c r="C643" s="4" t="inlineStr"/>
      <c r="D643" s="4" t="inlineStr"/>
      <c r="E643" s="4" t="inlineStr"/>
      <c r="F643" s="4" t="inlineStr">
        <is>
          <t>not checked</t>
        </is>
      </c>
      <c r="G643" s="4" t="inlineStr">
        <is>
          <t>state (50 states + DC code; no local)</t>
        </is>
      </c>
      <c r="H643" s="4" t="inlineStr"/>
      <c r="I643" s="4" t="inlineStr"/>
      <c r="J643" s="4" t="inlineStr"/>
      <c r="K643" s="4" t="inlineStr">
        <is>
          <t>Catalog lead</t>
        </is>
      </c>
      <c r="L643" s="4" t="inlineStr"/>
      <c r="M643" s="4" t="inlineStr"/>
      <c r="N643" s="4" t="inlineStr">
        <is>
          <t>2026-10-29</t>
        </is>
      </c>
      <c r="O643" s="4" t="inlineStr"/>
      <c r="P643" s="4" t="inlineStr"/>
      <c r="Q643" s="4" t="inlineStr"/>
      <c r="R643" s="4" t="inlineStr"/>
      <c r="S643" s="4" t="inlineStr"/>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c r="AI643" s="4" t="inlineStr"/>
      <c r="AJ643" s="4" t="inlineStr"/>
      <c r="AK643" s="4" t="inlineStr"/>
      <c r="AL643" s="17" t="inlineStr">
        <is>
          <t>https://pdaps.org/datasets/laws-regulating-administration-of-naloxone-1501695139</t>
        </is>
      </c>
      <c r="AM643" s="4" t="inlineStr">
        <is>
          <t>us_pdaps_laws_regulating_administration_of_naloxone_1501695</t>
        </is>
      </c>
    </row>
    <row r="644">
      <c r="A644" s="4" t="inlineStr">
        <is>
          <t>Syringe Services Programs Laws</t>
        </is>
      </c>
      <c r="B644" s="19" t="inlineStr">
        <is>
          <t>Silver</t>
        </is>
      </c>
      <c r="C644" s="4" t="inlineStr"/>
      <c r="D644" s="4" t="inlineStr"/>
      <c r="E644" s="4" t="inlineStr"/>
      <c r="F644" s="4" t="inlineStr">
        <is>
          <t>not checked</t>
        </is>
      </c>
      <c r="G644" s="4" t="inlineStr">
        <is>
          <t>state (50 states + DC code; no local)</t>
        </is>
      </c>
      <c r="H644" s="4" t="inlineStr"/>
      <c r="I644" s="4" t="inlineStr"/>
      <c r="J644" s="4" t="inlineStr"/>
      <c r="K644" s="4" t="inlineStr">
        <is>
          <t>Catalog lead</t>
        </is>
      </c>
      <c r="L644" s="4" t="inlineStr"/>
      <c r="M644" s="4" t="inlineStr"/>
      <c r="N644" s="4" t="inlineStr">
        <is>
          <t>2026-10-29</t>
        </is>
      </c>
      <c r="O644" s="4" t="inlineStr"/>
      <c r="P644" s="4" t="inlineStr"/>
      <c r="Q644" s="4" t="inlineStr"/>
      <c r="R644" s="4" t="inlineStr"/>
      <c r="S644" s="4" t="inlineStr"/>
      <c r="T644" s="4" t="inlineStr"/>
      <c r="U644" s="4" t="inlineStr"/>
      <c r="V644" s="4" t="inlineStr"/>
      <c r="W644" s="4" t="inlineStr"/>
      <c r="X644" s="4" t="inlineStr"/>
      <c r="Y644" s="4" t="inlineStr"/>
      <c r="Z644" s="4" t="inlineStr"/>
      <c r="AA644" s="4" t="inlineStr"/>
      <c r="AB644" s="4" t="inlineStr"/>
      <c r="AC644" s="4" t="inlineStr"/>
      <c r="AD644" s="4" t="inlineStr"/>
      <c r="AE644" s="4" t="inlineStr"/>
      <c r="AF644" s="4" t="inlineStr"/>
      <c r="AG644" s="4" t="inlineStr"/>
      <c r="AH644" s="4" t="inlineStr"/>
      <c r="AI644" s="4" t="inlineStr"/>
      <c r="AJ644" s="4" t="inlineStr"/>
      <c r="AK644" s="4" t="inlineStr"/>
      <c r="AL644" s="17" t="inlineStr">
        <is>
          <t>https://pdaps.org/datasets/syringe-services-programs-laws</t>
        </is>
      </c>
      <c r="AM644" s="4" t="inlineStr">
        <is>
          <t>us_pdaps_syringe_services_programs_laws</t>
        </is>
      </c>
    </row>
    <row r="645">
      <c r="A645" s="4" t="inlineStr">
        <is>
          <t>PDMP Implementation Dates</t>
        </is>
      </c>
      <c r="B645" s="20" t="inlineStr">
        <is>
          <t>Bronze</t>
        </is>
      </c>
      <c r="C645" s="4" t="inlineStr"/>
      <c r="D645" s="4" t="inlineStr"/>
      <c r="E645" s="4" t="inlineStr"/>
      <c r="F645" s="4" t="inlineStr">
        <is>
          <t>not checked</t>
        </is>
      </c>
      <c r="G645" s="4" t="inlineStr">
        <is>
          <t>state</t>
        </is>
      </c>
      <c r="H645" s="4" t="inlineStr"/>
      <c r="I645" s="4" t="inlineStr"/>
      <c r="J645" s="4" t="inlineStr"/>
      <c r="K645" s="4" t="inlineStr">
        <is>
          <t>Catalog lead</t>
        </is>
      </c>
      <c r="L645" s="4" t="inlineStr"/>
      <c r="M645" s="4" t="inlineStr"/>
      <c r="N645" s="4" t="inlineStr">
        <is>
          <t>2026-10-29</t>
        </is>
      </c>
      <c r="O645" s="4" t="inlineStr"/>
      <c r="P645" s="4" t="inlineStr"/>
      <c r="Q645" s="4" t="inlineStr"/>
      <c r="R645" s="4" t="inlineStr"/>
      <c r="S645" s="4" t="inlineStr"/>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c r="AI645" s="4" t="inlineStr"/>
      <c r="AJ645" s="4" t="inlineStr"/>
      <c r="AK645" s="4" t="inlineStr"/>
      <c r="AL645" s="17" t="inlineStr">
        <is>
          <t>https://pdaps.org/datasets/pdmp-implementation-dates</t>
        </is>
      </c>
      <c r="AM645" s="4" t="inlineStr">
        <is>
          <t>us_pdaps_pdmp_implementation_dates</t>
        </is>
      </c>
    </row>
    <row r="646">
      <c r="A646" s="4" t="inlineStr">
        <is>
          <t>Medicaid Expansion 1115 Waivers</t>
        </is>
      </c>
      <c r="B646" s="20" t="inlineStr">
        <is>
          <t>Bronze</t>
        </is>
      </c>
      <c r="C646" s="4" t="inlineStr"/>
      <c r="D646" s="4" t="inlineStr"/>
      <c r="E646" s="4" t="inlineStr"/>
      <c r="F646" s="4" t="inlineStr">
        <is>
          <t>not checked</t>
        </is>
      </c>
      <c r="G646" s="4" t="inlineStr">
        <is>
          <t>state</t>
        </is>
      </c>
      <c r="H646" s="4" t="inlineStr"/>
      <c r="I646" s="4" t="inlineStr"/>
      <c r="J646" s="4" t="inlineStr"/>
      <c r="K646" s="4" t="inlineStr">
        <is>
          <t>Catalog lead</t>
        </is>
      </c>
      <c r="L646" s="4" t="inlineStr"/>
      <c r="M646" s="4" t="inlineStr"/>
      <c r="N646" s="4" t="inlineStr">
        <is>
          <t>2026-10-29</t>
        </is>
      </c>
      <c r="O646" s="4" t="inlineStr"/>
      <c r="P646" s="4" t="inlineStr"/>
      <c r="Q646" s="4" t="inlineStr"/>
      <c r="R646" s="4" t="inlineStr"/>
      <c r="S646" s="4" t="inlineStr"/>
      <c r="T646" s="4" t="inlineStr"/>
      <c r="U646" s="4" t="inlineStr"/>
      <c r="V646" s="4" t="inlineStr"/>
      <c r="W646" s="4" t="inlineStr"/>
      <c r="X646" s="4" t="inlineStr"/>
      <c r="Y646" s="4" t="inlineStr"/>
      <c r="Z646" s="4" t="inlineStr"/>
      <c r="AA646" s="4" t="inlineStr"/>
      <c r="AB646" s="4" t="inlineStr"/>
      <c r="AC646" s="4" t="inlineStr"/>
      <c r="AD646" s="4" t="inlineStr"/>
      <c r="AE646" s="4" t="inlineStr"/>
      <c r="AF646" s="4" t="inlineStr"/>
      <c r="AG646" s="4" t="inlineStr"/>
      <c r="AH646" s="4" t="inlineStr"/>
      <c r="AI646" s="4" t="inlineStr"/>
      <c r="AJ646" s="4" t="inlineStr"/>
      <c r="AK646" s="4" t="inlineStr"/>
      <c r="AL646" s="17" t="inlineStr">
        <is>
          <t>https://pdaps.org/datasets/medicaid-expansion-1115-waivers</t>
        </is>
      </c>
      <c r="AM646" s="4" t="inlineStr">
        <is>
          <t>us_pdaps_medicaid_expansion_1115_waivers</t>
        </is>
      </c>
    </row>
    <row r="647">
      <c r="A647" s="4" t="inlineStr">
        <is>
          <t>Drugged Driving Laws</t>
        </is>
      </c>
      <c r="B647" s="20" t="inlineStr">
        <is>
          <t>Bronze</t>
        </is>
      </c>
      <c r="C647" s="4" t="inlineStr"/>
      <c r="D647" s="4" t="inlineStr"/>
      <c r="E647" s="4" t="inlineStr"/>
      <c r="F647" s="4" t="inlineStr">
        <is>
          <t>not checked</t>
        </is>
      </c>
      <c r="G647" s="4" t="inlineStr">
        <is>
          <t>state</t>
        </is>
      </c>
      <c r="H647" s="4" t="inlineStr"/>
      <c r="I647" s="4" t="inlineStr"/>
      <c r="J647" s="4" t="inlineStr"/>
      <c r="K647" s="4" t="inlineStr">
        <is>
          <t>Catalog lead</t>
        </is>
      </c>
      <c r="L647" s="4" t="inlineStr"/>
      <c r="M647" s="4" t="inlineStr"/>
      <c r="N647" s="4" t="inlineStr">
        <is>
          <t>2026-10-29</t>
        </is>
      </c>
      <c r="O647" s="4" t="inlineStr"/>
      <c r="P647" s="4" t="inlineStr"/>
      <c r="Q647" s="4" t="inlineStr"/>
      <c r="R647" s="4" t="inlineStr"/>
      <c r="S647" s="4" t="inlineStr"/>
      <c r="T647" s="4" t="inlineStr"/>
      <c r="U647" s="4" t="inlineStr"/>
      <c r="V647" s="4" t="inlineStr"/>
      <c r="W647" s="4" t="inlineStr"/>
      <c r="X647" s="4" t="inlineStr"/>
      <c r="Y647" s="4" t="inlineStr"/>
      <c r="Z647" s="4" t="inlineStr"/>
      <c r="AA647" s="4" t="inlineStr"/>
      <c r="AB647" s="4" t="inlineStr"/>
      <c r="AC647" s="4" t="inlineStr"/>
      <c r="AD647" s="4" t="inlineStr"/>
      <c r="AE647" s="4" t="inlineStr"/>
      <c r="AF647" s="4" t="inlineStr"/>
      <c r="AG647" s="4" t="inlineStr"/>
      <c r="AH647" s="4" t="inlineStr"/>
      <c r="AI647" s="4" t="inlineStr"/>
      <c r="AJ647" s="4" t="inlineStr"/>
      <c r="AK647" s="4" t="inlineStr"/>
      <c r="AL647" s="17" t="inlineStr">
        <is>
          <t>https://pdaps.org/datasets/drugged-driving-laws</t>
        </is>
      </c>
      <c r="AM647" s="4" t="inlineStr">
        <is>
          <t>us_pdaps_drugged_driving_laws</t>
        </is>
      </c>
    </row>
    <row r="648">
      <c r="A648" s="4" t="inlineStr">
        <is>
          <t>Pain Management Clinic Laws</t>
        </is>
      </c>
      <c r="B648" s="20" t="inlineStr">
        <is>
          <t>Bronze</t>
        </is>
      </c>
      <c r="C648" s="4" t="inlineStr"/>
      <c r="D648" s="4" t="inlineStr"/>
      <c r="E648" s="4" t="inlineStr"/>
      <c r="F648" s="4" t="inlineStr">
        <is>
          <t>not checked</t>
        </is>
      </c>
      <c r="G648" s="4" t="inlineStr">
        <is>
          <t>state</t>
        </is>
      </c>
      <c r="H648" s="4" t="inlineStr"/>
      <c r="I648" s="4" t="inlineStr"/>
      <c r="J648" s="4" t="inlineStr"/>
      <c r="K648" s="4" t="inlineStr">
        <is>
          <t>Catalog lead</t>
        </is>
      </c>
      <c r="L648" s="4" t="inlineStr"/>
      <c r="M648" s="4" t="inlineStr"/>
      <c r="N648" s="4" t="inlineStr">
        <is>
          <t>2026-10-29</t>
        </is>
      </c>
      <c r="O648" s="4" t="inlineStr"/>
      <c r="P648" s="4" t="inlineStr"/>
      <c r="Q648" s="4" t="inlineStr"/>
      <c r="R648" s="4" t="inlineStr"/>
      <c r="S648" s="4" t="inlineStr"/>
      <c r="T648" s="4" t="inlineStr"/>
      <c r="U648" s="4" t="inlineStr"/>
      <c r="V648" s="4" t="inlineStr"/>
      <c r="W648" s="4" t="inlineStr"/>
      <c r="X648" s="4" t="inlineStr"/>
      <c r="Y648" s="4" t="inlineStr"/>
      <c r="Z648" s="4" t="inlineStr"/>
      <c r="AA648" s="4" t="inlineStr"/>
      <c r="AB648" s="4" t="inlineStr"/>
      <c r="AC648" s="4" t="inlineStr"/>
      <c r="AD648" s="4" t="inlineStr"/>
      <c r="AE648" s="4" t="inlineStr"/>
      <c r="AF648" s="4" t="inlineStr"/>
      <c r="AG648" s="4" t="inlineStr"/>
      <c r="AH648" s="4" t="inlineStr"/>
      <c r="AI648" s="4" t="inlineStr"/>
      <c r="AJ648" s="4" t="inlineStr"/>
      <c r="AK648" s="4" t="inlineStr"/>
      <c r="AL648" s="17" t="inlineStr">
        <is>
          <t>https://pdaps.org/datasets/pain-management-clinic-laws</t>
        </is>
      </c>
      <c r="AM648" s="4" t="inlineStr">
        <is>
          <t>us_pdaps_pain_management_clinic_laws</t>
        </is>
      </c>
    </row>
    <row r="649">
      <c r="A649" s="4" t="inlineStr">
        <is>
          <t>Prescription Drug Monitoring Program Laws: Reporting, Mandates &amp; Access</t>
        </is>
      </c>
      <c r="B649" s="19" t="inlineStr">
        <is>
          <t>Silver</t>
        </is>
      </c>
      <c r="C649" s="4" t="inlineStr"/>
      <c r="D649" s="4" t="inlineStr"/>
      <c r="E649" s="4" t="inlineStr"/>
      <c r="F649" s="4" t="inlineStr">
        <is>
          <t>not checked</t>
        </is>
      </c>
      <c r="G649" s="4" t="inlineStr">
        <is>
          <t>state (+DC/territories; 51 jurisdictions)</t>
        </is>
      </c>
      <c r="H649" s="4" t="inlineStr"/>
      <c r="I649" s="4" t="inlineStr"/>
      <c r="J649" s="4" t="inlineStr"/>
      <c r="K649" s="4" t="inlineStr">
        <is>
          <t>Catalog lead</t>
        </is>
      </c>
      <c r="L649" s="4" t="inlineStr"/>
      <c r="M649" s="4" t="inlineStr"/>
      <c r="N649" s="4" t="inlineStr">
        <is>
          <t>2026-10-29</t>
        </is>
      </c>
      <c r="O649" s="4" t="inlineStr"/>
      <c r="P649" s="4" t="inlineStr"/>
      <c r="Q649" s="4" t="inlineStr"/>
      <c r="R649" s="4" t="inlineStr"/>
      <c r="S649" s="4" t="inlineStr"/>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c r="AJ649" s="4" t="inlineStr"/>
      <c r="AK649" s="4" t="inlineStr"/>
      <c r="AL649" s="17" t="inlineStr">
        <is>
          <t>https://lawatlas.org/datasets/prescription-drug-monitoring-program-laws-reporting-mandates-access-2014-2023</t>
        </is>
      </c>
      <c r="AM649" s="4" t="inlineStr">
        <is>
          <t>us_lawatlas_prescription_drug_monitoring_program_laws_reportin</t>
        </is>
      </c>
    </row>
    <row r="650">
      <c r="A650" s="4" t="inlineStr">
        <is>
          <t>State HIV Criminalization Laws</t>
        </is>
      </c>
      <c r="B650" s="19" t="inlineStr">
        <is>
          <t>Silver</t>
        </is>
      </c>
      <c r="C650" s="4" t="inlineStr"/>
      <c r="D650" s="4" t="inlineStr"/>
      <c r="E650" s="4" t="inlineStr"/>
      <c r="F650" s="4" t="inlineStr">
        <is>
          <t>not checked</t>
        </is>
      </c>
      <c r="G650" s="4" t="inlineStr">
        <is>
          <t>state (+DC/territories; 52 jurisdictions)</t>
        </is>
      </c>
      <c r="H650" s="4" t="inlineStr"/>
      <c r="I650" s="4" t="inlineStr"/>
      <c r="J650" s="4" t="inlineStr"/>
      <c r="K650" s="4" t="inlineStr">
        <is>
          <t>Catalog lead</t>
        </is>
      </c>
      <c r="L650" s="4" t="inlineStr"/>
      <c r="M650" s="4" t="inlineStr"/>
      <c r="N650" s="4" t="inlineStr">
        <is>
          <t>2026-10-29</t>
        </is>
      </c>
      <c r="O650" s="4" t="inlineStr"/>
      <c r="P650" s="4" t="inlineStr"/>
      <c r="Q650" s="4" t="inlineStr"/>
      <c r="R650" s="4" t="inlineStr"/>
      <c r="S650" s="4" t="inlineStr"/>
      <c r="T650" s="4" t="inlineStr"/>
      <c r="U650" s="4" t="inlineStr"/>
      <c r="V650" s="4" t="inlineStr"/>
      <c r="W650" s="4" t="inlineStr"/>
      <c r="X650" s="4" t="inlineStr"/>
      <c r="Y650" s="4" t="inlineStr"/>
      <c r="Z650" s="4" t="inlineStr"/>
      <c r="AA650" s="4" t="inlineStr"/>
      <c r="AB650" s="4" t="inlineStr"/>
      <c r="AC650" s="4" t="inlineStr"/>
      <c r="AD650" s="4" t="inlineStr"/>
      <c r="AE650" s="4" t="inlineStr"/>
      <c r="AF650" s="4" t="inlineStr"/>
      <c r="AG650" s="4" t="inlineStr"/>
      <c r="AH650" s="4" t="inlineStr"/>
      <c r="AI650" s="4" t="inlineStr"/>
      <c r="AJ650" s="4" t="inlineStr"/>
      <c r="AK650" s="4" t="inlineStr"/>
      <c r="AL650" s="17" t="inlineStr">
        <is>
          <t>https://lawatlas.org/datasets/state-hiv-criminalization-laws</t>
        </is>
      </c>
      <c r="AM650" s="4" t="inlineStr">
        <is>
          <t>us_lawatlas_state_hiv_criminalization_laws</t>
        </is>
      </c>
    </row>
    <row r="651">
      <c r="A651" s="4" t="inlineStr">
        <is>
          <t>State HIV/STI Minors' Consent Laws</t>
        </is>
      </c>
      <c r="B651" s="19" t="inlineStr">
        <is>
          <t>Silver</t>
        </is>
      </c>
      <c r="C651" s="4" t="inlineStr"/>
      <c r="D651" s="4" t="inlineStr"/>
      <c r="E651" s="4" t="inlineStr"/>
      <c r="F651" s="4" t="inlineStr">
        <is>
          <t>not checked</t>
        </is>
      </c>
      <c r="G651" s="4" t="inlineStr">
        <is>
          <t>state (+DC/territories; 52 jurisdictions)</t>
        </is>
      </c>
      <c r="H651" s="4" t="inlineStr"/>
      <c r="I651" s="4" t="inlineStr"/>
      <c r="J651" s="4" t="inlineStr"/>
      <c r="K651" s="4" t="inlineStr">
        <is>
          <t>Catalog lead</t>
        </is>
      </c>
      <c r="L651" s="4" t="inlineStr"/>
      <c r="M651" s="4" t="inlineStr"/>
      <c r="N651" s="4" t="inlineStr">
        <is>
          <t>2026-10-29</t>
        </is>
      </c>
      <c r="O651" s="4" t="inlineStr"/>
      <c r="P651" s="4" t="inlineStr"/>
      <c r="Q651" s="4" t="inlineStr"/>
      <c r="R651" s="4" t="inlineStr"/>
      <c r="S651" s="4" t="inlineStr"/>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c r="AJ651" s="4" t="inlineStr"/>
      <c r="AK651" s="4" t="inlineStr"/>
      <c r="AL651" s="17" t="inlineStr">
        <is>
          <t>https://lawatlas.org/datasets/state-minors-consent-laws</t>
        </is>
      </c>
      <c r="AM651" s="4" t="inlineStr">
        <is>
          <t>us_lawatlas_state_minors_consent_laws</t>
        </is>
      </c>
    </row>
    <row r="652">
      <c r="A652" s="4" t="inlineStr">
        <is>
          <t>State HIV Laboratory Reporting Laws</t>
        </is>
      </c>
      <c r="B652" s="19" t="inlineStr">
        <is>
          <t>Silver</t>
        </is>
      </c>
      <c r="C652" s="4" t="inlineStr"/>
      <c r="D652" s="4" t="inlineStr"/>
      <c r="E652" s="4" t="inlineStr"/>
      <c r="F652" s="4" t="inlineStr">
        <is>
          <t>not checked</t>
        </is>
      </c>
      <c r="G652" s="4" t="inlineStr">
        <is>
          <t>state (+DC/territories; 53 jurisdictions)</t>
        </is>
      </c>
      <c r="H652" s="4" t="inlineStr"/>
      <c r="I652" s="4" t="inlineStr"/>
      <c r="J652" s="4" t="inlineStr"/>
      <c r="K652" s="4" t="inlineStr">
        <is>
          <t>Catalog lead</t>
        </is>
      </c>
      <c r="L652" s="4" t="inlineStr"/>
      <c r="M652" s="4" t="inlineStr"/>
      <c r="N652" s="4" t="inlineStr">
        <is>
          <t>2026-10-29</t>
        </is>
      </c>
      <c r="O652" s="4" t="inlineStr"/>
      <c r="P652" s="4" t="inlineStr"/>
      <c r="Q652" s="4" t="inlineStr"/>
      <c r="R652" s="4" t="inlineStr"/>
      <c r="S652" s="4" t="inlineStr"/>
      <c r="T652" s="4" t="inlineStr"/>
      <c r="U652" s="4" t="inlineStr"/>
      <c r="V652" s="4" t="inlineStr"/>
      <c r="W652" s="4" t="inlineStr"/>
      <c r="X652" s="4" t="inlineStr"/>
      <c r="Y652" s="4" t="inlineStr"/>
      <c r="Z652" s="4" t="inlineStr"/>
      <c r="AA652" s="4" t="inlineStr"/>
      <c r="AB652" s="4" t="inlineStr"/>
      <c r="AC652" s="4" t="inlineStr"/>
      <c r="AD652" s="4" t="inlineStr"/>
      <c r="AE652" s="4" t="inlineStr"/>
      <c r="AF652" s="4" t="inlineStr"/>
      <c r="AG652" s="4" t="inlineStr"/>
      <c r="AH652" s="4" t="inlineStr"/>
      <c r="AI652" s="4" t="inlineStr"/>
      <c r="AJ652" s="4" t="inlineStr"/>
      <c r="AK652" s="4" t="inlineStr"/>
      <c r="AL652" s="17" t="inlineStr">
        <is>
          <t>https://lawatlas.org/datasets/state-laboratory-reporting-laws</t>
        </is>
      </c>
      <c r="AM652" s="4" t="inlineStr">
        <is>
          <t>us_lawatlas_state_laboratory_reporting_laws</t>
        </is>
      </c>
    </row>
    <row r="653">
      <c r="A653" s="4" t="inlineStr">
        <is>
          <t>State Perinatal HIV Testing Laws</t>
        </is>
      </c>
      <c r="B653" s="19" t="inlineStr">
        <is>
          <t>Silver</t>
        </is>
      </c>
      <c r="C653" s="4" t="inlineStr"/>
      <c r="D653" s="4" t="inlineStr"/>
      <c r="E653" s="4" t="inlineStr"/>
      <c r="F653" s="4" t="inlineStr">
        <is>
          <t>not checked</t>
        </is>
      </c>
      <c r="G653" s="4" t="inlineStr">
        <is>
          <t>state (+DC/territories; 52 jurisdictions)</t>
        </is>
      </c>
      <c r="H653" s="4" t="inlineStr"/>
      <c r="I653" s="4" t="inlineStr"/>
      <c r="J653" s="4" t="inlineStr"/>
      <c r="K653" s="4" t="inlineStr">
        <is>
          <t>Catalog lead</t>
        </is>
      </c>
      <c r="L653" s="4" t="inlineStr"/>
      <c r="M653" s="4" t="inlineStr"/>
      <c r="N653" s="4" t="inlineStr">
        <is>
          <t>2026-10-29</t>
        </is>
      </c>
      <c r="O653" s="4" t="inlineStr"/>
      <c r="P653" s="4" t="inlineStr"/>
      <c r="Q653" s="4" t="inlineStr"/>
      <c r="R653" s="4" t="inlineStr"/>
      <c r="S653" s="4" t="inlineStr"/>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c r="AH653" s="4" t="inlineStr"/>
      <c r="AI653" s="4" t="inlineStr"/>
      <c r="AJ653" s="4" t="inlineStr"/>
      <c r="AK653" s="4" t="inlineStr"/>
      <c r="AL653" s="17" t="inlineStr">
        <is>
          <t>https://lawatlas.org/datasets/state-perinatal-hiv-testing-laws</t>
        </is>
      </c>
      <c r="AM653" s="4" t="inlineStr">
        <is>
          <t>us_lawatlas_state_perinatal_hiv_testing_laws</t>
        </is>
      </c>
    </row>
    <row r="654">
      <c r="A654" s="4" t="inlineStr">
        <is>
          <t>State Minimum Wage Laws</t>
        </is>
      </c>
      <c r="B654" s="19" t="inlineStr">
        <is>
          <t>Silver</t>
        </is>
      </c>
      <c r="C654" s="4" t="inlineStr"/>
      <c r="D654" s="4" t="inlineStr"/>
      <c r="E654" s="4" t="inlineStr"/>
      <c r="F654" s="4" t="inlineStr">
        <is>
          <t>not checked</t>
        </is>
      </c>
      <c r="G654" s="4" t="inlineStr">
        <is>
          <t>state (+DC/territories; 25 jurisdictions)</t>
        </is>
      </c>
      <c r="H654" s="4" t="inlineStr"/>
      <c r="I654" s="4" t="inlineStr"/>
      <c r="J654" s="4" t="inlineStr"/>
      <c r="K654" s="4" t="inlineStr">
        <is>
          <t>Catalog lead</t>
        </is>
      </c>
      <c r="L654" s="4" t="inlineStr"/>
      <c r="M654" s="4" t="inlineStr"/>
      <c r="N654" s="4" t="inlineStr">
        <is>
          <t>2026-10-29</t>
        </is>
      </c>
      <c r="O654" s="4" t="inlineStr"/>
      <c r="P654" s="4" t="inlineStr"/>
      <c r="Q654" s="4" t="inlineStr"/>
      <c r="R654" s="4" t="inlineStr"/>
      <c r="S654" s="4" t="inlineStr"/>
      <c r="T654" s="4" t="inlineStr"/>
      <c r="U654" s="4" t="inlineStr"/>
      <c r="V654" s="4" t="inlineStr"/>
      <c r="W654" s="4" t="inlineStr"/>
      <c r="X654" s="4" t="inlineStr"/>
      <c r="Y654" s="4" t="inlineStr"/>
      <c r="Z654" s="4" t="inlineStr"/>
      <c r="AA654" s="4" t="inlineStr"/>
      <c r="AB654" s="4" t="inlineStr"/>
      <c r="AC654" s="4" t="inlineStr"/>
      <c r="AD654" s="4" t="inlineStr"/>
      <c r="AE654" s="4" t="inlineStr"/>
      <c r="AF654" s="4" t="inlineStr"/>
      <c r="AG654" s="4" t="inlineStr"/>
      <c r="AH654" s="4" t="inlineStr"/>
      <c r="AI654" s="4" t="inlineStr"/>
      <c r="AJ654" s="4" t="inlineStr"/>
      <c r="AK654" s="4" t="inlineStr"/>
      <c r="AL654" s="17" t="inlineStr">
        <is>
          <t>https://lawatlas.org/datasets/state-minimum-wage-laws</t>
        </is>
      </c>
      <c r="AM654" s="4" t="inlineStr">
        <is>
          <t>us_lawatlas_state_minimum_wage_laws</t>
        </is>
      </c>
    </row>
    <row r="655">
      <c r="A655" s="4" t="inlineStr">
        <is>
          <t>Local Eviction Laws</t>
        </is>
      </c>
      <c r="B655" s="19" t="inlineStr">
        <is>
          <t>Silver</t>
        </is>
      </c>
      <c r="C655" s="4" t="inlineStr"/>
      <c r="D655" s="4" t="inlineStr"/>
      <c r="E655" s="4" t="inlineStr"/>
      <c r="F655" s="4" t="inlineStr">
        <is>
          <t>not checked</t>
        </is>
      </c>
      <c r="G655" s="4" t="inlineStr">
        <is>
          <t>city (30 cities)</t>
        </is>
      </c>
      <c r="H655" s="4" t="inlineStr"/>
      <c r="I655" s="4" t="inlineStr"/>
      <c r="J655" s="4" t="inlineStr"/>
      <c r="K655" s="4" t="inlineStr">
        <is>
          <t>Catalog lead</t>
        </is>
      </c>
      <c r="L655" s="4" t="inlineStr"/>
      <c r="M655" s="4" t="inlineStr"/>
      <c r="N655" s="4" t="inlineStr">
        <is>
          <t>2026-10-29</t>
        </is>
      </c>
      <c r="O655" s="4" t="inlineStr"/>
      <c r="P655" s="4" t="inlineStr"/>
      <c r="Q655" s="4" t="inlineStr"/>
      <c r="R655" s="4" t="inlineStr"/>
      <c r="S655" s="4" t="inlineStr"/>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c r="AH655" s="4" t="inlineStr"/>
      <c r="AI655" s="4" t="inlineStr"/>
      <c r="AJ655" s="4" t="inlineStr"/>
      <c r="AK655" s="4" t="inlineStr"/>
      <c r="AL655" s="17" t="inlineStr">
        <is>
          <t>https://lawatlas.org/datasets/local-eviction-laws</t>
        </is>
      </c>
      <c r="AM655" s="4" t="inlineStr">
        <is>
          <t>us_lawatlas_local_eviction_laws</t>
        </is>
      </c>
    </row>
    <row r="656">
      <c r="A656" s="4" t="inlineStr">
        <is>
          <t>Health Impact Assessment (HIA) Bills</t>
        </is>
      </c>
      <c r="B656" s="19" t="inlineStr">
        <is>
          <t>Silver</t>
        </is>
      </c>
      <c r="C656" s="4" t="inlineStr"/>
      <c r="D656" s="4" t="inlineStr"/>
      <c r="E656" s="4" t="inlineStr"/>
      <c r="F656" s="4" t="inlineStr">
        <is>
          <t>not checked</t>
        </is>
      </c>
      <c r="G656" s="4" t="inlineStr">
        <is>
          <t>state (+DC/territories; 51 jurisdictions)</t>
        </is>
      </c>
      <c r="H656" s="4" t="inlineStr"/>
      <c r="I656" s="4" t="inlineStr"/>
      <c r="J656" s="4" t="inlineStr"/>
      <c r="K656" s="4" t="inlineStr">
        <is>
          <t>Catalog lead</t>
        </is>
      </c>
      <c r="L656" s="4" t="inlineStr"/>
      <c r="M656" s="4" t="inlineStr"/>
      <c r="N656" s="4" t="inlineStr">
        <is>
          <t>2026-10-29</t>
        </is>
      </c>
      <c r="O656" s="4" t="inlineStr"/>
      <c r="P656" s="4" t="inlineStr"/>
      <c r="Q656" s="4" t="inlineStr"/>
      <c r="R656" s="4" t="inlineStr"/>
      <c r="S656" s="4" t="inlineStr"/>
      <c r="T656" s="4" t="inlineStr"/>
      <c r="U656" s="4" t="inlineStr"/>
      <c r="V656" s="4" t="inlineStr"/>
      <c r="W656" s="4" t="inlineStr"/>
      <c r="X656" s="4" t="inlineStr"/>
      <c r="Y656" s="4" t="inlineStr"/>
      <c r="Z656" s="4" t="inlineStr"/>
      <c r="AA656" s="4" t="inlineStr"/>
      <c r="AB656" s="4" t="inlineStr"/>
      <c r="AC656" s="4" t="inlineStr"/>
      <c r="AD656" s="4" t="inlineStr"/>
      <c r="AE656" s="4" t="inlineStr"/>
      <c r="AF656" s="4" t="inlineStr"/>
      <c r="AG656" s="4" t="inlineStr"/>
      <c r="AH656" s="4" t="inlineStr"/>
      <c r="AI656" s="4" t="inlineStr"/>
      <c r="AJ656" s="4" t="inlineStr"/>
      <c r="AK656" s="4" t="inlineStr"/>
      <c r="AL656" s="17" t="inlineStr">
        <is>
          <t>https://lawatlas.org/datasets/hia-bills</t>
        </is>
      </c>
      <c r="AM656" s="4" t="inlineStr">
        <is>
          <t>us_lawatlas_hia_bills</t>
        </is>
      </c>
    </row>
    <row r="657">
      <c r="A657" s="4" t="inlineStr">
        <is>
          <t>NaNDA: Street Connectivity by Census Tract and ZCTA</t>
        </is>
      </c>
      <c r="B657" s="20" t="inlineStr">
        <is>
          <t>Bronze</t>
        </is>
      </c>
      <c r="C657" s="4" t="inlineStr"/>
      <c r="D657" s="4" t="inlineStr"/>
      <c r="E657" s="4" t="inlineStr"/>
      <c r="F657" s="4" t="inlineStr">
        <is>
          <t>not checked</t>
        </is>
      </c>
      <c r="G657" s="4" t="inlineStr">
        <is>
          <t>tract; ZCTA</t>
        </is>
      </c>
      <c r="H657" s="4" t="inlineStr"/>
      <c r="I657" s="4" t="inlineStr"/>
      <c r="J657" s="4" t="inlineStr"/>
      <c r="K657" s="4" t="inlineStr">
        <is>
          <t>Catalog lead</t>
        </is>
      </c>
      <c r="L657" s="4" t="inlineStr"/>
      <c r="M657" s="4" t="inlineStr"/>
      <c r="N657" s="4" t="inlineStr">
        <is>
          <t>2026-10-29</t>
        </is>
      </c>
      <c r="O657" s="4" t="inlineStr"/>
      <c r="P657" s="4" t="inlineStr"/>
      <c r="Q657" s="4" t="inlineStr"/>
      <c r="R657" s="4" t="inlineStr"/>
      <c r="S657" s="4" t="inlineStr"/>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c r="AJ657" s="4" t="inlineStr"/>
      <c r="AK657" s="4" t="inlineStr"/>
      <c r="AL657" s="17" t="inlineStr">
        <is>
          <t>https://doi.org/10.3886/ICPSR38580</t>
        </is>
      </c>
      <c r="AM657" s="4" t="inlineStr">
        <is>
          <t>us_nanda_icpsr38580</t>
        </is>
      </c>
    </row>
    <row r="658">
      <c r="A658" s="4" t="inlineStr">
        <is>
          <t>NaNDA: Parks by Census Tract and ZCTA</t>
        </is>
      </c>
      <c r="B658" s="20" t="inlineStr">
        <is>
          <t>Bronze</t>
        </is>
      </c>
      <c r="C658" s="4" t="inlineStr"/>
      <c r="D658" s="4" t="inlineStr"/>
      <c r="E658" s="4" t="inlineStr"/>
      <c r="F658" s="4" t="inlineStr">
        <is>
          <t>not checked</t>
        </is>
      </c>
      <c r="G658" s="4" t="inlineStr">
        <is>
          <t>tract; ZCTA</t>
        </is>
      </c>
      <c r="H658" s="4" t="inlineStr"/>
      <c r="I658" s="4" t="inlineStr"/>
      <c r="J658" s="4" t="inlineStr"/>
      <c r="K658" s="4" t="inlineStr">
        <is>
          <t>Catalog lead</t>
        </is>
      </c>
      <c r="L658" s="4" t="inlineStr"/>
      <c r="M658" s="4" t="inlineStr"/>
      <c r="N658" s="4" t="inlineStr">
        <is>
          <t>2026-10-29</t>
        </is>
      </c>
      <c r="O658" s="4" t="inlineStr"/>
      <c r="P658" s="4" t="inlineStr"/>
      <c r="Q658" s="4" t="inlineStr"/>
      <c r="R658" s="4" t="inlineStr"/>
      <c r="S658" s="4" t="inlineStr"/>
      <c r="T658" s="4" t="inlineStr"/>
      <c r="U658" s="4" t="inlineStr"/>
      <c r="V658" s="4" t="inlineStr"/>
      <c r="W658" s="4" t="inlineStr"/>
      <c r="X658" s="4" t="inlineStr"/>
      <c r="Y658" s="4" t="inlineStr"/>
      <c r="Z658" s="4" t="inlineStr"/>
      <c r="AA658" s="4" t="inlineStr"/>
      <c r="AB658" s="4" t="inlineStr"/>
      <c r="AC658" s="4" t="inlineStr"/>
      <c r="AD658" s="4" t="inlineStr"/>
      <c r="AE658" s="4" t="inlineStr"/>
      <c r="AF658" s="4" t="inlineStr"/>
      <c r="AG658" s="4" t="inlineStr"/>
      <c r="AH658" s="4" t="inlineStr"/>
      <c r="AI658" s="4" t="inlineStr"/>
      <c r="AJ658" s="4" t="inlineStr"/>
      <c r="AK658" s="4" t="inlineStr"/>
      <c r="AL658" s="17" t="inlineStr">
        <is>
          <t>https://doi.org/10.3886/ICPSR38586</t>
        </is>
      </c>
      <c r="AM658" s="4" t="inlineStr">
        <is>
          <t>us_nanda_icpsr38586</t>
        </is>
      </c>
    </row>
    <row r="659">
      <c r="A659" s="4" t="inlineStr">
        <is>
          <t>NaNDA: Primary and Secondary Roads by Census Tract and ZCTA</t>
        </is>
      </c>
      <c r="B659" s="20" t="inlineStr">
        <is>
          <t>Bronze</t>
        </is>
      </c>
      <c r="C659" s="4" t="inlineStr"/>
      <c r="D659" s="4" t="inlineStr"/>
      <c r="E659" s="4" t="inlineStr"/>
      <c r="F659" s="4" t="inlineStr">
        <is>
          <t>not checked</t>
        </is>
      </c>
      <c r="G659" s="4" t="inlineStr">
        <is>
          <t>tract; ZCTA</t>
        </is>
      </c>
      <c r="H659" s="4" t="inlineStr"/>
      <c r="I659" s="4" t="inlineStr"/>
      <c r="J659" s="4" t="inlineStr"/>
      <c r="K659" s="4" t="inlineStr">
        <is>
          <t>Catalog lead</t>
        </is>
      </c>
      <c r="L659" s="4" t="inlineStr"/>
      <c r="M659" s="4" t="inlineStr"/>
      <c r="N659" s="4" t="inlineStr">
        <is>
          <t>2026-10-29</t>
        </is>
      </c>
      <c r="O659" s="4" t="inlineStr"/>
      <c r="P659" s="4" t="inlineStr"/>
      <c r="Q659" s="4" t="inlineStr"/>
      <c r="R659" s="4" t="inlineStr"/>
      <c r="S659" s="4" t="inlineStr"/>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c r="AJ659" s="4" t="inlineStr"/>
      <c r="AK659" s="4" t="inlineStr"/>
      <c r="AL659" s="17" t="inlineStr">
        <is>
          <t>https://doi.org/10.3886/ICPSR38585</t>
        </is>
      </c>
      <c r="AM659" s="4" t="inlineStr">
        <is>
          <t>us_nanda_icpsr38585</t>
        </is>
      </c>
    </row>
    <row r="660">
      <c r="A660" s="4" t="inlineStr">
        <is>
          <t>NaNDA: Polluting Sites by Census Tract and ZCTA</t>
        </is>
      </c>
      <c r="B660" s="20" t="inlineStr">
        <is>
          <t>Bronze</t>
        </is>
      </c>
      <c r="C660" s="4" t="inlineStr"/>
      <c r="D660" s="4" t="inlineStr"/>
      <c r="E660" s="4" t="inlineStr"/>
      <c r="F660" s="4" t="inlineStr">
        <is>
          <t>not checked</t>
        </is>
      </c>
      <c r="G660" s="4" t="inlineStr">
        <is>
          <t>tract; ZCTA</t>
        </is>
      </c>
      <c r="H660" s="4" t="inlineStr"/>
      <c r="I660" s="4" t="inlineStr"/>
      <c r="J660" s="4" t="inlineStr"/>
      <c r="K660" s="4" t="inlineStr">
        <is>
          <t>Catalog lead</t>
        </is>
      </c>
      <c r="L660" s="4" t="inlineStr"/>
      <c r="M660" s="4" t="inlineStr"/>
      <c r="N660" s="4" t="inlineStr">
        <is>
          <t>2026-10-29</t>
        </is>
      </c>
      <c r="O660" s="4" t="inlineStr"/>
      <c r="P660" s="4" t="inlineStr"/>
      <c r="Q660" s="4" t="inlineStr"/>
      <c r="R660" s="4" t="inlineStr"/>
      <c r="S660" s="4" t="inlineStr"/>
      <c r="T660" s="4" t="inlineStr"/>
      <c r="U660" s="4" t="inlineStr"/>
      <c r="V660" s="4" t="inlineStr"/>
      <c r="W660" s="4" t="inlineStr"/>
      <c r="X660" s="4" t="inlineStr"/>
      <c r="Y660" s="4" t="inlineStr"/>
      <c r="Z660" s="4" t="inlineStr"/>
      <c r="AA660" s="4" t="inlineStr"/>
      <c r="AB660" s="4" t="inlineStr"/>
      <c r="AC660" s="4" t="inlineStr"/>
      <c r="AD660" s="4" t="inlineStr"/>
      <c r="AE660" s="4" t="inlineStr"/>
      <c r="AF660" s="4" t="inlineStr"/>
      <c r="AG660" s="4" t="inlineStr"/>
      <c r="AH660" s="4" t="inlineStr"/>
      <c r="AI660" s="4" t="inlineStr"/>
      <c r="AJ660" s="4" t="inlineStr"/>
      <c r="AK660" s="4" t="inlineStr"/>
      <c r="AL660" s="17" t="inlineStr">
        <is>
          <t>https://doi.org/10.3886/ICPSR38597</t>
        </is>
      </c>
      <c r="AM660" s="4" t="inlineStr">
        <is>
          <t>us_nanda_icpsr38597</t>
        </is>
      </c>
    </row>
    <row r="661">
      <c r="A661" s="4" t="inlineStr">
        <is>
          <t>NaNDA: Public Transit Stops by Census Tract and ZCTA</t>
        </is>
      </c>
      <c r="B661" s="20" t="inlineStr">
        <is>
          <t>Bronze</t>
        </is>
      </c>
      <c r="C661" s="4" t="inlineStr"/>
      <c r="D661" s="4" t="inlineStr"/>
      <c r="E661" s="4" t="inlineStr"/>
      <c r="F661" s="4" t="inlineStr">
        <is>
          <t>not checked</t>
        </is>
      </c>
      <c r="G661" s="4" t="inlineStr">
        <is>
          <t>tract; ZCTA</t>
        </is>
      </c>
      <c r="H661" s="4" t="inlineStr"/>
      <c r="I661" s="4" t="inlineStr"/>
      <c r="J661" s="4" t="inlineStr"/>
      <c r="K661" s="4" t="inlineStr">
        <is>
          <t>Catalog lead</t>
        </is>
      </c>
      <c r="L661" s="4" t="inlineStr"/>
      <c r="M661" s="4" t="inlineStr"/>
      <c r="N661" s="4" t="inlineStr">
        <is>
          <t>2026-10-29</t>
        </is>
      </c>
      <c r="O661" s="4" t="inlineStr"/>
      <c r="P661" s="4" t="inlineStr"/>
      <c r="Q661" s="4" t="inlineStr"/>
      <c r="R661" s="4" t="inlineStr"/>
      <c r="S661" s="4" t="inlineStr"/>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c r="AH661" s="4" t="inlineStr"/>
      <c r="AI661" s="4" t="inlineStr"/>
      <c r="AJ661" s="4" t="inlineStr"/>
      <c r="AK661" s="4" t="inlineStr"/>
      <c r="AL661" s="17" t="inlineStr">
        <is>
          <t>https://doi.org/10.3886/ICPSR38605</t>
        </is>
      </c>
      <c r="AM661" s="4" t="inlineStr">
        <is>
          <t>us_nanda_icpsr38605</t>
        </is>
      </c>
    </row>
    <row r="662">
      <c r="A662" s="4" t="inlineStr">
        <is>
          <t>NaNDA: Libraries by Census Tract and ZCTA</t>
        </is>
      </c>
      <c r="B662" s="20" t="inlineStr">
        <is>
          <t>Bronze</t>
        </is>
      </c>
      <c r="C662" s="4" t="inlineStr"/>
      <c r="D662" s="4" t="inlineStr"/>
      <c r="E662" s="4" t="inlineStr"/>
      <c r="F662" s="4" t="inlineStr">
        <is>
          <t>not checked</t>
        </is>
      </c>
      <c r="G662" s="4" t="inlineStr">
        <is>
          <t>tract; ZCTA</t>
        </is>
      </c>
      <c r="H662" s="4" t="inlineStr"/>
      <c r="I662" s="4" t="inlineStr"/>
      <c r="J662" s="4" t="inlineStr"/>
      <c r="K662" s="4" t="inlineStr">
        <is>
          <t>Catalog lead</t>
        </is>
      </c>
      <c r="L662" s="4" t="inlineStr"/>
      <c r="M662" s="4" t="inlineStr"/>
      <c r="N662" s="4" t="inlineStr">
        <is>
          <t>2026-10-29</t>
        </is>
      </c>
      <c r="O662" s="4" t="inlineStr"/>
      <c r="P662" s="4" t="inlineStr"/>
      <c r="Q662" s="4" t="inlineStr"/>
      <c r="R662" s="4" t="inlineStr"/>
      <c r="S662" s="4" t="inlineStr"/>
      <c r="T662" s="4" t="inlineStr"/>
      <c r="U662" s="4" t="inlineStr"/>
      <c r="V662" s="4" t="inlineStr"/>
      <c r="W662" s="4" t="inlineStr"/>
      <c r="X662" s="4" t="inlineStr"/>
      <c r="Y662" s="4" t="inlineStr"/>
      <c r="Z662" s="4" t="inlineStr"/>
      <c r="AA662" s="4" t="inlineStr"/>
      <c r="AB662" s="4" t="inlineStr"/>
      <c r="AC662" s="4" t="inlineStr"/>
      <c r="AD662" s="4" t="inlineStr"/>
      <c r="AE662" s="4" t="inlineStr"/>
      <c r="AF662" s="4" t="inlineStr"/>
      <c r="AG662" s="4" t="inlineStr"/>
      <c r="AH662" s="4" t="inlineStr"/>
      <c r="AI662" s="4" t="inlineStr"/>
      <c r="AJ662" s="4" t="inlineStr"/>
      <c r="AK662" s="4" t="inlineStr"/>
      <c r="AL662" s="17" t="inlineStr">
        <is>
          <t>https://doi.org/10.3886/ICPSR200038</t>
        </is>
      </c>
      <c r="AM662" s="4" t="inlineStr">
        <is>
          <t>us_nanda_icpsr200038</t>
        </is>
      </c>
    </row>
    <row r="663">
      <c r="A663" s="4" t="inlineStr">
        <is>
          <t>NaNDA: Law Enforcement by Census Tract and ZCTA</t>
        </is>
      </c>
      <c r="B663" s="20" t="inlineStr">
        <is>
          <t>Bronze</t>
        </is>
      </c>
      <c r="C663" s="4" t="inlineStr"/>
      <c r="D663" s="4" t="inlineStr"/>
      <c r="E663" s="4" t="inlineStr"/>
      <c r="F663" s="4" t="inlineStr">
        <is>
          <t>not checked</t>
        </is>
      </c>
      <c r="G663" s="4" t="inlineStr">
        <is>
          <t>tract; ZCTA</t>
        </is>
      </c>
      <c r="H663" s="4" t="inlineStr"/>
      <c r="I663" s="4" t="inlineStr"/>
      <c r="J663" s="4" t="inlineStr"/>
      <c r="K663" s="4" t="inlineStr">
        <is>
          <t>Catalog lead</t>
        </is>
      </c>
      <c r="L663" s="4" t="inlineStr"/>
      <c r="M663" s="4" t="inlineStr"/>
      <c r="N663" s="4" t="inlineStr">
        <is>
          <t>2026-10-29</t>
        </is>
      </c>
      <c r="O663" s="4" t="inlineStr"/>
      <c r="P663" s="4" t="inlineStr"/>
      <c r="Q663" s="4" t="inlineStr"/>
      <c r="R663" s="4" t="inlineStr"/>
      <c r="S663" s="4" t="inlineStr"/>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c r="AJ663" s="4" t="inlineStr"/>
      <c r="AK663" s="4" t="inlineStr"/>
      <c r="AL663" s="17" t="inlineStr">
        <is>
          <t>https://doi.org/10.3886/e208684</t>
        </is>
      </c>
      <c r="AM663" s="4" t="inlineStr">
        <is>
          <t>us_nanda_e208684</t>
        </is>
      </c>
    </row>
    <row r="664">
      <c r="A664" s="4" t="inlineStr">
        <is>
          <t>NaNDA: Social Services by Census Tract and ZCTA</t>
        </is>
      </c>
      <c r="B664" s="20" t="inlineStr">
        <is>
          <t>Bronze</t>
        </is>
      </c>
      <c r="C664" s="4" t="inlineStr"/>
      <c r="D664" s="4" t="inlineStr"/>
      <c r="E664" s="4" t="inlineStr"/>
      <c r="F664" s="4" t="inlineStr">
        <is>
          <t>not checked</t>
        </is>
      </c>
      <c r="G664" s="4" t="inlineStr">
        <is>
          <t>tract; ZCTA</t>
        </is>
      </c>
      <c r="H664" s="4" t="inlineStr"/>
      <c r="I664" s="4" t="inlineStr"/>
      <c r="J664" s="4" t="inlineStr"/>
      <c r="K664" s="4" t="inlineStr">
        <is>
          <t>Catalog lead</t>
        </is>
      </c>
      <c r="L664" s="4" t="inlineStr"/>
      <c r="M664" s="4" t="inlineStr"/>
      <c r="N664" s="4" t="inlineStr">
        <is>
          <t>2026-10-29</t>
        </is>
      </c>
      <c r="O664" s="4" t="inlineStr"/>
      <c r="P664" s="4" t="inlineStr"/>
      <c r="Q664" s="4" t="inlineStr"/>
      <c r="R664" s="4" t="inlineStr"/>
      <c r="S664" s="4" t="inlineStr"/>
      <c r="T664" s="4" t="inlineStr"/>
      <c r="U664" s="4" t="inlineStr"/>
      <c r="V664" s="4" t="inlineStr"/>
      <c r="W664" s="4" t="inlineStr"/>
      <c r="X664" s="4" t="inlineStr"/>
      <c r="Y664" s="4" t="inlineStr"/>
      <c r="Z664" s="4" t="inlineStr"/>
      <c r="AA664" s="4" t="inlineStr"/>
      <c r="AB664" s="4" t="inlineStr"/>
      <c r="AC664" s="4" t="inlineStr"/>
      <c r="AD664" s="4" t="inlineStr"/>
      <c r="AE664" s="4" t="inlineStr"/>
      <c r="AF664" s="4" t="inlineStr"/>
      <c r="AG664" s="4" t="inlineStr"/>
      <c r="AH664" s="4" t="inlineStr"/>
      <c r="AI664" s="4" t="inlineStr"/>
      <c r="AJ664" s="4" t="inlineStr"/>
      <c r="AK664" s="4" t="inlineStr"/>
      <c r="AL664" s="17" t="inlineStr">
        <is>
          <t>https://doi.org/10.3886/e208207</t>
        </is>
      </c>
      <c r="AM664" s="4" t="inlineStr">
        <is>
          <t>us_nanda_e208207</t>
        </is>
      </c>
    </row>
    <row r="665">
      <c r="A665" s="4" t="inlineStr">
        <is>
          <t>DIRAC radiotherapy centre records (facility level)</t>
        </is>
      </c>
      <c r="B665" s="20" t="inlineStr">
        <is>
          <t>Bronze</t>
        </is>
      </c>
      <c r="C665" s="4" t="inlineStr"/>
      <c r="D665" s="4" t="inlineStr"/>
      <c r="E665" s="4" t="inlineStr"/>
      <c r="F665" s="4" t="inlineStr">
        <is>
          <t>not checked</t>
        </is>
      </c>
      <c r="G665" s="4" t="inlineStr">
        <is>
          <t>facility (centre); coordinates not confirmed</t>
        </is>
      </c>
      <c r="H665" s="4" t="inlineStr"/>
      <c r="I665" s="4" t="inlineStr"/>
      <c r="J665" s="4" t="inlineStr"/>
      <c r="K665" s="4" t="inlineStr">
        <is>
          <t>Catalog lead</t>
        </is>
      </c>
      <c r="L665" s="4" t="inlineStr"/>
      <c r="M665" s="4" t="inlineStr"/>
      <c r="N665" s="4" t="inlineStr">
        <is>
          <t>2026-10-29</t>
        </is>
      </c>
      <c r="O665" s="4" t="inlineStr"/>
      <c r="P665" s="4" t="inlineStr"/>
      <c r="Q665" s="4" t="inlineStr"/>
      <c r="R665" s="4" t="inlineStr"/>
      <c r="S665" s="4" t="inlineStr"/>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c r="AJ665" s="4" t="inlineStr"/>
      <c r="AK665" s="4" t="inlineStr"/>
      <c r="AL665" s="17" t="inlineStr">
        <is>
          <t>https://dirac.iaea.org/</t>
        </is>
      </c>
      <c r="AM665" s="4" t="inlineStr">
        <is>
          <t>global_iaea_dirac_dirac_iaea_org</t>
        </is>
      </c>
    </row>
    <row r="666">
      <c r="A666" s="4" t="inlineStr">
        <is>
          <t>DIRAC Countries / Distribution view</t>
        </is>
      </c>
      <c r="B666" s="20" t="inlineStr">
        <is>
          <t>Bronze</t>
        </is>
      </c>
      <c r="C666" s="4" t="inlineStr"/>
      <c r="D666" s="4" t="inlineStr"/>
      <c r="E666" s="4" t="inlineStr"/>
      <c r="F666" s="4" t="inlineStr">
        <is>
          <t>not checked</t>
        </is>
      </c>
      <c r="G666" s="4" t="inlineStr">
        <is>
          <t>country</t>
        </is>
      </c>
      <c r="H666" s="4" t="inlineStr"/>
      <c r="I666" s="4" t="inlineStr"/>
      <c r="J666" s="4" t="inlineStr"/>
      <c r="K666" s="4" t="inlineStr">
        <is>
          <t>Catalog lead</t>
        </is>
      </c>
      <c r="L666" s="4" t="inlineStr"/>
      <c r="M666" s="4" t="inlineStr"/>
      <c r="N666" s="4" t="inlineStr">
        <is>
          <t>2026-10-29</t>
        </is>
      </c>
      <c r="O666" s="4" t="inlineStr"/>
      <c r="P666" s="4" t="inlineStr"/>
      <c r="Q666" s="4" t="inlineStr"/>
      <c r="R666" s="4" t="inlineStr"/>
      <c r="S666" s="4" t="inlineStr"/>
      <c r="T666" s="4" t="inlineStr"/>
      <c r="U666" s="4" t="inlineStr"/>
      <c r="V666" s="4" t="inlineStr"/>
      <c r="W666" s="4" t="inlineStr"/>
      <c r="X666" s="4" t="inlineStr"/>
      <c r="Y666" s="4" t="inlineStr"/>
      <c r="Z666" s="4" t="inlineStr"/>
      <c r="AA666" s="4" t="inlineStr"/>
      <c r="AB666" s="4" t="inlineStr"/>
      <c r="AC666" s="4" t="inlineStr"/>
      <c r="AD666" s="4" t="inlineStr"/>
      <c r="AE666" s="4" t="inlineStr"/>
      <c r="AF666" s="4" t="inlineStr"/>
      <c r="AG666" s="4" t="inlineStr"/>
      <c r="AH666" s="4" t="inlineStr"/>
      <c r="AI666" s="4" t="inlineStr"/>
      <c r="AJ666" s="4" t="inlineStr"/>
      <c r="AK666" s="4" t="inlineStr"/>
      <c r="AL666" s="17" t="inlineStr">
        <is>
          <t>https://dirac.iaea.org/Query/Countries</t>
        </is>
      </c>
      <c r="AM666" s="4" t="inlineStr">
        <is>
          <t>global_iaea_dirac_countries</t>
        </is>
      </c>
    </row>
    <row r="667">
      <c r="A667" s="4" t="inlineStr">
        <is>
          <t>DIRAC Equipment Age and Availability views</t>
        </is>
      </c>
      <c r="B667" s="20" t="inlineStr">
        <is>
          <t>Bronze</t>
        </is>
      </c>
      <c r="C667" s="4" t="inlineStr"/>
      <c r="D667" s="4" t="inlineStr"/>
      <c r="E667" s="4" t="inlineStr"/>
      <c r="F667" s="4" t="inlineStr">
        <is>
          <t>not checked</t>
        </is>
      </c>
      <c r="G667" s="4" t="inlineStr">
        <is>
          <t>country</t>
        </is>
      </c>
      <c r="H667" s="4" t="inlineStr"/>
      <c r="I667" s="4" t="inlineStr"/>
      <c r="J667" s="4" t="inlineStr"/>
      <c r="K667" s="4" t="inlineStr">
        <is>
          <t>Catalog lead</t>
        </is>
      </c>
      <c r="L667" s="4" t="inlineStr"/>
      <c r="M667" s="4" t="inlineStr"/>
      <c r="N667" s="4" t="inlineStr">
        <is>
          <t>2026-10-29</t>
        </is>
      </c>
      <c r="O667" s="4" t="inlineStr"/>
      <c r="P667" s="4" t="inlineStr"/>
      <c r="Q667" s="4" t="inlineStr"/>
      <c r="R667" s="4" t="inlineStr"/>
      <c r="S667" s="4" t="inlineStr"/>
      <c r="T667" s="4" t="inlineStr"/>
      <c r="U667" s="4" t="inlineStr"/>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c r="AJ667" s="4" t="inlineStr"/>
      <c r="AK667" s="4" t="inlineStr"/>
      <c r="AL667" s="17" t="inlineStr">
        <is>
          <t>https://dirac.iaea.org/Query/EquipmentAge</t>
        </is>
      </c>
      <c r="AM667" s="4" t="inlineStr">
        <is>
          <t>global_iaea_dirac_equipmentage</t>
        </is>
      </c>
    </row>
  </sheetData>
  <autoFilter ref="A1:AM667"/>
  <hyperlinks>
    <hyperlink xmlns:r="http://schemas.openxmlformats.org/officeDocument/2006/relationships" ref="AL2" r:id="rId1"/>
    <hyperlink xmlns:r="http://schemas.openxmlformats.org/officeDocument/2006/relationships" ref="AL3" r:id="rId2"/>
    <hyperlink xmlns:r="http://schemas.openxmlformats.org/officeDocument/2006/relationships" ref="AL4" r:id="rId3"/>
    <hyperlink xmlns:r="http://schemas.openxmlformats.org/officeDocument/2006/relationships" ref="AL5" r:id="rId4"/>
    <hyperlink xmlns:r="http://schemas.openxmlformats.org/officeDocument/2006/relationships" ref="AL6" r:id="rId5"/>
    <hyperlink xmlns:r="http://schemas.openxmlformats.org/officeDocument/2006/relationships" ref="AL7" r:id="rId6"/>
    <hyperlink xmlns:r="http://schemas.openxmlformats.org/officeDocument/2006/relationships" ref="AL8" r:id="rId7"/>
    <hyperlink xmlns:r="http://schemas.openxmlformats.org/officeDocument/2006/relationships" ref="AL9" r:id="rId8"/>
    <hyperlink xmlns:r="http://schemas.openxmlformats.org/officeDocument/2006/relationships" ref="AL10" r:id="rId9"/>
    <hyperlink xmlns:r="http://schemas.openxmlformats.org/officeDocument/2006/relationships" ref="AL11" r:id="rId10"/>
    <hyperlink xmlns:r="http://schemas.openxmlformats.org/officeDocument/2006/relationships" ref="AL12" r:id="rId11"/>
    <hyperlink xmlns:r="http://schemas.openxmlformats.org/officeDocument/2006/relationships" ref="AL13" r:id="rId12"/>
    <hyperlink xmlns:r="http://schemas.openxmlformats.org/officeDocument/2006/relationships" ref="AL14" r:id="rId13"/>
    <hyperlink xmlns:r="http://schemas.openxmlformats.org/officeDocument/2006/relationships" ref="AL15" r:id="rId14"/>
    <hyperlink xmlns:r="http://schemas.openxmlformats.org/officeDocument/2006/relationships" ref="AL16" r:id="rId15"/>
    <hyperlink xmlns:r="http://schemas.openxmlformats.org/officeDocument/2006/relationships" ref="AL17" r:id="rId16"/>
    <hyperlink xmlns:r="http://schemas.openxmlformats.org/officeDocument/2006/relationships" ref="AL18" r:id="rId17"/>
    <hyperlink xmlns:r="http://schemas.openxmlformats.org/officeDocument/2006/relationships" ref="AL19" r:id="rId18"/>
    <hyperlink xmlns:r="http://schemas.openxmlformats.org/officeDocument/2006/relationships" ref="AL20" r:id="rId19"/>
    <hyperlink xmlns:r="http://schemas.openxmlformats.org/officeDocument/2006/relationships" ref="AL21" r:id="rId20"/>
    <hyperlink xmlns:r="http://schemas.openxmlformats.org/officeDocument/2006/relationships" ref="AL22" r:id="rId21"/>
    <hyperlink xmlns:r="http://schemas.openxmlformats.org/officeDocument/2006/relationships" ref="AL23" r:id="rId22"/>
    <hyperlink xmlns:r="http://schemas.openxmlformats.org/officeDocument/2006/relationships" ref="AL24" r:id="rId23"/>
    <hyperlink xmlns:r="http://schemas.openxmlformats.org/officeDocument/2006/relationships" ref="AL25" r:id="rId24"/>
    <hyperlink xmlns:r="http://schemas.openxmlformats.org/officeDocument/2006/relationships" ref="AL26" r:id="rId25"/>
    <hyperlink xmlns:r="http://schemas.openxmlformats.org/officeDocument/2006/relationships" ref="AL27" r:id="rId26"/>
    <hyperlink xmlns:r="http://schemas.openxmlformats.org/officeDocument/2006/relationships" ref="AL28" r:id="rId27"/>
    <hyperlink xmlns:r="http://schemas.openxmlformats.org/officeDocument/2006/relationships" ref="AL29" r:id="rId28"/>
    <hyperlink xmlns:r="http://schemas.openxmlformats.org/officeDocument/2006/relationships" ref="AL30" r:id="rId29"/>
    <hyperlink xmlns:r="http://schemas.openxmlformats.org/officeDocument/2006/relationships" ref="AL31" r:id="rId30"/>
    <hyperlink xmlns:r="http://schemas.openxmlformats.org/officeDocument/2006/relationships" ref="AL32" r:id="rId31"/>
    <hyperlink xmlns:r="http://schemas.openxmlformats.org/officeDocument/2006/relationships" ref="AL33" r:id="rId32"/>
    <hyperlink xmlns:r="http://schemas.openxmlformats.org/officeDocument/2006/relationships" ref="AL34" r:id="rId33"/>
    <hyperlink xmlns:r="http://schemas.openxmlformats.org/officeDocument/2006/relationships" ref="AL35" r:id="rId34"/>
    <hyperlink xmlns:r="http://schemas.openxmlformats.org/officeDocument/2006/relationships" ref="AL36" r:id="rId35"/>
    <hyperlink xmlns:r="http://schemas.openxmlformats.org/officeDocument/2006/relationships" ref="AL37" r:id="rId36"/>
    <hyperlink xmlns:r="http://schemas.openxmlformats.org/officeDocument/2006/relationships" ref="AL38" r:id="rId37"/>
    <hyperlink xmlns:r="http://schemas.openxmlformats.org/officeDocument/2006/relationships" ref="AL39" r:id="rId38"/>
    <hyperlink xmlns:r="http://schemas.openxmlformats.org/officeDocument/2006/relationships" ref="AL40" r:id="rId39"/>
    <hyperlink xmlns:r="http://schemas.openxmlformats.org/officeDocument/2006/relationships" ref="AL41" r:id="rId40"/>
    <hyperlink xmlns:r="http://schemas.openxmlformats.org/officeDocument/2006/relationships" ref="AL42" r:id="rId41"/>
    <hyperlink xmlns:r="http://schemas.openxmlformats.org/officeDocument/2006/relationships" ref="AL43" r:id="rId42"/>
    <hyperlink xmlns:r="http://schemas.openxmlformats.org/officeDocument/2006/relationships" ref="AL44" r:id="rId43"/>
    <hyperlink xmlns:r="http://schemas.openxmlformats.org/officeDocument/2006/relationships" ref="AL45" r:id="rId44"/>
    <hyperlink xmlns:r="http://schemas.openxmlformats.org/officeDocument/2006/relationships" ref="AL46" r:id="rId45"/>
    <hyperlink xmlns:r="http://schemas.openxmlformats.org/officeDocument/2006/relationships" ref="AL47" r:id="rId46"/>
    <hyperlink xmlns:r="http://schemas.openxmlformats.org/officeDocument/2006/relationships" ref="AL48" r:id="rId47"/>
    <hyperlink xmlns:r="http://schemas.openxmlformats.org/officeDocument/2006/relationships" ref="AL49" r:id="rId48"/>
    <hyperlink xmlns:r="http://schemas.openxmlformats.org/officeDocument/2006/relationships" ref="AL50" r:id="rId49"/>
    <hyperlink xmlns:r="http://schemas.openxmlformats.org/officeDocument/2006/relationships" ref="AL51" r:id="rId50"/>
    <hyperlink xmlns:r="http://schemas.openxmlformats.org/officeDocument/2006/relationships" ref="AL52" r:id="rId51"/>
    <hyperlink xmlns:r="http://schemas.openxmlformats.org/officeDocument/2006/relationships" ref="AL53" r:id="rId52"/>
    <hyperlink xmlns:r="http://schemas.openxmlformats.org/officeDocument/2006/relationships" ref="AL54" r:id="rId53"/>
    <hyperlink xmlns:r="http://schemas.openxmlformats.org/officeDocument/2006/relationships" ref="AL55" r:id="rId54"/>
    <hyperlink xmlns:r="http://schemas.openxmlformats.org/officeDocument/2006/relationships" ref="AL56" r:id="rId55"/>
    <hyperlink xmlns:r="http://schemas.openxmlformats.org/officeDocument/2006/relationships" ref="AL57" r:id="rId56"/>
    <hyperlink xmlns:r="http://schemas.openxmlformats.org/officeDocument/2006/relationships" ref="AL58" r:id="rId57"/>
    <hyperlink xmlns:r="http://schemas.openxmlformats.org/officeDocument/2006/relationships" ref="AL59" r:id="rId58"/>
    <hyperlink xmlns:r="http://schemas.openxmlformats.org/officeDocument/2006/relationships" ref="AL60" r:id="rId59"/>
    <hyperlink xmlns:r="http://schemas.openxmlformats.org/officeDocument/2006/relationships" ref="AL61" r:id="rId60"/>
    <hyperlink xmlns:r="http://schemas.openxmlformats.org/officeDocument/2006/relationships" ref="AL62" r:id="rId61"/>
    <hyperlink xmlns:r="http://schemas.openxmlformats.org/officeDocument/2006/relationships" ref="AL63" r:id="rId62"/>
    <hyperlink xmlns:r="http://schemas.openxmlformats.org/officeDocument/2006/relationships" ref="AL64" r:id="rId63"/>
    <hyperlink xmlns:r="http://schemas.openxmlformats.org/officeDocument/2006/relationships" ref="AL65" r:id="rId64"/>
    <hyperlink xmlns:r="http://schemas.openxmlformats.org/officeDocument/2006/relationships" ref="AL66" r:id="rId65"/>
    <hyperlink xmlns:r="http://schemas.openxmlformats.org/officeDocument/2006/relationships" ref="AL67" r:id="rId66"/>
    <hyperlink xmlns:r="http://schemas.openxmlformats.org/officeDocument/2006/relationships" ref="AL68" r:id="rId67"/>
    <hyperlink xmlns:r="http://schemas.openxmlformats.org/officeDocument/2006/relationships" ref="AL69" r:id="rId68"/>
    <hyperlink xmlns:r="http://schemas.openxmlformats.org/officeDocument/2006/relationships" ref="AL70" r:id="rId69"/>
    <hyperlink xmlns:r="http://schemas.openxmlformats.org/officeDocument/2006/relationships" ref="AL71" r:id="rId70"/>
    <hyperlink xmlns:r="http://schemas.openxmlformats.org/officeDocument/2006/relationships" ref="AL72" r:id="rId71"/>
    <hyperlink xmlns:r="http://schemas.openxmlformats.org/officeDocument/2006/relationships" ref="AL73" r:id="rId72"/>
    <hyperlink xmlns:r="http://schemas.openxmlformats.org/officeDocument/2006/relationships" ref="AL74" r:id="rId73"/>
    <hyperlink xmlns:r="http://schemas.openxmlformats.org/officeDocument/2006/relationships" ref="AL75" r:id="rId74"/>
    <hyperlink xmlns:r="http://schemas.openxmlformats.org/officeDocument/2006/relationships" ref="AL76" r:id="rId75"/>
    <hyperlink xmlns:r="http://schemas.openxmlformats.org/officeDocument/2006/relationships" ref="AL77" r:id="rId76"/>
    <hyperlink xmlns:r="http://schemas.openxmlformats.org/officeDocument/2006/relationships" ref="AL78" r:id="rId77"/>
    <hyperlink xmlns:r="http://schemas.openxmlformats.org/officeDocument/2006/relationships" ref="AL79" r:id="rId78"/>
    <hyperlink xmlns:r="http://schemas.openxmlformats.org/officeDocument/2006/relationships" ref="AL80" r:id="rId79"/>
    <hyperlink xmlns:r="http://schemas.openxmlformats.org/officeDocument/2006/relationships" ref="AL81" r:id="rId80"/>
    <hyperlink xmlns:r="http://schemas.openxmlformats.org/officeDocument/2006/relationships" ref="AL82" r:id="rId81"/>
    <hyperlink xmlns:r="http://schemas.openxmlformats.org/officeDocument/2006/relationships" ref="AL83" r:id="rId82"/>
    <hyperlink xmlns:r="http://schemas.openxmlformats.org/officeDocument/2006/relationships" ref="AL84" r:id="rId83"/>
    <hyperlink xmlns:r="http://schemas.openxmlformats.org/officeDocument/2006/relationships" ref="AL85" r:id="rId84"/>
    <hyperlink xmlns:r="http://schemas.openxmlformats.org/officeDocument/2006/relationships" ref="AL86" r:id="rId85"/>
    <hyperlink xmlns:r="http://schemas.openxmlformats.org/officeDocument/2006/relationships" ref="AL87" r:id="rId86"/>
    <hyperlink xmlns:r="http://schemas.openxmlformats.org/officeDocument/2006/relationships" ref="AL88" r:id="rId87"/>
    <hyperlink xmlns:r="http://schemas.openxmlformats.org/officeDocument/2006/relationships" ref="AL89" r:id="rId88"/>
    <hyperlink xmlns:r="http://schemas.openxmlformats.org/officeDocument/2006/relationships" ref="AL90" r:id="rId89"/>
    <hyperlink xmlns:r="http://schemas.openxmlformats.org/officeDocument/2006/relationships" ref="AL91" r:id="rId90"/>
    <hyperlink xmlns:r="http://schemas.openxmlformats.org/officeDocument/2006/relationships" ref="AL92" r:id="rId91"/>
    <hyperlink xmlns:r="http://schemas.openxmlformats.org/officeDocument/2006/relationships" ref="AL93" r:id="rId92"/>
    <hyperlink xmlns:r="http://schemas.openxmlformats.org/officeDocument/2006/relationships" ref="AL94" r:id="rId93"/>
    <hyperlink xmlns:r="http://schemas.openxmlformats.org/officeDocument/2006/relationships" ref="AL95" r:id="rId94"/>
    <hyperlink xmlns:r="http://schemas.openxmlformats.org/officeDocument/2006/relationships" ref="AL96" r:id="rId95"/>
    <hyperlink xmlns:r="http://schemas.openxmlformats.org/officeDocument/2006/relationships" ref="AL97" r:id="rId96"/>
    <hyperlink xmlns:r="http://schemas.openxmlformats.org/officeDocument/2006/relationships" ref="AL98" r:id="rId97"/>
    <hyperlink xmlns:r="http://schemas.openxmlformats.org/officeDocument/2006/relationships" ref="AL99" r:id="rId98"/>
    <hyperlink xmlns:r="http://schemas.openxmlformats.org/officeDocument/2006/relationships" ref="AL100" r:id="rId99"/>
    <hyperlink xmlns:r="http://schemas.openxmlformats.org/officeDocument/2006/relationships" ref="AL101" r:id="rId100"/>
    <hyperlink xmlns:r="http://schemas.openxmlformats.org/officeDocument/2006/relationships" ref="AL102" r:id="rId101"/>
    <hyperlink xmlns:r="http://schemas.openxmlformats.org/officeDocument/2006/relationships" ref="AL103" r:id="rId102"/>
    <hyperlink xmlns:r="http://schemas.openxmlformats.org/officeDocument/2006/relationships" ref="AL104" r:id="rId103"/>
    <hyperlink xmlns:r="http://schemas.openxmlformats.org/officeDocument/2006/relationships" ref="AL105" r:id="rId104"/>
    <hyperlink xmlns:r="http://schemas.openxmlformats.org/officeDocument/2006/relationships" ref="AL106" r:id="rId105"/>
    <hyperlink xmlns:r="http://schemas.openxmlformats.org/officeDocument/2006/relationships" ref="AL107" r:id="rId106"/>
    <hyperlink xmlns:r="http://schemas.openxmlformats.org/officeDocument/2006/relationships" ref="AL108" r:id="rId107"/>
    <hyperlink xmlns:r="http://schemas.openxmlformats.org/officeDocument/2006/relationships" ref="AL109" r:id="rId108"/>
    <hyperlink xmlns:r="http://schemas.openxmlformats.org/officeDocument/2006/relationships" ref="AL110" r:id="rId109"/>
    <hyperlink xmlns:r="http://schemas.openxmlformats.org/officeDocument/2006/relationships" ref="AL111" r:id="rId110"/>
    <hyperlink xmlns:r="http://schemas.openxmlformats.org/officeDocument/2006/relationships" ref="AL112" r:id="rId111"/>
    <hyperlink xmlns:r="http://schemas.openxmlformats.org/officeDocument/2006/relationships" ref="AL113" r:id="rId112"/>
    <hyperlink xmlns:r="http://schemas.openxmlformats.org/officeDocument/2006/relationships" ref="AL114" r:id="rId113"/>
    <hyperlink xmlns:r="http://schemas.openxmlformats.org/officeDocument/2006/relationships" ref="AL115" r:id="rId114"/>
    <hyperlink xmlns:r="http://schemas.openxmlformats.org/officeDocument/2006/relationships" ref="AL116" r:id="rId115"/>
    <hyperlink xmlns:r="http://schemas.openxmlformats.org/officeDocument/2006/relationships" ref="AL117" r:id="rId116"/>
    <hyperlink xmlns:r="http://schemas.openxmlformats.org/officeDocument/2006/relationships" ref="AL118" r:id="rId117"/>
    <hyperlink xmlns:r="http://schemas.openxmlformats.org/officeDocument/2006/relationships" ref="AL119" r:id="rId118"/>
    <hyperlink xmlns:r="http://schemas.openxmlformats.org/officeDocument/2006/relationships" ref="AL120" r:id="rId119"/>
    <hyperlink xmlns:r="http://schemas.openxmlformats.org/officeDocument/2006/relationships" ref="AL121" r:id="rId120"/>
    <hyperlink xmlns:r="http://schemas.openxmlformats.org/officeDocument/2006/relationships" ref="AL122" r:id="rId121"/>
    <hyperlink xmlns:r="http://schemas.openxmlformats.org/officeDocument/2006/relationships" ref="AL123" r:id="rId122"/>
    <hyperlink xmlns:r="http://schemas.openxmlformats.org/officeDocument/2006/relationships" ref="AL124" r:id="rId123"/>
    <hyperlink xmlns:r="http://schemas.openxmlformats.org/officeDocument/2006/relationships" ref="AL125" r:id="rId124"/>
    <hyperlink xmlns:r="http://schemas.openxmlformats.org/officeDocument/2006/relationships" ref="AL126" r:id="rId125"/>
    <hyperlink xmlns:r="http://schemas.openxmlformats.org/officeDocument/2006/relationships" ref="AL127" r:id="rId126"/>
    <hyperlink xmlns:r="http://schemas.openxmlformats.org/officeDocument/2006/relationships" ref="AL128" r:id="rId127"/>
    <hyperlink xmlns:r="http://schemas.openxmlformats.org/officeDocument/2006/relationships" ref="AL129" r:id="rId128"/>
    <hyperlink xmlns:r="http://schemas.openxmlformats.org/officeDocument/2006/relationships" ref="AL130" r:id="rId129"/>
    <hyperlink xmlns:r="http://schemas.openxmlformats.org/officeDocument/2006/relationships" ref="AL131" r:id="rId130"/>
    <hyperlink xmlns:r="http://schemas.openxmlformats.org/officeDocument/2006/relationships" ref="AL132" r:id="rId131"/>
    <hyperlink xmlns:r="http://schemas.openxmlformats.org/officeDocument/2006/relationships" ref="AL133" r:id="rId132"/>
    <hyperlink xmlns:r="http://schemas.openxmlformats.org/officeDocument/2006/relationships" ref="AL134" r:id="rId133"/>
    <hyperlink xmlns:r="http://schemas.openxmlformats.org/officeDocument/2006/relationships" ref="AL135" r:id="rId134"/>
    <hyperlink xmlns:r="http://schemas.openxmlformats.org/officeDocument/2006/relationships" ref="AL136" r:id="rId135"/>
    <hyperlink xmlns:r="http://schemas.openxmlformats.org/officeDocument/2006/relationships" ref="AL137" r:id="rId136"/>
    <hyperlink xmlns:r="http://schemas.openxmlformats.org/officeDocument/2006/relationships" ref="AL138" r:id="rId137"/>
    <hyperlink xmlns:r="http://schemas.openxmlformats.org/officeDocument/2006/relationships" ref="AL139" r:id="rId138"/>
    <hyperlink xmlns:r="http://schemas.openxmlformats.org/officeDocument/2006/relationships" ref="AL140" r:id="rId139"/>
    <hyperlink xmlns:r="http://schemas.openxmlformats.org/officeDocument/2006/relationships" ref="AL141" r:id="rId140"/>
    <hyperlink xmlns:r="http://schemas.openxmlformats.org/officeDocument/2006/relationships" ref="AL142" r:id="rId141"/>
    <hyperlink xmlns:r="http://schemas.openxmlformats.org/officeDocument/2006/relationships" ref="AL143" r:id="rId142"/>
    <hyperlink xmlns:r="http://schemas.openxmlformats.org/officeDocument/2006/relationships" ref="AL144" r:id="rId143"/>
    <hyperlink xmlns:r="http://schemas.openxmlformats.org/officeDocument/2006/relationships" ref="AL145" r:id="rId144"/>
    <hyperlink xmlns:r="http://schemas.openxmlformats.org/officeDocument/2006/relationships" ref="AL146" r:id="rId145"/>
    <hyperlink xmlns:r="http://schemas.openxmlformats.org/officeDocument/2006/relationships" ref="AL147" r:id="rId146"/>
    <hyperlink xmlns:r="http://schemas.openxmlformats.org/officeDocument/2006/relationships" ref="AL148" r:id="rId147"/>
    <hyperlink xmlns:r="http://schemas.openxmlformats.org/officeDocument/2006/relationships" ref="AL149" r:id="rId148"/>
    <hyperlink xmlns:r="http://schemas.openxmlformats.org/officeDocument/2006/relationships" ref="AL150" r:id="rId149"/>
    <hyperlink xmlns:r="http://schemas.openxmlformats.org/officeDocument/2006/relationships" ref="AL151" r:id="rId150"/>
    <hyperlink xmlns:r="http://schemas.openxmlformats.org/officeDocument/2006/relationships" ref="AL152" r:id="rId151"/>
    <hyperlink xmlns:r="http://schemas.openxmlformats.org/officeDocument/2006/relationships" ref="AL153" r:id="rId152"/>
    <hyperlink xmlns:r="http://schemas.openxmlformats.org/officeDocument/2006/relationships" ref="AL154" r:id="rId153"/>
    <hyperlink xmlns:r="http://schemas.openxmlformats.org/officeDocument/2006/relationships" ref="AL155" r:id="rId154"/>
    <hyperlink xmlns:r="http://schemas.openxmlformats.org/officeDocument/2006/relationships" ref="AL156" r:id="rId155"/>
    <hyperlink xmlns:r="http://schemas.openxmlformats.org/officeDocument/2006/relationships" ref="AL157" r:id="rId156"/>
    <hyperlink xmlns:r="http://schemas.openxmlformats.org/officeDocument/2006/relationships" ref="AL158" r:id="rId157"/>
    <hyperlink xmlns:r="http://schemas.openxmlformats.org/officeDocument/2006/relationships" ref="AL159" r:id="rId158"/>
    <hyperlink xmlns:r="http://schemas.openxmlformats.org/officeDocument/2006/relationships" ref="AL160" r:id="rId159"/>
    <hyperlink xmlns:r="http://schemas.openxmlformats.org/officeDocument/2006/relationships" ref="AL161" r:id="rId160"/>
    <hyperlink xmlns:r="http://schemas.openxmlformats.org/officeDocument/2006/relationships" ref="AL162" r:id="rId161"/>
    <hyperlink xmlns:r="http://schemas.openxmlformats.org/officeDocument/2006/relationships" ref="AL163" r:id="rId162"/>
    <hyperlink xmlns:r="http://schemas.openxmlformats.org/officeDocument/2006/relationships" ref="AL164" r:id="rId163"/>
    <hyperlink xmlns:r="http://schemas.openxmlformats.org/officeDocument/2006/relationships" ref="AL165" r:id="rId164"/>
    <hyperlink xmlns:r="http://schemas.openxmlformats.org/officeDocument/2006/relationships" ref="AL166" r:id="rId165"/>
    <hyperlink xmlns:r="http://schemas.openxmlformats.org/officeDocument/2006/relationships" ref="AL167" r:id="rId166"/>
    <hyperlink xmlns:r="http://schemas.openxmlformats.org/officeDocument/2006/relationships" ref="AL168" r:id="rId167"/>
    <hyperlink xmlns:r="http://schemas.openxmlformats.org/officeDocument/2006/relationships" ref="AL169" r:id="rId168"/>
    <hyperlink xmlns:r="http://schemas.openxmlformats.org/officeDocument/2006/relationships" ref="AL170" r:id="rId169"/>
    <hyperlink xmlns:r="http://schemas.openxmlformats.org/officeDocument/2006/relationships" ref="AL171" r:id="rId170"/>
    <hyperlink xmlns:r="http://schemas.openxmlformats.org/officeDocument/2006/relationships" ref="AL172" r:id="rId171"/>
    <hyperlink xmlns:r="http://schemas.openxmlformats.org/officeDocument/2006/relationships" ref="AL173" r:id="rId172"/>
    <hyperlink xmlns:r="http://schemas.openxmlformats.org/officeDocument/2006/relationships" ref="AL174" r:id="rId173"/>
    <hyperlink xmlns:r="http://schemas.openxmlformats.org/officeDocument/2006/relationships" ref="AL175" r:id="rId174"/>
    <hyperlink xmlns:r="http://schemas.openxmlformats.org/officeDocument/2006/relationships" ref="AL176" r:id="rId175"/>
    <hyperlink xmlns:r="http://schemas.openxmlformats.org/officeDocument/2006/relationships" ref="AL177" r:id="rId176"/>
    <hyperlink xmlns:r="http://schemas.openxmlformats.org/officeDocument/2006/relationships" ref="AL178" r:id="rId177"/>
    <hyperlink xmlns:r="http://schemas.openxmlformats.org/officeDocument/2006/relationships" ref="AL179" r:id="rId178"/>
    <hyperlink xmlns:r="http://schemas.openxmlformats.org/officeDocument/2006/relationships" ref="AL180" r:id="rId179"/>
    <hyperlink xmlns:r="http://schemas.openxmlformats.org/officeDocument/2006/relationships" ref="AL181" r:id="rId180"/>
    <hyperlink xmlns:r="http://schemas.openxmlformats.org/officeDocument/2006/relationships" ref="AL182" r:id="rId181"/>
    <hyperlink xmlns:r="http://schemas.openxmlformats.org/officeDocument/2006/relationships" ref="AL183" r:id="rId182"/>
    <hyperlink xmlns:r="http://schemas.openxmlformats.org/officeDocument/2006/relationships" ref="AL184" r:id="rId183"/>
    <hyperlink xmlns:r="http://schemas.openxmlformats.org/officeDocument/2006/relationships" ref="AL185" r:id="rId184"/>
    <hyperlink xmlns:r="http://schemas.openxmlformats.org/officeDocument/2006/relationships" ref="AL186" r:id="rId185"/>
    <hyperlink xmlns:r="http://schemas.openxmlformats.org/officeDocument/2006/relationships" ref="AL187" r:id="rId186"/>
    <hyperlink xmlns:r="http://schemas.openxmlformats.org/officeDocument/2006/relationships" ref="AL188" r:id="rId187"/>
    <hyperlink xmlns:r="http://schemas.openxmlformats.org/officeDocument/2006/relationships" ref="AL189" r:id="rId188"/>
    <hyperlink xmlns:r="http://schemas.openxmlformats.org/officeDocument/2006/relationships" ref="AL190" r:id="rId189"/>
    <hyperlink xmlns:r="http://schemas.openxmlformats.org/officeDocument/2006/relationships" ref="AL191" r:id="rId190"/>
    <hyperlink xmlns:r="http://schemas.openxmlformats.org/officeDocument/2006/relationships" ref="AL192" r:id="rId191"/>
    <hyperlink xmlns:r="http://schemas.openxmlformats.org/officeDocument/2006/relationships" ref="AL193" r:id="rId192"/>
    <hyperlink xmlns:r="http://schemas.openxmlformats.org/officeDocument/2006/relationships" ref="AL194" r:id="rId193"/>
    <hyperlink xmlns:r="http://schemas.openxmlformats.org/officeDocument/2006/relationships" ref="AL195" r:id="rId194"/>
    <hyperlink xmlns:r="http://schemas.openxmlformats.org/officeDocument/2006/relationships" ref="AL196" r:id="rId195"/>
    <hyperlink xmlns:r="http://schemas.openxmlformats.org/officeDocument/2006/relationships" ref="AL197" r:id="rId196"/>
    <hyperlink xmlns:r="http://schemas.openxmlformats.org/officeDocument/2006/relationships" ref="AL198" r:id="rId197"/>
    <hyperlink xmlns:r="http://schemas.openxmlformats.org/officeDocument/2006/relationships" ref="AL199" r:id="rId198"/>
    <hyperlink xmlns:r="http://schemas.openxmlformats.org/officeDocument/2006/relationships" ref="AL200" r:id="rId199"/>
    <hyperlink xmlns:r="http://schemas.openxmlformats.org/officeDocument/2006/relationships" ref="AL201" r:id="rId200"/>
    <hyperlink xmlns:r="http://schemas.openxmlformats.org/officeDocument/2006/relationships" ref="AL202" r:id="rId201"/>
    <hyperlink xmlns:r="http://schemas.openxmlformats.org/officeDocument/2006/relationships" ref="AL203" r:id="rId202"/>
    <hyperlink xmlns:r="http://schemas.openxmlformats.org/officeDocument/2006/relationships" ref="AL204" r:id="rId203"/>
    <hyperlink xmlns:r="http://schemas.openxmlformats.org/officeDocument/2006/relationships" ref="AL205" r:id="rId204"/>
    <hyperlink xmlns:r="http://schemas.openxmlformats.org/officeDocument/2006/relationships" ref="AL206" r:id="rId205"/>
    <hyperlink xmlns:r="http://schemas.openxmlformats.org/officeDocument/2006/relationships" ref="AL207" r:id="rId206"/>
    <hyperlink xmlns:r="http://schemas.openxmlformats.org/officeDocument/2006/relationships" ref="AL208" r:id="rId207"/>
    <hyperlink xmlns:r="http://schemas.openxmlformats.org/officeDocument/2006/relationships" ref="AL209" r:id="rId208"/>
    <hyperlink xmlns:r="http://schemas.openxmlformats.org/officeDocument/2006/relationships" ref="AL210" r:id="rId209"/>
    <hyperlink xmlns:r="http://schemas.openxmlformats.org/officeDocument/2006/relationships" ref="AL211" r:id="rId210"/>
    <hyperlink xmlns:r="http://schemas.openxmlformats.org/officeDocument/2006/relationships" ref="AL212" r:id="rId211"/>
    <hyperlink xmlns:r="http://schemas.openxmlformats.org/officeDocument/2006/relationships" ref="AL213" r:id="rId212"/>
    <hyperlink xmlns:r="http://schemas.openxmlformats.org/officeDocument/2006/relationships" ref="AL214" r:id="rId213"/>
    <hyperlink xmlns:r="http://schemas.openxmlformats.org/officeDocument/2006/relationships" ref="AL215" r:id="rId214"/>
    <hyperlink xmlns:r="http://schemas.openxmlformats.org/officeDocument/2006/relationships" ref="AL216" r:id="rId215"/>
    <hyperlink xmlns:r="http://schemas.openxmlformats.org/officeDocument/2006/relationships" ref="AL217" r:id="rId216"/>
    <hyperlink xmlns:r="http://schemas.openxmlformats.org/officeDocument/2006/relationships" ref="AL218" r:id="rId217"/>
    <hyperlink xmlns:r="http://schemas.openxmlformats.org/officeDocument/2006/relationships" ref="AL219" r:id="rId218"/>
    <hyperlink xmlns:r="http://schemas.openxmlformats.org/officeDocument/2006/relationships" ref="AL220" r:id="rId219"/>
    <hyperlink xmlns:r="http://schemas.openxmlformats.org/officeDocument/2006/relationships" ref="AL221" r:id="rId220"/>
    <hyperlink xmlns:r="http://schemas.openxmlformats.org/officeDocument/2006/relationships" ref="AL222" r:id="rId221"/>
    <hyperlink xmlns:r="http://schemas.openxmlformats.org/officeDocument/2006/relationships" ref="AL223" r:id="rId222"/>
    <hyperlink xmlns:r="http://schemas.openxmlformats.org/officeDocument/2006/relationships" ref="AL224" r:id="rId223"/>
    <hyperlink xmlns:r="http://schemas.openxmlformats.org/officeDocument/2006/relationships" ref="AL225" r:id="rId224"/>
    <hyperlink xmlns:r="http://schemas.openxmlformats.org/officeDocument/2006/relationships" ref="AL226" r:id="rId225"/>
    <hyperlink xmlns:r="http://schemas.openxmlformats.org/officeDocument/2006/relationships" ref="AL227" r:id="rId226"/>
    <hyperlink xmlns:r="http://schemas.openxmlformats.org/officeDocument/2006/relationships" ref="AL228" r:id="rId227"/>
    <hyperlink xmlns:r="http://schemas.openxmlformats.org/officeDocument/2006/relationships" ref="AL229" r:id="rId228"/>
    <hyperlink xmlns:r="http://schemas.openxmlformats.org/officeDocument/2006/relationships" ref="AL230" r:id="rId229"/>
    <hyperlink xmlns:r="http://schemas.openxmlformats.org/officeDocument/2006/relationships" ref="AL231" r:id="rId230"/>
    <hyperlink xmlns:r="http://schemas.openxmlformats.org/officeDocument/2006/relationships" ref="AL232" r:id="rId231"/>
    <hyperlink xmlns:r="http://schemas.openxmlformats.org/officeDocument/2006/relationships" ref="AL233" r:id="rId232"/>
    <hyperlink xmlns:r="http://schemas.openxmlformats.org/officeDocument/2006/relationships" ref="AL234" r:id="rId233"/>
    <hyperlink xmlns:r="http://schemas.openxmlformats.org/officeDocument/2006/relationships" ref="AL235" r:id="rId234"/>
    <hyperlink xmlns:r="http://schemas.openxmlformats.org/officeDocument/2006/relationships" ref="AL236" r:id="rId235"/>
    <hyperlink xmlns:r="http://schemas.openxmlformats.org/officeDocument/2006/relationships" ref="AL237" r:id="rId236"/>
    <hyperlink xmlns:r="http://schemas.openxmlformats.org/officeDocument/2006/relationships" ref="AL238" r:id="rId237"/>
    <hyperlink xmlns:r="http://schemas.openxmlformats.org/officeDocument/2006/relationships" ref="AL239" r:id="rId238"/>
    <hyperlink xmlns:r="http://schemas.openxmlformats.org/officeDocument/2006/relationships" ref="AL240" r:id="rId239"/>
    <hyperlink xmlns:r="http://schemas.openxmlformats.org/officeDocument/2006/relationships" ref="AL241" r:id="rId240"/>
    <hyperlink xmlns:r="http://schemas.openxmlformats.org/officeDocument/2006/relationships" ref="AL242" r:id="rId241"/>
    <hyperlink xmlns:r="http://schemas.openxmlformats.org/officeDocument/2006/relationships" ref="AL243" r:id="rId242"/>
    <hyperlink xmlns:r="http://schemas.openxmlformats.org/officeDocument/2006/relationships" ref="AL244" r:id="rId243"/>
    <hyperlink xmlns:r="http://schemas.openxmlformats.org/officeDocument/2006/relationships" ref="AL245" r:id="rId244"/>
    <hyperlink xmlns:r="http://schemas.openxmlformats.org/officeDocument/2006/relationships" ref="AL246" r:id="rId245"/>
    <hyperlink xmlns:r="http://schemas.openxmlformats.org/officeDocument/2006/relationships" ref="AL247" r:id="rId246"/>
    <hyperlink xmlns:r="http://schemas.openxmlformats.org/officeDocument/2006/relationships" ref="AL248" r:id="rId247"/>
    <hyperlink xmlns:r="http://schemas.openxmlformats.org/officeDocument/2006/relationships" ref="AL249" r:id="rId248"/>
    <hyperlink xmlns:r="http://schemas.openxmlformats.org/officeDocument/2006/relationships" ref="AL250" r:id="rId249"/>
    <hyperlink xmlns:r="http://schemas.openxmlformats.org/officeDocument/2006/relationships" ref="AL251" r:id="rId250"/>
    <hyperlink xmlns:r="http://schemas.openxmlformats.org/officeDocument/2006/relationships" ref="AL252" r:id="rId251"/>
    <hyperlink xmlns:r="http://schemas.openxmlformats.org/officeDocument/2006/relationships" ref="AL253" r:id="rId252"/>
    <hyperlink xmlns:r="http://schemas.openxmlformats.org/officeDocument/2006/relationships" ref="AL254" r:id="rId253"/>
    <hyperlink xmlns:r="http://schemas.openxmlformats.org/officeDocument/2006/relationships" ref="AL255" r:id="rId254"/>
    <hyperlink xmlns:r="http://schemas.openxmlformats.org/officeDocument/2006/relationships" ref="AL256" r:id="rId255"/>
    <hyperlink xmlns:r="http://schemas.openxmlformats.org/officeDocument/2006/relationships" ref="AL257" r:id="rId256"/>
    <hyperlink xmlns:r="http://schemas.openxmlformats.org/officeDocument/2006/relationships" ref="AL258" r:id="rId257"/>
    <hyperlink xmlns:r="http://schemas.openxmlformats.org/officeDocument/2006/relationships" ref="AL259" r:id="rId258"/>
    <hyperlink xmlns:r="http://schemas.openxmlformats.org/officeDocument/2006/relationships" ref="AL260" r:id="rId259"/>
    <hyperlink xmlns:r="http://schemas.openxmlformats.org/officeDocument/2006/relationships" ref="AL261" r:id="rId260"/>
    <hyperlink xmlns:r="http://schemas.openxmlformats.org/officeDocument/2006/relationships" ref="AL262" r:id="rId261"/>
    <hyperlink xmlns:r="http://schemas.openxmlformats.org/officeDocument/2006/relationships" ref="AL263" r:id="rId262"/>
    <hyperlink xmlns:r="http://schemas.openxmlformats.org/officeDocument/2006/relationships" ref="AL264" r:id="rId263"/>
    <hyperlink xmlns:r="http://schemas.openxmlformats.org/officeDocument/2006/relationships" ref="AL265" r:id="rId264"/>
    <hyperlink xmlns:r="http://schemas.openxmlformats.org/officeDocument/2006/relationships" ref="AL266" r:id="rId265"/>
    <hyperlink xmlns:r="http://schemas.openxmlformats.org/officeDocument/2006/relationships" ref="AL267" r:id="rId266"/>
    <hyperlink xmlns:r="http://schemas.openxmlformats.org/officeDocument/2006/relationships" ref="AL268" r:id="rId267"/>
    <hyperlink xmlns:r="http://schemas.openxmlformats.org/officeDocument/2006/relationships" ref="AL269" r:id="rId268"/>
    <hyperlink xmlns:r="http://schemas.openxmlformats.org/officeDocument/2006/relationships" ref="AL270" r:id="rId269"/>
    <hyperlink xmlns:r="http://schemas.openxmlformats.org/officeDocument/2006/relationships" ref="AL271" r:id="rId270"/>
    <hyperlink xmlns:r="http://schemas.openxmlformats.org/officeDocument/2006/relationships" ref="AL272" r:id="rId271"/>
    <hyperlink xmlns:r="http://schemas.openxmlformats.org/officeDocument/2006/relationships" ref="AL273" r:id="rId272"/>
    <hyperlink xmlns:r="http://schemas.openxmlformats.org/officeDocument/2006/relationships" ref="AL274" r:id="rId273"/>
    <hyperlink xmlns:r="http://schemas.openxmlformats.org/officeDocument/2006/relationships" ref="AL275" r:id="rId274"/>
    <hyperlink xmlns:r="http://schemas.openxmlformats.org/officeDocument/2006/relationships" ref="AL276" r:id="rId275"/>
    <hyperlink xmlns:r="http://schemas.openxmlformats.org/officeDocument/2006/relationships" ref="AL277" r:id="rId276"/>
    <hyperlink xmlns:r="http://schemas.openxmlformats.org/officeDocument/2006/relationships" ref="AL278" r:id="rId277"/>
    <hyperlink xmlns:r="http://schemas.openxmlformats.org/officeDocument/2006/relationships" ref="AL279" r:id="rId278"/>
    <hyperlink xmlns:r="http://schemas.openxmlformats.org/officeDocument/2006/relationships" ref="AL280" r:id="rId279"/>
    <hyperlink xmlns:r="http://schemas.openxmlformats.org/officeDocument/2006/relationships" ref="AL281" r:id="rId280"/>
    <hyperlink xmlns:r="http://schemas.openxmlformats.org/officeDocument/2006/relationships" ref="AL282" r:id="rId281"/>
    <hyperlink xmlns:r="http://schemas.openxmlformats.org/officeDocument/2006/relationships" ref="AL283" r:id="rId282"/>
    <hyperlink xmlns:r="http://schemas.openxmlformats.org/officeDocument/2006/relationships" ref="AL284" r:id="rId283"/>
    <hyperlink xmlns:r="http://schemas.openxmlformats.org/officeDocument/2006/relationships" ref="AL285" r:id="rId284"/>
    <hyperlink xmlns:r="http://schemas.openxmlformats.org/officeDocument/2006/relationships" ref="AL286" r:id="rId285"/>
    <hyperlink xmlns:r="http://schemas.openxmlformats.org/officeDocument/2006/relationships" ref="AL287" r:id="rId286"/>
    <hyperlink xmlns:r="http://schemas.openxmlformats.org/officeDocument/2006/relationships" ref="AL288" r:id="rId287"/>
    <hyperlink xmlns:r="http://schemas.openxmlformats.org/officeDocument/2006/relationships" ref="AL289" r:id="rId288"/>
    <hyperlink xmlns:r="http://schemas.openxmlformats.org/officeDocument/2006/relationships" ref="AL290" r:id="rId289"/>
    <hyperlink xmlns:r="http://schemas.openxmlformats.org/officeDocument/2006/relationships" ref="AL291" r:id="rId290"/>
    <hyperlink xmlns:r="http://schemas.openxmlformats.org/officeDocument/2006/relationships" ref="AL292" r:id="rId291"/>
    <hyperlink xmlns:r="http://schemas.openxmlformats.org/officeDocument/2006/relationships" ref="AL293" r:id="rId292"/>
    <hyperlink xmlns:r="http://schemas.openxmlformats.org/officeDocument/2006/relationships" ref="AL294" r:id="rId293"/>
    <hyperlink xmlns:r="http://schemas.openxmlformats.org/officeDocument/2006/relationships" ref="AL295" r:id="rId294"/>
    <hyperlink xmlns:r="http://schemas.openxmlformats.org/officeDocument/2006/relationships" ref="AL296" r:id="rId295"/>
    <hyperlink xmlns:r="http://schemas.openxmlformats.org/officeDocument/2006/relationships" ref="AL297" r:id="rId296"/>
    <hyperlink xmlns:r="http://schemas.openxmlformats.org/officeDocument/2006/relationships" ref="AL298" r:id="rId297"/>
    <hyperlink xmlns:r="http://schemas.openxmlformats.org/officeDocument/2006/relationships" ref="AL299" r:id="rId298"/>
    <hyperlink xmlns:r="http://schemas.openxmlformats.org/officeDocument/2006/relationships" ref="AL300" r:id="rId299"/>
    <hyperlink xmlns:r="http://schemas.openxmlformats.org/officeDocument/2006/relationships" ref="AL301" r:id="rId300"/>
    <hyperlink xmlns:r="http://schemas.openxmlformats.org/officeDocument/2006/relationships" ref="AL302" r:id="rId301"/>
    <hyperlink xmlns:r="http://schemas.openxmlformats.org/officeDocument/2006/relationships" ref="AL303" r:id="rId302"/>
    <hyperlink xmlns:r="http://schemas.openxmlformats.org/officeDocument/2006/relationships" ref="AL304" r:id="rId303"/>
    <hyperlink xmlns:r="http://schemas.openxmlformats.org/officeDocument/2006/relationships" ref="AL305" r:id="rId304"/>
    <hyperlink xmlns:r="http://schemas.openxmlformats.org/officeDocument/2006/relationships" ref="AL306" r:id="rId305"/>
    <hyperlink xmlns:r="http://schemas.openxmlformats.org/officeDocument/2006/relationships" ref="AL307" r:id="rId306"/>
    <hyperlink xmlns:r="http://schemas.openxmlformats.org/officeDocument/2006/relationships" ref="AL308" r:id="rId307"/>
    <hyperlink xmlns:r="http://schemas.openxmlformats.org/officeDocument/2006/relationships" ref="AL309" r:id="rId308"/>
    <hyperlink xmlns:r="http://schemas.openxmlformats.org/officeDocument/2006/relationships" ref="AL310" r:id="rId309"/>
    <hyperlink xmlns:r="http://schemas.openxmlformats.org/officeDocument/2006/relationships" ref="AL311" r:id="rId310"/>
    <hyperlink xmlns:r="http://schemas.openxmlformats.org/officeDocument/2006/relationships" ref="AL312" r:id="rId311"/>
    <hyperlink xmlns:r="http://schemas.openxmlformats.org/officeDocument/2006/relationships" ref="AL313" r:id="rId312"/>
    <hyperlink xmlns:r="http://schemas.openxmlformats.org/officeDocument/2006/relationships" ref="AL314" r:id="rId313"/>
    <hyperlink xmlns:r="http://schemas.openxmlformats.org/officeDocument/2006/relationships" ref="AL315" r:id="rId314"/>
    <hyperlink xmlns:r="http://schemas.openxmlformats.org/officeDocument/2006/relationships" ref="AL316" r:id="rId315"/>
    <hyperlink xmlns:r="http://schemas.openxmlformats.org/officeDocument/2006/relationships" ref="AL317" r:id="rId316"/>
    <hyperlink xmlns:r="http://schemas.openxmlformats.org/officeDocument/2006/relationships" ref="AL318" r:id="rId317"/>
    <hyperlink xmlns:r="http://schemas.openxmlformats.org/officeDocument/2006/relationships" ref="AL319" r:id="rId318"/>
    <hyperlink xmlns:r="http://schemas.openxmlformats.org/officeDocument/2006/relationships" ref="AL320" r:id="rId319"/>
    <hyperlink xmlns:r="http://schemas.openxmlformats.org/officeDocument/2006/relationships" ref="AL321" r:id="rId320"/>
    <hyperlink xmlns:r="http://schemas.openxmlformats.org/officeDocument/2006/relationships" ref="AL322" r:id="rId321"/>
    <hyperlink xmlns:r="http://schemas.openxmlformats.org/officeDocument/2006/relationships" ref="AL324" r:id="rId322"/>
    <hyperlink xmlns:r="http://schemas.openxmlformats.org/officeDocument/2006/relationships" ref="AL325" r:id="rId323"/>
    <hyperlink xmlns:r="http://schemas.openxmlformats.org/officeDocument/2006/relationships" ref="AL326" r:id="rId324"/>
    <hyperlink xmlns:r="http://schemas.openxmlformats.org/officeDocument/2006/relationships" ref="AL327" r:id="rId325"/>
    <hyperlink xmlns:r="http://schemas.openxmlformats.org/officeDocument/2006/relationships" ref="AL328" r:id="rId326"/>
    <hyperlink xmlns:r="http://schemas.openxmlformats.org/officeDocument/2006/relationships" ref="AL329" r:id="rId327"/>
    <hyperlink xmlns:r="http://schemas.openxmlformats.org/officeDocument/2006/relationships" ref="AL330" r:id="rId328"/>
    <hyperlink xmlns:r="http://schemas.openxmlformats.org/officeDocument/2006/relationships" ref="AL331" r:id="rId329"/>
    <hyperlink xmlns:r="http://schemas.openxmlformats.org/officeDocument/2006/relationships" ref="AL332" r:id="rId330"/>
    <hyperlink xmlns:r="http://schemas.openxmlformats.org/officeDocument/2006/relationships" ref="AL333" r:id="rId331"/>
    <hyperlink xmlns:r="http://schemas.openxmlformats.org/officeDocument/2006/relationships" ref="AL334" r:id="rId332"/>
    <hyperlink xmlns:r="http://schemas.openxmlformats.org/officeDocument/2006/relationships" ref="AL335" r:id="rId333"/>
    <hyperlink xmlns:r="http://schemas.openxmlformats.org/officeDocument/2006/relationships" ref="AL336" r:id="rId334"/>
    <hyperlink xmlns:r="http://schemas.openxmlformats.org/officeDocument/2006/relationships" ref="AL337" r:id="rId335"/>
    <hyperlink xmlns:r="http://schemas.openxmlformats.org/officeDocument/2006/relationships" ref="AL338" r:id="rId336"/>
    <hyperlink xmlns:r="http://schemas.openxmlformats.org/officeDocument/2006/relationships" ref="AL339" r:id="rId337"/>
    <hyperlink xmlns:r="http://schemas.openxmlformats.org/officeDocument/2006/relationships" ref="AL340" r:id="rId338"/>
    <hyperlink xmlns:r="http://schemas.openxmlformats.org/officeDocument/2006/relationships" ref="AL341" r:id="rId339"/>
    <hyperlink xmlns:r="http://schemas.openxmlformats.org/officeDocument/2006/relationships" ref="AL342" r:id="rId340"/>
    <hyperlink xmlns:r="http://schemas.openxmlformats.org/officeDocument/2006/relationships" ref="AL343" r:id="rId341"/>
    <hyperlink xmlns:r="http://schemas.openxmlformats.org/officeDocument/2006/relationships" ref="AL344" r:id="rId342"/>
    <hyperlink xmlns:r="http://schemas.openxmlformats.org/officeDocument/2006/relationships" ref="AL345" r:id="rId343"/>
    <hyperlink xmlns:r="http://schemas.openxmlformats.org/officeDocument/2006/relationships" ref="AL346" r:id="rId344"/>
    <hyperlink xmlns:r="http://schemas.openxmlformats.org/officeDocument/2006/relationships" ref="AL347" r:id="rId345"/>
    <hyperlink xmlns:r="http://schemas.openxmlformats.org/officeDocument/2006/relationships" ref="AL348" r:id="rId346"/>
    <hyperlink xmlns:r="http://schemas.openxmlformats.org/officeDocument/2006/relationships" ref="AL349" r:id="rId347"/>
    <hyperlink xmlns:r="http://schemas.openxmlformats.org/officeDocument/2006/relationships" ref="AL350" r:id="rId348"/>
    <hyperlink xmlns:r="http://schemas.openxmlformats.org/officeDocument/2006/relationships" ref="AL351" r:id="rId349"/>
    <hyperlink xmlns:r="http://schemas.openxmlformats.org/officeDocument/2006/relationships" ref="AL352" r:id="rId350"/>
    <hyperlink xmlns:r="http://schemas.openxmlformats.org/officeDocument/2006/relationships" ref="AL353" r:id="rId351"/>
    <hyperlink xmlns:r="http://schemas.openxmlformats.org/officeDocument/2006/relationships" ref="AL354" r:id="rId352"/>
    <hyperlink xmlns:r="http://schemas.openxmlformats.org/officeDocument/2006/relationships" ref="AL355" r:id="rId353"/>
    <hyperlink xmlns:r="http://schemas.openxmlformats.org/officeDocument/2006/relationships" ref="AL356" r:id="rId354"/>
    <hyperlink xmlns:r="http://schemas.openxmlformats.org/officeDocument/2006/relationships" ref="AL357" r:id="rId355"/>
    <hyperlink xmlns:r="http://schemas.openxmlformats.org/officeDocument/2006/relationships" ref="AL358" r:id="rId356"/>
    <hyperlink xmlns:r="http://schemas.openxmlformats.org/officeDocument/2006/relationships" ref="AL359" r:id="rId357"/>
    <hyperlink xmlns:r="http://schemas.openxmlformats.org/officeDocument/2006/relationships" ref="AL360" r:id="rId358"/>
    <hyperlink xmlns:r="http://schemas.openxmlformats.org/officeDocument/2006/relationships" ref="AL361" r:id="rId359"/>
    <hyperlink xmlns:r="http://schemas.openxmlformats.org/officeDocument/2006/relationships" ref="AL362" r:id="rId360"/>
    <hyperlink xmlns:r="http://schemas.openxmlformats.org/officeDocument/2006/relationships" ref="AL363" r:id="rId361"/>
    <hyperlink xmlns:r="http://schemas.openxmlformats.org/officeDocument/2006/relationships" ref="AL364" r:id="rId362"/>
    <hyperlink xmlns:r="http://schemas.openxmlformats.org/officeDocument/2006/relationships" ref="AL365" r:id="rId363"/>
    <hyperlink xmlns:r="http://schemas.openxmlformats.org/officeDocument/2006/relationships" ref="AL366" r:id="rId364"/>
    <hyperlink xmlns:r="http://schemas.openxmlformats.org/officeDocument/2006/relationships" ref="AL367" r:id="rId365"/>
    <hyperlink xmlns:r="http://schemas.openxmlformats.org/officeDocument/2006/relationships" ref="AL368" r:id="rId366"/>
    <hyperlink xmlns:r="http://schemas.openxmlformats.org/officeDocument/2006/relationships" ref="AL369" r:id="rId367"/>
    <hyperlink xmlns:r="http://schemas.openxmlformats.org/officeDocument/2006/relationships" ref="AL370" r:id="rId368"/>
    <hyperlink xmlns:r="http://schemas.openxmlformats.org/officeDocument/2006/relationships" ref="AL371" r:id="rId369"/>
    <hyperlink xmlns:r="http://schemas.openxmlformats.org/officeDocument/2006/relationships" ref="AL372" r:id="rId370"/>
    <hyperlink xmlns:r="http://schemas.openxmlformats.org/officeDocument/2006/relationships" ref="AL373" r:id="rId371"/>
    <hyperlink xmlns:r="http://schemas.openxmlformats.org/officeDocument/2006/relationships" ref="AL374" r:id="rId372"/>
    <hyperlink xmlns:r="http://schemas.openxmlformats.org/officeDocument/2006/relationships" ref="AL375" r:id="rId373"/>
    <hyperlink xmlns:r="http://schemas.openxmlformats.org/officeDocument/2006/relationships" ref="AL376" r:id="rId374"/>
    <hyperlink xmlns:r="http://schemas.openxmlformats.org/officeDocument/2006/relationships" ref="AL377" r:id="rId375"/>
    <hyperlink xmlns:r="http://schemas.openxmlformats.org/officeDocument/2006/relationships" ref="AL378" r:id="rId376"/>
    <hyperlink xmlns:r="http://schemas.openxmlformats.org/officeDocument/2006/relationships" ref="AL379" r:id="rId377"/>
    <hyperlink xmlns:r="http://schemas.openxmlformats.org/officeDocument/2006/relationships" ref="AL380" r:id="rId378"/>
    <hyperlink xmlns:r="http://schemas.openxmlformats.org/officeDocument/2006/relationships" ref="AL381" r:id="rId379"/>
    <hyperlink xmlns:r="http://schemas.openxmlformats.org/officeDocument/2006/relationships" ref="AL382" r:id="rId380"/>
    <hyperlink xmlns:r="http://schemas.openxmlformats.org/officeDocument/2006/relationships" ref="AL383" r:id="rId381"/>
    <hyperlink xmlns:r="http://schemas.openxmlformats.org/officeDocument/2006/relationships" ref="AL384" r:id="rId382"/>
    <hyperlink xmlns:r="http://schemas.openxmlformats.org/officeDocument/2006/relationships" ref="AL385" r:id="rId383"/>
    <hyperlink xmlns:r="http://schemas.openxmlformats.org/officeDocument/2006/relationships" ref="AL386" r:id="rId384"/>
    <hyperlink xmlns:r="http://schemas.openxmlformats.org/officeDocument/2006/relationships" ref="AL387" r:id="rId385"/>
    <hyperlink xmlns:r="http://schemas.openxmlformats.org/officeDocument/2006/relationships" ref="AL388" r:id="rId386"/>
    <hyperlink xmlns:r="http://schemas.openxmlformats.org/officeDocument/2006/relationships" ref="AL389" r:id="rId387"/>
    <hyperlink xmlns:r="http://schemas.openxmlformats.org/officeDocument/2006/relationships" ref="AL390" r:id="rId388"/>
    <hyperlink xmlns:r="http://schemas.openxmlformats.org/officeDocument/2006/relationships" ref="AL391" r:id="rId389"/>
    <hyperlink xmlns:r="http://schemas.openxmlformats.org/officeDocument/2006/relationships" ref="AL392" r:id="rId390"/>
    <hyperlink xmlns:r="http://schemas.openxmlformats.org/officeDocument/2006/relationships" ref="AL393" r:id="rId391"/>
    <hyperlink xmlns:r="http://schemas.openxmlformats.org/officeDocument/2006/relationships" ref="AL394" r:id="rId392"/>
    <hyperlink xmlns:r="http://schemas.openxmlformats.org/officeDocument/2006/relationships" ref="AL395" r:id="rId393"/>
    <hyperlink xmlns:r="http://schemas.openxmlformats.org/officeDocument/2006/relationships" ref="AL396" r:id="rId394"/>
    <hyperlink xmlns:r="http://schemas.openxmlformats.org/officeDocument/2006/relationships" ref="AL397" r:id="rId395"/>
    <hyperlink xmlns:r="http://schemas.openxmlformats.org/officeDocument/2006/relationships" ref="AL398" r:id="rId396"/>
    <hyperlink xmlns:r="http://schemas.openxmlformats.org/officeDocument/2006/relationships" ref="AL399" r:id="rId397"/>
    <hyperlink xmlns:r="http://schemas.openxmlformats.org/officeDocument/2006/relationships" ref="AL400" r:id="rId398"/>
    <hyperlink xmlns:r="http://schemas.openxmlformats.org/officeDocument/2006/relationships" ref="AL401" r:id="rId399"/>
    <hyperlink xmlns:r="http://schemas.openxmlformats.org/officeDocument/2006/relationships" ref="AL402" r:id="rId400"/>
    <hyperlink xmlns:r="http://schemas.openxmlformats.org/officeDocument/2006/relationships" ref="AL403" r:id="rId401"/>
    <hyperlink xmlns:r="http://schemas.openxmlformats.org/officeDocument/2006/relationships" ref="AL404" r:id="rId402"/>
    <hyperlink xmlns:r="http://schemas.openxmlformats.org/officeDocument/2006/relationships" ref="AL405" r:id="rId403"/>
    <hyperlink xmlns:r="http://schemas.openxmlformats.org/officeDocument/2006/relationships" ref="AL406" r:id="rId404"/>
    <hyperlink xmlns:r="http://schemas.openxmlformats.org/officeDocument/2006/relationships" ref="AL407" r:id="rId405"/>
    <hyperlink xmlns:r="http://schemas.openxmlformats.org/officeDocument/2006/relationships" ref="AL408" r:id="rId406"/>
    <hyperlink xmlns:r="http://schemas.openxmlformats.org/officeDocument/2006/relationships" ref="AL409" r:id="rId407"/>
    <hyperlink xmlns:r="http://schemas.openxmlformats.org/officeDocument/2006/relationships" ref="AL410" r:id="rId408"/>
    <hyperlink xmlns:r="http://schemas.openxmlformats.org/officeDocument/2006/relationships" ref="AL411" r:id="rId409"/>
    <hyperlink xmlns:r="http://schemas.openxmlformats.org/officeDocument/2006/relationships" ref="AL412" r:id="rId410"/>
    <hyperlink xmlns:r="http://schemas.openxmlformats.org/officeDocument/2006/relationships" ref="AL413" r:id="rId411"/>
    <hyperlink xmlns:r="http://schemas.openxmlformats.org/officeDocument/2006/relationships" ref="AL414" r:id="rId412"/>
    <hyperlink xmlns:r="http://schemas.openxmlformats.org/officeDocument/2006/relationships" ref="AL415" r:id="rId413"/>
    <hyperlink xmlns:r="http://schemas.openxmlformats.org/officeDocument/2006/relationships" ref="AL416" r:id="rId414"/>
    <hyperlink xmlns:r="http://schemas.openxmlformats.org/officeDocument/2006/relationships" ref="AL417" r:id="rId415"/>
    <hyperlink xmlns:r="http://schemas.openxmlformats.org/officeDocument/2006/relationships" ref="AL418" r:id="rId416"/>
    <hyperlink xmlns:r="http://schemas.openxmlformats.org/officeDocument/2006/relationships" ref="AL419" r:id="rId417"/>
    <hyperlink xmlns:r="http://schemas.openxmlformats.org/officeDocument/2006/relationships" ref="AL420" r:id="rId418"/>
    <hyperlink xmlns:r="http://schemas.openxmlformats.org/officeDocument/2006/relationships" ref="AL421" r:id="rId419"/>
    <hyperlink xmlns:r="http://schemas.openxmlformats.org/officeDocument/2006/relationships" ref="AL422" r:id="rId420"/>
    <hyperlink xmlns:r="http://schemas.openxmlformats.org/officeDocument/2006/relationships" ref="AL423" r:id="rId421"/>
    <hyperlink xmlns:r="http://schemas.openxmlformats.org/officeDocument/2006/relationships" ref="AL424" r:id="rId422"/>
    <hyperlink xmlns:r="http://schemas.openxmlformats.org/officeDocument/2006/relationships" ref="AL425" r:id="rId423"/>
    <hyperlink xmlns:r="http://schemas.openxmlformats.org/officeDocument/2006/relationships" ref="AL426" r:id="rId424"/>
    <hyperlink xmlns:r="http://schemas.openxmlformats.org/officeDocument/2006/relationships" ref="AL427" r:id="rId425"/>
    <hyperlink xmlns:r="http://schemas.openxmlformats.org/officeDocument/2006/relationships" ref="AL428" r:id="rId426"/>
    <hyperlink xmlns:r="http://schemas.openxmlformats.org/officeDocument/2006/relationships" ref="AL429" r:id="rId427"/>
    <hyperlink xmlns:r="http://schemas.openxmlformats.org/officeDocument/2006/relationships" ref="AL430" r:id="rId428"/>
    <hyperlink xmlns:r="http://schemas.openxmlformats.org/officeDocument/2006/relationships" ref="AL431" r:id="rId429"/>
    <hyperlink xmlns:r="http://schemas.openxmlformats.org/officeDocument/2006/relationships" ref="AL432" r:id="rId430"/>
    <hyperlink xmlns:r="http://schemas.openxmlformats.org/officeDocument/2006/relationships" ref="AL433" r:id="rId431"/>
    <hyperlink xmlns:r="http://schemas.openxmlformats.org/officeDocument/2006/relationships" ref="AL434" r:id="rId432"/>
    <hyperlink xmlns:r="http://schemas.openxmlformats.org/officeDocument/2006/relationships" ref="AL435" r:id="rId433"/>
    <hyperlink xmlns:r="http://schemas.openxmlformats.org/officeDocument/2006/relationships" ref="AL436" r:id="rId434"/>
    <hyperlink xmlns:r="http://schemas.openxmlformats.org/officeDocument/2006/relationships" ref="AL437" r:id="rId435"/>
    <hyperlink xmlns:r="http://schemas.openxmlformats.org/officeDocument/2006/relationships" ref="AL438" r:id="rId436"/>
    <hyperlink xmlns:r="http://schemas.openxmlformats.org/officeDocument/2006/relationships" ref="AL439" r:id="rId437"/>
    <hyperlink xmlns:r="http://schemas.openxmlformats.org/officeDocument/2006/relationships" ref="AL440" r:id="rId438"/>
    <hyperlink xmlns:r="http://schemas.openxmlformats.org/officeDocument/2006/relationships" ref="AL441" r:id="rId439"/>
    <hyperlink xmlns:r="http://schemas.openxmlformats.org/officeDocument/2006/relationships" ref="AL442" r:id="rId440"/>
    <hyperlink xmlns:r="http://schemas.openxmlformats.org/officeDocument/2006/relationships" ref="AL443" r:id="rId441"/>
    <hyperlink xmlns:r="http://schemas.openxmlformats.org/officeDocument/2006/relationships" ref="AL444" r:id="rId442"/>
    <hyperlink xmlns:r="http://schemas.openxmlformats.org/officeDocument/2006/relationships" ref="AL445" r:id="rId443"/>
    <hyperlink xmlns:r="http://schemas.openxmlformats.org/officeDocument/2006/relationships" ref="AL446" r:id="rId444"/>
    <hyperlink xmlns:r="http://schemas.openxmlformats.org/officeDocument/2006/relationships" ref="AL447" r:id="rId445"/>
    <hyperlink xmlns:r="http://schemas.openxmlformats.org/officeDocument/2006/relationships" ref="AL448" r:id="rId446"/>
    <hyperlink xmlns:r="http://schemas.openxmlformats.org/officeDocument/2006/relationships" ref="AL449" r:id="rId447"/>
    <hyperlink xmlns:r="http://schemas.openxmlformats.org/officeDocument/2006/relationships" ref="AL450" r:id="rId448"/>
    <hyperlink xmlns:r="http://schemas.openxmlformats.org/officeDocument/2006/relationships" ref="AL451" r:id="rId449"/>
    <hyperlink xmlns:r="http://schemas.openxmlformats.org/officeDocument/2006/relationships" ref="AL452" r:id="rId450"/>
    <hyperlink xmlns:r="http://schemas.openxmlformats.org/officeDocument/2006/relationships" ref="AL453" r:id="rId451"/>
    <hyperlink xmlns:r="http://schemas.openxmlformats.org/officeDocument/2006/relationships" ref="AL454" r:id="rId452"/>
    <hyperlink xmlns:r="http://schemas.openxmlformats.org/officeDocument/2006/relationships" ref="AL455" r:id="rId453"/>
    <hyperlink xmlns:r="http://schemas.openxmlformats.org/officeDocument/2006/relationships" ref="AL456" r:id="rId454"/>
    <hyperlink xmlns:r="http://schemas.openxmlformats.org/officeDocument/2006/relationships" ref="AL457" r:id="rId455"/>
    <hyperlink xmlns:r="http://schemas.openxmlformats.org/officeDocument/2006/relationships" ref="AL458" r:id="rId456"/>
    <hyperlink xmlns:r="http://schemas.openxmlformats.org/officeDocument/2006/relationships" ref="AL459" r:id="rId457"/>
    <hyperlink xmlns:r="http://schemas.openxmlformats.org/officeDocument/2006/relationships" ref="AL460" r:id="rId458"/>
    <hyperlink xmlns:r="http://schemas.openxmlformats.org/officeDocument/2006/relationships" ref="AL461" r:id="rId459"/>
    <hyperlink xmlns:r="http://schemas.openxmlformats.org/officeDocument/2006/relationships" ref="AL462" r:id="rId460"/>
    <hyperlink xmlns:r="http://schemas.openxmlformats.org/officeDocument/2006/relationships" ref="AL463" r:id="rId461"/>
    <hyperlink xmlns:r="http://schemas.openxmlformats.org/officeDocument/2006/relationships" ref="AL464" r:id="rId462"/>
    <hyperlink xmlns:r="http://schemas.openxmlformats.org/officeDocument/2006/relationships" ref="AL465" r:id="rId463"/>
    <hyperlink xmlns:r="http://schemas.openxmlformats.org/officeDocument/2006/relationships" ref="AL466" r:id="rId464"/>
    <hyperlink xmlns:r="http://schemas.openxmlformats.org/officeDocument/2006/relationships" ref="AL467" r:id="rId465"/>
    <hyperlink xmlns:r="http://schemas.openxmlformats.org/officeDocument/2006/relationships" ref="AL468" r:id="rId466"/>
    <hyperlink xmlns:r="http://schemas.openxmlformats.org/officeDocument/2006/relationships" ref="AL469" r:id="rId467"/>
    <hyperlink xmlns:r="http://schemas.openxmlformats.org/officeDocument/2006/relationships" ref="AL470" r:id="rId468"/>
    <hyperlink xmlns:r="http://schemas.openxmlformats.org/officeDocument/2006/relationships" ref="AL471" r:id="rId469"/>
    <hyperlink xmlns:r="http://schemas.openxmlformats.org/officeDocument/2006/relationships" ref="AL472" r:id="rId470"/>
    <hyperlink xmlns:r="http://schemas.openxmlformats.org/officeDocument/2006/relationships" ref="AL473" r:id="rId471"/>
    <hyperlink xmlns:r="http://schemas.openxmlformats.org/officeDocument/2006/relationships" ref="AL474" r:id="rId472"/>
    <hyperlink xmlns:r="http://schemas.openxmlformats.org/officeDocument/2006/relationships" ref="AL475" r:id="rId473"/>
    <hyperlink xmlns:r="http://schemas.openxmlformats.org/officeDocument/2006/relationships" ref="AL476" r:id="rId474"/>
    <hyperlink xmlns:r="http://schemas.openxmlformats.org/officeDocument/2006/relationships" ref="AL477" r:id="rId475"/>
    <hyperlink xmlns:r="http://schemas.openxmlformats.org/officeDocument/2006/relationships" ref="AL478" r:id="rId476"/>
    <hyperlink xmlns:r="http://schemas.openxmlformats.org/officeDocument/2006/relationships" ref="AL479" r:id="rId477"/>
    <hyperlink xmlns:r="http://schemas.openxmlformats.org/officeDocument/2006/relationships" ref="AL480" r:id="rId478"/>
    <hyperlink xmlns:r="http://schemas.openxmlformats.org/officeDocument/2006/relationships" ref="AL481" r:id="rId479"/>
    <hyperlink xmlns:r="http://schemas.openxmlformats.org/officeDocument/2006/relationships" ref="AL482" r:id="rId480"/>
    <hyperlink xmlns:r="http://schemas.openxmlformats.org/officeDocument/2006/relationships" ref="AL483" r:id="rId481"/>
    <hyperlink xmlns:r="http://schemas.openxmlformats.org/officeDocument/2006/relationships" ref="AL484" r:id="rId482"/>
    <hyperlink xmlns:r="http://schemas.openxmlformats.org/officeDocument/2006/relationships" ref="AL485" r:id="rId483"/>
    <hyperlink xmlns:r="http://schemas.openxmlformats.org/officeDocument/2006/relationships" ref="AL486" r:id="rId484"/>
    <hyperlink xmlns:r="http://schemas.openxmlformats.org/officeDocument/2006/relationships" ref="AL487" r:id="rId485"/>
    <hyperlink xmlns:r="http://schemas.openxmlformats.org/officeDocument/2006/relationships" ref="AL488" r:id="rId486"/>
    <hyperlink xmlns:r="http://schemas.openxmlformats.org/officeDocument/2006/relationships" ref="AL489" r:id="rId487"/>
    <hyperlink xmlns:r="http://schemas.openxmlformats.org/officeDocument/2006/relationships" ref="AL490" r:id="rId488"/>
    <hyperlink xmlns:r="http://schemas.openxmlformats.org/officeDocument/2006/relationships" ref="AL491" r:id="rId489"/>
    <hyperlink xmlns:r="http://schemas.openxmlformats.org/officeDocument/2006/relationships" ref="AL492" r:id="rId490"/>
    <hyperlink xmlns:r="http://schemas.openxmlformats.org/officeDocument/2006/relationships" ref="AL493" r:id="rId491"/>
    <hyperlink xmlns:r="http://schemas.openxmlformats.org/officeDocument/2006/relationships" ref="AL494" r:id="rId492"/>
    <hyperlink xmlns:r="http://schemas.openxmlformats.org/officeDocument/2006/relationships" ref="AL495" r:id="rId493"/>
    <hyperlink xmlns:r="http://schemas.openxmlformats.org/officeDocument/2006/relationships" ref="AL496" r:id="rId494"/>
    <hyperlink xmlns:r="http://schemas.openxmlformats.org/officeDocument/2006/relationships" ref="AL497" r:id="rId495"/>
    <hyperlink xmlns:r="http://schemas.openxmlformats.org/officeDocument/2006/relationships" ref="AL498" r:id="rId496"/>
    <hyperlink xmlns:r="http://schemas.openxmlformats.org/officeDocument/2006/relationships" ref="AL499" r:id="rId497"/>
    <hyperlink xmlns:r="http://schemas.openxmlformats.org/officeDocument/2006/relationships" ref="AL500" r:id="rId498"/>
    <hyperlink xmlns:r="http://schemas.openxmlformats.org/officeDocument/2006/relationships" ref="AL501" r:id="rId499"/>
    <hyperlink xmlns:r="http://schemas.openxmlformats.org/officeDocument/2006/relationships" ref="AL502" r:id="rId500"/>
    <hyperlink xmlns:r="http://schemas.openxmlformats.org/officeDocument/2006/relationships" ref="AL503" r:id="rId501"/>
    <hyperlink xmlns:r="http://schemas.openxmlformats.org/officeDocument/2006/relationships" ref="AL504" r:id="rId502"/>
    <hyperlink xmlns:r="http://schemas.openxmlformats.org/officeDocument/2006/relationships" ref="AL505" r:id="rId503"/>
    <hyperlink xmlns:r="http://schemas.openxmlformats.org/officeDocument/2006/relationships" ref="AL506" r:id="rId504"/>
    <hyperlink xmlns:r="http://schemas.openxmlformats.org/officeDocument/2006/relationships" ref="AL507" r:id="rId505"/>
    <hyperlink xmlns:r="http://schemas.openxmlformats.org/officeDocument/2006/relationships" ref="AL508" r:id="rId506"/>
    <hyperlink xmlns:r="http://schemas.openxmlformats.org/officeDocument/2006/relationships" ref="AL509" r:id="rId507"/>
    <hyperlink xmlns:r="http://schemas.openxmlformats.org/officeDocument/2006/relationships" ref="AL510" r:id="rId508"/>
    <hyperlink xmlns:r="http://schemas.openxmlformats.org/officeDocument/2006/relationships" ref="AL511" r:id="rId509"/>
    <hyperlink xmlns:r="http://schemas.openxmlformats.org/officeDocument/2006/relationships" ref="AL512" r:id="rId510"/>
    <hyperlink xmlns:r="http://schemas.openxmlformats.org/officeDocument/2006/relationships" ref="AL513" r:id="rId511"/>
    <hyperlink xmlns:r="http://schemas.openxmlformats.org/officeDocument/2006/relationships" ref="AL514" r:id="rId512"/>
    <hyperlink xmlns:r="http://schemas.openxmlformats.org/officeDocument/2006/relationships" ref="AL515" r:id="rId513"/>
    <hyperlink xmlns:r="http://schemas.openxmlformats.org/officeDocument/2006/relationships" ref="AL516" r:id="rId514"/>
    <hyperlink xmlns:r="http://schemas.openxmlformats.org/officeDocument/2006/relationships" ref="AL517" r:id="rId515"/>
    <hyperlink xmlns:r="http://schemas.openxmlformats.org/officeDocument/2006/relationships" ref="AL518" r:id="rId516"/>
    <hyperlink xmlns:r="http://schemas.openxmlformats.org/officeDocument/2006/relationships" ref="AL519" r:id="rId517"/>
    <hyperlink xmlns:r="http://schemas.openxmlformats.org/officeDocument/2006/relationships" ref="AL520" r:id="rId518"/>
    <hyperlink xmlns:r="http://schemas.openxmlformats.org/officeDocument/2006/relationships" ref="AL521" r:id="rId519"/>
    <hyperlink xmlns:r="http://schemas.openxmlformats.org/officeDocument/2006/relationships" ref="AL522" r:id="rId520"/>
    <hyperlink xmlns:r="http://schemas.openxmlformats.org/officeDocument/2006/relationships" ref="AL523" r:id="rId521"/>
    <hyperlink xmlns:r="http://schemas.openxmlformats.org/officeDocument/2006/relationships" ref="AL524" r:id="rId522"/>
    <hyperlink xmlns:r="http://schemas.openxmlformats.org/officeDocument/2006/relationships" ref="AL525" r:id="rId523"/>
    <hyperlink xmlns:r="http://schemas.openxmlformats.org/officeDocument/2006/relationships" ref="AL526" r:id="rId524"/>
    <hyperlink xmlns:r="http://schemas.openxmlformats.org/officeDocument/2006/relationships" ref="AL527" r:id="rId525"/>
    <hyperlink xmlns:r="http://schemas.openxmlformats.org/officeDocument/2006/relationships" ref="AL528" r:id="rId526"/>
    <hyperlink xmlns:r="http://schemas.openxmlformats.org/officeDocument/2006/relationships" ref="AL529" r:id="rId527"/>
    <hyperlink xmlns:r="http://schemas.openxmlformats.org/officeDocument/2006/relationships" ref="AL530" r:id="rId528"/>
    <hyperlink xmlns:r="http://schemas.openxmlformats.org/officeDocument/2006/relationships" ref="AL531" r:id="rId529"/>
    <hyperlink xmlns:r="http://schemas.openxmlformats.org/officeDocument/2006/relationships" ref="AL532" r:id="rId530"/>
    <hyperlink xmlns:r="http://schemas.openxmlformats.org/officeDocument/2006/relationships" ref="AL533" r:id="rId531"/>
    <hyperlink xmlns:r="http://schemas.openxmlformats.org/officeDocument/2006/relationships" ref="AL534" r:id="rId532"/>
    <hyperlink xmlns:r="http://schemas.openxmlformats.org/officeDocument/2006/relationships" ref="AL535" r:id="rId533"/>
    <hyperlink xmlns:r="http://schemas.openxmlformats.org/officeDocument/2006/relationships" ref="AL536" r:id="rId534"/>
    <hyperlink xmlns:r="http://schemas.openxmlformats.org/officeDocument/2006/relationships" ref="AL537" r:id="rId535"/>
    <hyperlink xmlns:r="http://schemas.openxmlformats.org/officeDocument/2006/relationships" ref="AL538" r:id="rId536"/>
    <hyperlink xmlns:r="http://schemas.openxmlformats.org/officeDocument/2006/relationships" ref="AL539" r:id="rId537"/>
    <hyperlink xmlns:r="http://schemas.openxmlformats.org/officeDocument/2006/relationships" ref="AL540" r:id="rId538"/>
    <hyperlink xmlns:r="http://schemas.openxmlformats.org/officeDocument/2006/relationships" ref="AL541" r:id="rId539"/>
    <hyperlink xmlns:r="http://schemas.openxmlformats.org/officeDocument/2006/relationships" ref="AL542" r:id="rId540"/>
    <hyperlink xmlns:r="http://schemas.openxmlformats.org/officeDocument/2006/relationships" ref="AL543" r:id="rId541"/>
    <hyperlink xmlns:r="http://schemas.openxmlformats.org/officeDocument/2006/relationships" ref="AL544" r:id="rId542"/>
    <hyperlink xmlns:r="http://schemas.openxmlformats.org/officeDocument/2006/relationships" ref="AL545" r:id="rId543"/>
    <hyperlink xmlns:r="http://schemas.openxmlformats.org/officeDocument/2006/relationships" ref="AL546" r:id="rId544"/>
    <hyperlink xmlns:r="http://schemas.openxmlformats.org/officeDocument/2006/relationships" ref="AL547" r:id="rId545"/>
    <hyperlink xmlns:r="http://schemas.openxmlformats.org/officeDocument/2006/relationships" ref="AL548" r:id="rId546"/>
    <hyperlink xmlns:r="http://schemas.openxmlformats.org/officeDocument/2006/relationships" ref="AL549" r:id="rId547"/>
    <hyperlink xmlns:r="http://schemas.openxmlformats.org/officeDocument/2006/relationships" ref="AL550" r:id="rId548"/>
    <hyperlink xmlns:r="http://schemas.openxmlformats.org/officeDocument/2006/relationships" ref="AL551" r:id="rId549"/>
    <hyperlink xmlns:r="http://schemas.openxmlformats.org/officeDocument/2006/relationships" ref="AL552" r:id="rId550"/>
    <hyperlink xmlns:r="http://schemas.openxmlformats.org/officeDocument/2006/relationships" ref="AL553" r:id="rId551"/>
    <hyperlink xmlns:r="http://schemas.openxmlformats.org/officeDocument/2006/relationships" ref="AL554" r:id="rId552"/>
    <hyperlink xmlns:r="http://schemas.openxmlformats.org/officeDocument/2006/relationships" ref="AL555" r:id="rId553"/>
    <hyperlink xmlns:r="http://schemas.openxmlformats.org/officeDocument/2006/relationships" ref="AL556" r:id="rId554"/>
    <hyperlink xmlns:r="http://schemas.openxmlformats.org/officeDocument/2006/relationships" ref="AL557" r:id="rId555"/>
    <hyperlink xmlns:r="http://schemas.openxmlformats.org/officeDocument/2006/relationships" ref="AL558" r:id="rId556"/>
    <hyperlink xmlns:r="http://schemas.openxmlformats.org/officeDocument/2006/relationships" ref="AL559" r:id="rId557"/>
    <hyperlink xmlns:r="http://schemas.openxmlformats.org/officeDocument/2006/relationships" ref="AL560" r:id="rId558"/>
    <hyperlink xmlns:r="http://schemas.openxmlformats.org/officeDocument/2006/relationships" ref="AL561" r:id="rId559"/>
    <hyperlink xmlns:r="http://schemas.openxmlformats.org/officeDocument/2006/relationships" ref="AL562" r:id="rId560"/>
    <hyperlink xmlns:r="http://schemas.openxmlformats.org/officeDocument/2006/relationships" ref="AL563" r:id="rId561"/>
    <hyperlink xmlns:r="http://schemas.openxmlformats.org/officeDocument/2006/relationships" ref="AL564" r:id="rId562"/>
    <hyperlink xmlns:r="http://schemas.openxmlformats.org/officeDocument/2006/relationships" ref="AL565" r:id="rId563"/>
    <hyperlink xmlns:r="http://schemas.openxmlformats.org/officeDocument/2006/relationships" ref="AL566" r:id="rId564"/>
    <hyperlink xmlns:r="http://schemas.openxmlformats.org/officeDocument/2006/relationships" ref="AL567" r:id="rId565"/>
    <hyperlink xmlns:r="http://schemas.openxmlformats.org/officeDocument/2006/relationships" ref="AL568" r:id="rId566"/>
    <hyperlink xmlns:r="http://schemas.openxmlformats.org/officeDocument/2006/relationships" ref="AL569" r:id="rId567"/>
    <hyperlink xmlns:r="http://schemas.openxmlformats.org/officeDocument/2006/relationships" ref="AL570" r:id="rId568"/>
    <hyperlink xmlns:r="http://schemas.openxmlformats.org/officeDocument/2006/relationships" ref="AL571" r:id="rId569"/>
    <hyperlink xmlns:r="http://schemas.openxmlformats.org/officeDocument/2006/relationships" ref="AL572" r:id="rId570"/>
    <hyperlink xmlns:r="http://schemas.openxmlformats.org/officeDocument/2006/relationships" ref="AL573" r:id="rId571"/>
    <hyperlink xmlns:r="http://schemas.openxmlformats.org/officeDocument/2006/relationships" ref="AL574" r:id="rId572"/>
    <hyperlink xmlns:r="http://schemas.openxmlformats.org/officeDocument/2006/relationships" ref="AL575" r:id="rId573"/>
    <hyperlink xmlns:r="http://schemas.openxmlformats.org/officeDocument/2006/relationships" ref="AL576" r:id="rId574"/>
    <hyperlink xmlns:r="http://schemas.openxmlformats.org/officeDocument/2006/relationships" ref="AL577" r:id="rId575"/>
    <hyperlink xmlns:r="http://schemas.openxmlformats.org/officeDocument/2006/relationships" ref="AL578" r:id="rId576"/>
    <hyperlink xmlns:r="http://schemas.openxmlformats.org/officeDocument/2006/relationships" ref="AL579" r:id="rId577"/>
    <hyperlink xmlns:r="http://schemas.openxmlformats.org/officeDocument/2006/relationships" ref="AL580" r:id="rId578"/>
    <hyperlink xmlns:r="http://schemas.openxmlformats.org/officeDocument/2006/relationships" ref="AL581" r:id="rId579"/>
    <hyperlink xmlns:r="http://schemas.openxmlformats.org/officeDocument/2006/relationships" ref="AL582" r:id="rId580"/>
    <hyperlink xmlns:r="http://schemas.openxmlformats.org/officeDocument/2006/relationships" ref="AL583" r:id="rId581"/>
    <hyperlink xmlns:r="http://schemas.openxmlformats.org/officeDocument/2006/relationships" ref="AL584" r:id="rId582"/>
    <hyperlink xmlns:r="http://schemas.openxmlformats.org/officeDocument/2006/relationships" ref="AL585" r:id="rId583"/>
    <hyperlink xmlns:r="http://schemas.openxmlformats.org/officeDocument/2006/relationships" ref="AL586" r:id="rId584"/>
    <hyperlink xmlns:r="http://schemas.openxmlformats.org/officeDocument/2006/relationships" ref="AL587" r:id="rId585"/>
    <hyperlink xmlns:r="http://schemas.openxmlformats.org/officeDocument/2006/relationships" ref="AL588" r:id="rId586"/>
    <hyperlink xmlns:r="http://schemas.openxmlformats.org/officeDocument/2006/relationships" ref="AL589" r:id="rId587"/>
    <hyperlink xmlns:r="http://schemas.openxmlformats.org/officeDocument/2006/relationships" ref="AL590" r:id="rId588"/>
    <hyperlink xmlns:r="http://schemas.openxmlformats.org/officeDocument/2006/relationships" ref="AL591" r:id="rId589"/>
    <hyperlink xmlns:r="http://schemas.openxmlformats.org/officeDocument/2006/relationships" ref="AL592" r:id="rId590"/>
    <hyperlink xmlns:r="http://schemas.openxmlformats.org/officeDocument/2006/relationships" ref="AL593" r:id="rId591"/>
    <hyperlink xmlns:r="http://schemas.openxmlformats.org/officeDocument/2006/relationships" ref="AL594" r:id="rId592"/>
    <hyperlink xmlns:r="http://schemas.openxmlformats.org/officeDocument/2006/relationships" ref="AL595" r:id="rId593"/>
    <hyperlink xmlns:r="http://schemas.openxmlformats.org/officeDocument/2006/relationships" ref="AL596" r:id="rId594"/>
    <hyperlink xmlns:r="http://schemas.openxmlformats.org/officeDocument/2006/relationships" ref="AL597" r:id="rId595"/>
    <hyperlink xmlns:r="http://schemas.openxmlformats.org/officeDocument/2006/relationships" ref="AL598" r:id="rId596"/>
    <hyperlink xmlns:r="http://schemas.openxmlformats.org/officeDocument/2006/relationships" ref="AL599" r:id="rId597"/>
    <hyperlink xmlns:r="http://schemas.openxmlformats.org/officeDocument/2006/relationships" ref="AL600" r:id="rId598"/>
    <hyperlink xmlns:r="http://schemas.openxmlformats.org/officeDocument/2006/relationships" ref="AL601" r:id="rId599"/>
    <hyperlink xmlns:r="http://schemas.openxmlformats.org/officeDocument/2006/relationships" ref="AL602" r:id="rId600"/>
    <hyperlink xmlns:r="http://schemas.openxmlformats.org/officeDocument/2006/relationships" ref="AL603" r:id="rId601"/>
    <hyperlink xmlns:r="http://schemas.openxmlformats.org/officeDocument/2006/relationships" ref="AL604" r:id="rId602"/>
    <hyperlink xmlns:r="http://schemas.openxmlformats.org/officeDocument/2006/relationships" ref="AL605" r:id="rId603"/>
    <hyperlink xmlns:r="http://schemas.openxmlformats.org/officeDocument/2006/relationships" ref="AL606" r:id="rId604"/>
    <hyperlink xmlns:r="http://schemas.openxmlformats.org/officeDocument/2006/relationships" ref="AL607" r:id="rId605"/>
    <hyperlink xmlns:r="http://schemas.openxmlformats.org/officeDocument/2006/relationships" ref="AL608" r:id="rId606"/>
    <hyperlink xmlns:r="http://schemas.openxmlformats.org/officeDocument/2006/relationships" ref="AL609" r:id="rId607"/>
    <hyperlink xmlns:r="http://schemas.openxmlformats.org/officeDocument/2006/relationships" ref="AL610" r:id="rId608"/>
    <hyperlink xmlns:r="http://schemas.openxmlformats.org/officeDocument/2006/relationships" ref="AL611" r:id="rId609"/>
    <hyperlink xmlns:r="http://schemas.openxmlformats.org/officeDocument/2006/relationships" ref="AL612" r:id="rId610"/>
    <hyperlink xmlns:r="http://schemas.openxmlformats.org/officeDocument/2006/relationships" ref="AL613" r:id="rId611"/>
    <hyperlink xmlns:r="http://schemas.openxmlformats.org/officeDocument/2006/relationships" ref="AL614" r:id="rId612"/>
    <hyperlink xmlns:r="http://schemas.openxmlformats.org/officeDocument/2006/relationships" ref="AL615" r:id="rId613"/>
    <hyperlink xmlns:r="http://schemas.openxmlformats.org/officeDocument/2006/relationships" ref="AL616" r:id="rId614"/>
    <hyperlink xmlns:r="http://schemas.openxmlformats.org/officeDocument/2006/relationships" ref="AL617" r:id="rId615"/>
    <hyperlink xmlns:r="http://schemas.openxmlformats.org/officeDocument/2006/relationships" ref="AL618" r:id="rId616"/>
    <hyperlink xmlns:r="http://schemas.openxmlformats.org/officeDocument/2006/relationships" ref="AL619" r:id="rId617"/>
    <hyperlink xmlns:r="http://schemas.openxmlformats.org/officeDocument/2006/relationships" ref="AL620" r:id="rId618"/>
    <hyperlink xmlns:r="http://schemas.openxmlformats.org/officeDocument/2006/relationships" ref="AL621" r:id="rId619"/>
    <hyperlink xmlns:r="http://schemas.openxmlformats.org/officeDocument/2006/relationships" ref="AL622" r:id="rId620"/>
    <hyperlink xmlns:r="http://schemas.openxmlformats.org/officeDocument/2006/relationships" ref="AL623" r:id="rId621"/>
    <hyperlink xmlns:r="http://schemas.openxmlformats.org/officeDocument/2006/relationships" ref="AL624" r:id="rId622"/>
    <hyperlink xmlns:r="http://schemas.openxmlformats.org/officeDocument/2006/relationships" ref="AL625" r:id="rId623"/>
    <hyperlink xmlns:r="http://schemas.openxmlformats.org/officeDocument/2006/relationships" ref="AL626" r:id="rId624"/>
    <hyperlink xmlns:r="http://schemas.openxmlformats.org/officeDocument/2006/relationships" ref="AL627" r:id="rId625"/>
    <hyperlink xmlns:r="http://schemas.openxmlformats.org/officeDocument/2006/relationships" ref="AL628" r:id="rId626"/>
    <hyperlink xmlns:r="http://schemas.openxmlformats.org/officeDocument/2006/relationships" ref="AL629" r:id="rId627"/>
    <hyperlink xmlns:r="http://schemas.openxmlformats.org/officeDocument/2006/relationships" ref="AL630" r:id="rId628"/>
    <hyperlink xmlns:r="http://schemas.openxmlformats.org/officeDocument/2006/relationships" ref="AL631" r:id="rId629"/>
    <hyperlink xmlns:r="http://schemas.openxmlformats.org/officeDocument/2006/relationships" ref="AL632" r:id="rId630"/>
    <hyperlink xmlns:r="http://schemas.openxmlformats.org/officeDocument/2006/relationships" ref="AL633" r:id="rId631"/>
    <hyperlink xmlns:r="http://schemas.openxmlformats.org/officeDocument/2006/relationships" ref="AL634" r:id="rId632"/>
    <hyperlink xmlns:r="http://schemas.openxmlformats.org/officeDocument/2006/relationships" ref="AL635" r:id="rId633"/>
    <hyperlink xmlns:r="http://schemas.openxmlformats.org/officeDocument/2006/relationships" ref="AL636" r:id="rId634"/>
    <hyperlink xmlns:r="http://schemas.openxmlformats.org/officeDocument/2006/relationships" ref="AL637" r:id="rId635"/>
    <hyperlink xmlns:r="http://schemas.openxmlformats.org/officeDocument/2006/relationships" ref="AL638" r:id="rId636"/>
    <hyperlink xmlns:r="http://schemas.openxmlformats.org/officeDocument/2006/relationships" ref="AL639" r:id="rId637"/>
    <hyperlink xmlns:r="http://schemas.openxmlformats.org/officeDocument/2006/relationships" ref="AL640" r:id="rId638"/>
    <hyperlink xmlns:r="http://schemas.openxmlformats.org/officeDocument/2006/relationships" ref="AL641" r:id="rId639"/>
    <hyperlink xmlns:r="http://schemas.openxmlformats.org/officeDocument/2006/relationships" ref="AL642" r:id="rId640"/>
    <hyperlink xmlns:r="http://schemas.openxmlformats.org/officeDocument/2006/relationships" ref="AL643" r:id="rId641"/>
    <hyperlink xmlns:r="http://schemas.openxmlformats.org/officeDocument/2006/relationships" ref="AL644" r:id="rId642"/>
    <hyperlink xmlns:r="http://schemas.openxmlformats.org/officeDocument/2006/relationships" ref="AL645" r:id="rId643"/>
    <hyperlink xmlns:r="http://schemas.openxmlformats.org/officeDocument/2006/relationships" ref="AL646" r:id="rId644"/>
    <hyperlink xmlns:r="http://schemas.openxmlformats.org/officeDocument/2006/relationships" ref="AL647" r:id="rId645"/>
    <hyperlink xmlns:r="http://schemas.openxmlformats.org/officeDocument/2006/relationships" ref="AL648" r:id="rId646"/>
    <hyperlink xmlns:r="http://schemas.openxmlformats.org/officeDocument/2006/relationships" ref="AL649" r:id="rId647"/>
    <hyperlink xmlns:r="http://schemas.openxmlformats.org/officeDocument/2006/relationships" ref="AL650" r:id="rId648"/>
    <hyperlink xmlns:r="http://schemas.openxmlformats.org/officeDocument/2006/relationships" ref="AL651" r:id="rId649"/>
    <hyperlink xmlns:r="http://schemas.openxmlformats.org/officeDocument/2006/relationships" ref="AL652" r:id="rId650"/>
    <hyperlink xmlns:r="http://schemas.openxmlformats.org/officeDocument/2006/relationships" ref="AL653" r:id="rId651"/>
    <hyperlink xmlns:r="http://schemas.openxmlformats.org/officeDocument/2006/relationships" ref="AL654" r:id="rId652"/>
    <hyperlink xmlns:r="http://schemas.openxmlformats.org/officeDocument/2006/relationships" ref="AL655" r:id="rId653"/>
    <hyperlink xmlns:r="http://schemas.openxmlformats.org/officeDocument/2006/relationships" ref="AL656" r:id="rId654"/>
    <hyperlink xmlns:r="http://schemas.openxmlformats.org/officeDocument/2006/relationships" ref="AL657" r:id="rId655"/>
    <hyperlink xmlns:r="http://schemas.openxmlformats.org/officeDocument/2006/relationships" ref="AL658" r:id="rId656"/>
    <hyperlink xmlns:r="http://schemas.openxmlformats.org/officeDocument/2006/relationships" ref="AL659" r:id="rId657"/>
    <hyperlink xmlns:r="http://schemas.openxmlformats.org/officeDocument/2006/relationships" ref="AL660" r:id="rId658"/>
    <hyperlink xmlns:r="http://schemas.openxmlformats.org/officeDocument/2006/relationships" ref="AL661" r:id="rId659"/>
    <hyperlink xmlns:r="http://schemas.openxmlformats.org/officeDocument/2006/relationships" ref="AL662" r:id="rId660"/>
    <hyperlink xmlns:r="http://schemas.openxmlformats.org/officeDocument/2006/relationships" ref="AL663" r:id="rId661"/>
    <hyperlink xmlns:r="http://schemas.openxmlformats.org/officeDocument/2006/relationships" ref="AL664" r:id="rId662"/>
    <hyperlink xmlns:r="http://schemas.openxmlformats.org/officeDocument/2006/relationships" ref="AL665" r:id="rId663"/>
    <hyperlink xmlns:r="http://schemas.openxmlformats.org/officeDocument/2006/relationships" ref="AL666" r:id="rId664"/>
    <hyperlink xmlns:r="http://schemas.openxmlformats.org/officeDocument/2006/relationships" ref="AL667" r:id="rId6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0" customWidth="1" min="2" max="2"/>
    <col width="15" customWidth="1" min="3" max="3"/>
    <col width="22" customWidth="1" min="4" max="4"/>
    <col width="13" customWidth="1" min="5" max="5"/>
    <col width="28" customWidth="1" min="6" max="6"/>
    <col width="9" customWidth="1" min="7" max="7"/>
    <col width="12" customWidth="1" min="8" max="8"/>
    <col width="30" customWidth="1" min="9" max="9"/>
    <col width="13" customWidth="1" min="10" max="10"/>
    <col width="28" customWidth="1" min="11" max="11"/>
    <col width="22" customWidth="1" min="12" max="12"/>
    <col width="10" customWidth="1" min="13" max="13"/>
    <col width="22" customWidth="1" min="14" max="14"/>
    <col width="9" customWidth="1" min="15" max="15"/>
    <col width="7" customWidth="1" min="16" max="16"/>
    <col width="45" customWidth="1" min="17" max="17"/>
    <col width="28" customWidth="1" min="18" max="18"/>
  </cols>
  <sheetData>
    <row r="1" ht="32" customHeight="1">
      <c r="A1" s="12" t="inlineStr">
        <is>
          <t>Dataset</t>
        </is>
      </c>
      <c r="B1" s="12" t="inlineStr">
        <is>
          <t>Publisher</t>
        </is>
      </c>
      <c r="C1" s="12" t="inlineStr">
        <is>
          <t>Theme</t>
        </is>
      </c>
      <c r="D1" s="12" t="inlineStr">
        <is>
          <t>Coverage</t>
        </is>
      </c>
      <c r="E1" s="12" t="inlineStr">
        <is>
          <t>Finest unit</t>
        </is>
      </c>
      <c r="F1" s="12" t="inlineStr">
        <is>
          <t>Years</t>
        </is>
      </c>
      <c r="G1" s="12" t="inlineStr">
        <is>
          <t>Latest year</t>
        </is>
      </c>
      <c r="H1" s="12" t="inlineStr">
        <is>
          <t>License class</t>
        </is>
      </c>
      <c r="I1" s="12" t="inlineStr">
        <is>
          <t>Licence (confirmed)</t>
        </is>
      </c>
      <c r="J1" s="12" t="inlineStr">
        <is>
          <t>Access</t>
        </is>
      </c>
      <c r="K1" s="12" t="inlineStr">
        <is>
          <t>Format</t>
        </is>
      </c>
      <c r="L1" s="12" t="inlineStr">
        <is>
          <t>Gaia fit</t>
        </is>
      </c>
      <c r="M1" s="12" t="inlineStr">
        <is>
          <t>Health relevance (0-3)</t>
        </is>
      </c>
      <c r="N1" s="12" t="inlineStr">
        <is>
          <t>In gaiaCatalog</t>
        </is>
      </c>
      <c r="O1" s="12" t="inlineStr">
        <is>
          <t>Tier</t>
        </is>
      </c>
      <c r="P1" s="12" t="inlineStr">
        <is>
          <t>Score</t>
        </is>
      </c>
      <c r="Q1" s="12" t="inlineStr">
        <is>
          <t>Landing page</t>
        </is>
      </c>
      <c r="R1" s="12" t="inlineStr">
        <is>
          <t>id</t>
        </is>
      </c>
    </row>
    <row r="2">
      <c r="A2" s="4" t="inlineStr">
        <is>
          <t>2022 Social Vulnerability by US Census Block Group</t>
        </is>
      </c>
      <c r="B2" s="4" t="inlineStr">
        <is>
          <t>Harvard Dataverse deposit (derived from CDC/ATSDR SVI)</t>
        </is>
      </c>
      <c r="C2" s="4" t="inlineStr"/>
      <c r="D2" s="4" t="inlineStr">
        <is>
          <t>US</t>
        </is>
      </c>
      <c r="E2" s="4" t="inlineStr">
        <is>
          <t>block_group</t>
        </is>
      </c>
      <c r="F2" s="4" t="inlineStr">
        <is>
          <t>title says 2022; file name says 2020; not reconciled</t>
        </is>
      </c>
      <c r="G2" s="4" t="n">
        <v>2022</v>
      </c>
      <c r="H2" s="4" t="inlineStr">
        <is>
          <t>open</t>
        </is>
      </c>
      <c r="I2" s="4" t="inlineStr">
        <is>
          <t>CC0 1.0</t>
        </is>
      </c>
      <c r="J2" s="4" t="inlineStr">
        <is>
          <t>open_download</t>
        </is>
      </c>
      <c r="K2" s="4" t="inlineStr">
        <is>
          <t>tab</t>
        </is>
      </c>
      <c r="L2" s="4" t="inlineStr"/>
      <c r="M2" s="4" t="inlineStr"/>
      <c r="N2" s="4" t="inlineStr"/>
      <c r="O2" s="19" t="inlineStr">
        <is>
          <t>Silver</t>
        </is>
      </c>
      <c r="P2" s="4" t="inlineStr"/>
      <c r="Q2" s="17" t="inlineStr">
        <is>
          <t>https://doi.org/10.7910/dvn/arbhpk</t>
        </is>
      </c>
      <c r="R2" s="4" t="inlineStr">
        <is>
          <t>us_harvard_svi_percentiles_block_group</t>
        </is>
      </c>
    </row>
    <row r="3">
      <c r="A3" s="4" t="inlineStr">
        <is>
          <t>Beachwatch swim sites with pollution forecasts and latest water quality, New South Wales</t>
        </is>
      </c>
      <c r="B3" s="4" t="inlineStr">
        <is>
          <t>NSW Beachwatch (published via publicdata.au / Zenodo)</t>
        </is>
      </c>
      <c r="C3" s="4" t="inlineStr"/>
      <c r="D3" s="4" t="inlineStr">
        <is>
          <t>NSW swim sites (246 rows)</t>
        </is>
      </c>
      <c r="E3" s="4" t="inlineStr">
        <is>
          <t>point</t>
        </is>
      </c>
      <c r="F3" s="4" t="inlineStr">
        <is>
          <t>live feed, version 2026-10-29</t>
        </is>
      </c>
      <c r="G3" s="4" t="n">
        <v>2026</v>
      </c>
      <c r="H3" s="4" t="inlineStr">
        <is>
          <t>open</t>
        </is>
      </c>
      <c r="I3" s="4" t="inlineStr">
        <is>
          <t>CC BY 4.0</t>
        </is>
      </c>
      <c r="J3" s="4" t="inlineStr">
        <is>
          <t>open_download</t>
        </is>
      </c>
      <c r="K3" s="4" t="inlineStr">
        <is>
          <t>csv; parquet; json; xlsx</t>
        </is>
      </c>
      <c r="L3" s="4" t="inlineStr"/>
      <c r="M3" s="4" t="inlineStr"/>
      <c r="N3" s="4" t="inlineStr"/>
      <c r="O3" s="13" t="inlineStr">
        <is>
          <t>Gold</t>
        </is>
      </c>
      <c r="P3" s="4" t="inlineStr"/>
      <c r="Q3" s="17" t="inlineStr">
        <is>
          <t>https://doi.org/10.5281/zenodo.23113632</t>
        </is>
      </c>
      <c r="R3" s="4" t="inlineStr">
        <is>
          <t>au_nsw_beachwatch_swim_sites_live</t>
        </is>
      </c>
    </row>
    <row r="4">
      <c r="A4" s="4" t="inlineStr">
        <is>
          <t>Birthing Friendly Hospitals with Geocoded Addresses</t>
        </is>
      </c>
      <c r="B4" s="4" t="inlineStr">
        <is>
          <t>CMS Provider Data Catalog</t>
        </is>
      </c>
      <c r="C4" s="4" t="inlineStr"/>
      <c r="D4" s="4" t="inlineStr"/>
      <c r="E4" s="4" t="inlineStr">
        <is>
          <t>facility (point; geocoded)</t>
        </is>
      </c>
      <c r="F4" s="4" t="inlineStr">
        <is>
          <t>current snapshot; catalog 'modified' 2026-10-22, next update 2027-01-20</t>
        </is>
      </c>
      <c r="G4" s="4" t="inlineStr"/>
      <c r="H4" s="4" t="inlineStr">
        <is>
          <t>public_domain_us_federal</t>
        </is>
      </c>
      <c r="I4" s="4" t="inlineStr">
        <is>
          <t>not stated in catalog metadata (federal open data; unverified)</t>
        </is>
      </c>
      <c r="J4" s="4" t="inlineStr">
        <is>
          <t>open_download (CSV via DKAN API)</t>
        </is>
      </c>
      <c r="K4" s="4" t="inlineStr"/>
      <c r="L4" s="4" t="inlineStr"/>
      <c r="M4" s="4" t="inlineStr"/>
      <c r="N4" s="4" t="inlineStr"/>
      <c r="O4" s="19" t="inlineStr">
        <is>
          <t>Silver</t>
        </is>
      </c>
      <c r="P4" s="4" t="inlineStr"/>
      <c r="Q4" s="17" t="inlineStr">
        <is>
          <t>https://data.cms.gov/provider-data/dataset/hbf-map</t>
        </is>
      </c>
      <c r="R4" s="4" t="inlineStr">
        <is>
          <t>us_cms_pdc_hbf_map</t>
        </is>
      </c>
    </row>
    <row r="5">
      <c r="A5" s="4" t="inlineStr">
        <is>
          <t>Buprenorphine Prescribing Requirements and Limitations</t>
        </is>
      </c>
      <c r="B5" s="4" t="inlineStr">
        <is>
          <t>Center for Public Health Law Research (Temple University; LawAtlas)</t>
        </is>
      </c>
      <c r="C5" s="4" t="inlineStr"/>
      <c r="D5" s="4" t="inlineStr">
        <is>
          <t>US (50 states + DC)</t>
        </is>
      </c>
      <c r="E5" s="4" t="inlineStr">
        <is>
          <t>state</t>
        </is>
      </c>
      <c r="F5" s="4" t="inlineStr">
        <is>
          <t>2023-03-01 to 2024-09-01</t>
        </is>
      </c>
      <c r="G5" s="4" t="n">
        <v>2024</v>
      </c>
      <c r="H5" s="4" t="inlineStr"/>
      <c r="I5" s="4" t="inlineStr"/>
      <c r="J5" s="4" t="inlineStr">
        <is>
          <t>registration</t>
        </is>
      </c>
      <c r="K5" s="4" t="inlineStr">
        <is>
          <t>not stated</t>
        </is>
      </c>
      <c r="L5" s="4" t="inlineStr"/>
      <c r="M5" s="4" t="inlineStr"/>
      <c r="N5" s="4" t="inlineStr"/>
      <c r="O5" s="19" t="inlineStr">
        <is>
          <t>Silver</t>
        </is>
      </c>
      <c r="P5" s="4" t="inlineStr"/>
      <c r="Q5" s="17" t="inlineStr">
        <is>
          <t>https://doi.org/10.60541/snt6-m904</t>
        </is>
      </c>
      <c r="R5" s="4" t="inlineStr">
        <is>
          <t>us_lawatlas_buprenorphine_prescribing_laws</t>
        </is>
      </c>
    </row>
    <row r="6">
      <c r="A6" s="4" t="inlineStr">
        <is>
          <t>Calculating Hazard Indices for PFAS in California's Drinking Water</t>
        </is>
      </c>
      <c r="B6" s="4" t="inlineStr">
        <is>
          <t>Mendeley Data (Geotracker-derived)</t>
        </is>
      </c>
      <c r="C6" s="4" t="inlineStr"/>
      <c r="D6" s="4" t="inlineStr">
        <is>
          <t>California (Geotracker monitoring locations)</t>
        </is>
      </c>
      <c r="E6" s="4" t="inlineStr">
        <is>
          <t>point</t>
        </is>
      </c>
      <c r="F6" s="4" t="inlineStr">
        <is>
          <t>years not stated (published 2024-11-22)</t>
        </is>
      </c>
      <c r="G6" s="4" t="inlineStr"/>
      <c r="H6" s="4" t="inlineStr">
        <is>
          <t>open</t>
        </is>
      </c>
      <c r="I6" s="4" t="inlineStr">
        <is>
          <t>CC BY 4.0</t>
        </is>
      </c>
      <c r="J6" s="4" t="inlineStr">
        <is>
          <t>open_download ("Download All")</t>
        </is>
      </c>
      <c r="K6" s="4" t="inlineStr">
        <is>
          <t>xlsx</t>
        </is>
      </c>
      <c r="L6" s="4" t="inlineStr"/>
      <c r="M6" s="4" t="inlineStr"/>
      <c r="N6" s="4" t="inlineStr"/>
      <c r="O6" s="19" t="inlineStr">
        <is>
          <t>Silver</t>
        </is>
      </c>
      <c r="P6" s="4" t="inlineStr"/>
      <c r="Q6" s="17" t="inlineStr">
        <is>
          <t>https://doi.org/10.17632/hy28gb37tg</t>
        </is>
      </c>
      <c r="R6" s="4" t="inlineStr">
        <is>
          <t>us_mendeley_california_pfas_hazard_indices</t>
        </is>
      </c>
    </row>
    <row r="7">
      <c r="A7" s="4" t="inlineStr">
        <is>
          <t>Compilation of riverine water quality data from the Great Barrier Reef catchment area, northeastern Australia: version 2.0</t>
        </is>
      </c>
      <c r="B7" s="4" t="inlineStr">
        <is>
          <t>James Cook University (Great Barrier Reef catchments)</t>
        </is>
      </c>
      <c r="C7" s="4" t="inlineStr"/>
      <c r="D7" s="4" t="inlineStr">
        <is>
          <t>Great Barrier Reef catchment (466 sites)</t>
        </is>
      </c>
      <c r="E7" s="4" t="inlineStr">
        <is>
          <t>point</t>
        </is>
      </c>
      <c r="F7" s="4" t="inlineStr">
        <is>
          <t>1986-10-19 to 2023-02-08</t>
        </is>
      </c>
      <c r="G7" s="4" t="n">
        <v>2023</v>
      </c>
      <c r="H7" s="4" t="inlineStr">
        <is>
          <t>open</t>
        </is>
      </c>
      <c r="I7" s="4" t="inlineStr">
        <is>
          <t>CC BY 4.0 (page: "will be licensed under")</t>
        </is>
      </c>
      <c r="J7" s="4" t="inlineStr">
        <is>
          <t>open_download ("Open: free access under license")</t>
        </is>
      </c>
      <c r="K7" s="4" t="inlineStr">
        <is>
          <t>xlsx; zip</t>
        </is>
      </c>
      <c r="L7" s="4" t="inlineStr"/>
      <c r="M7" s="4" t="inlineStr"/>
      <c r="N7" s="4" t="inlineStr"/>
      <c r="O7" s="19" t="inlineStr">
        <is>
          <t>Silver</t>
        </is>
      </c>
      <c r="P7" s="4" t="inlineStr"/>
      <c r="Q7" s="17" t="inlineStr">
        <is>
          <t>https://doi.org/10.25903/pase-na93</t>
        </is>
      </c>
      <c r="R7" s="4" t="inlineStr">
        <is>
          <t>au_jcu_gbr_catchment_riverine_water_quality_v2</t>
        </is>
      </c>
    </row>
    <row r="8">
      <c r="A8" s="4" t="inlineStr">
        <is>
          <t>Complications and Unplanned Hospital Visits - PPS-Exempt Cancer Hospital</t>
        </is>
      </c>
      <c r="B8" s="4" t="inlineStr">
        <is>
          <t>CMS Provider Data Catalog</t>
        </is>
      </c>
      <c r="C8" s="4" t="inlineStr"/>
      <c r="D8" s="4" t="inlineStr"/>
      <c r="E8" s="4" t="inlineStr">
        <is>
          <t>facility (11 PPS-exempt cancer hospitals)</t>
        </is>
      </c>
      <c r="F8" s="4" t="inlineStr">
        <is>
          <t>current snapshot; catalog 'modified' 2026-10-22, next update 2027-01-20</t>
        </is>
      </c>
      <c r="G8" s="4" t="inlineStr"/>
      <c r="H8" s="4" t="inlineStr">
        <is>
          <t>public_domain_us_federal</t>
        </is>
      </c>
      <c r="I8" s="4" t="inlineStr">
        <is>
          <t>not stated in catalog metadata (federal open data; unverified)</t>
        </is>
      </c>
      <c r="J8" s="4" t="inlineStr">
        <is>
          <t>open_download (CSV via DKAN API)</t>
        </is>
      </c>
      <c r="K8" s="4" t="inlineStr"/>
      <c r="L8" s="4" t="inlineStr"/>
      <c r="M8" s="4" t="inlineStr"/>
      <c r="N8" s="4" t="inlineStr"/>
      <c r="O8" s="19" t="inlineStr">
        <is>
          <t>Silver</t>
        </is>
      </c>
      <c r="P8" s="4" t="inlineStr"/>
      <c r="Q8" s="17" t="inlineStr">
        <is>
          <t>https://data.cms.gov/provider-data/dataset/z8ax-x9j1</t>
        </is>
      </c>
      <c r="R8" s="4" t="inlineStr">
        <is>
          <t>us_cms_pdc_z8ax_x9j1</t>
        </is>
      </c>
    </row>
    <row r="9">
      <c r="A9" s="4" t="inlineStr">
        <is>
          <t>COVID-19 US State Policy Database</t>
        </is>
      </c>
      <c r="B9" s="4" t="inlineStr">
        <is>
          <t>Boston University School of Public Health (CUSP; hosted on openICPSR)</t>
        </is>
      </c>
      <c r="C9" s="4" t="inlineStr"/>
      <c r="D9" s="4" t="inlineStr">
        <is>
          <t>US (50 states + DC)</t>
        </is>
      </c>
      <c r="E9" s="4" t="inlineStr">
        <is>
          <t>state</t>
        </is>
      </c>
      <c r="F9" s="4" t="inlineStr">
        <is>
          <t>2/2020 to 6/2020 (time period); version V143 dated 2022-03-30</t>
        </is>
      </c>
      <c r="G9" s="4" t="n">
        <v>2020</v>
      </c>
      <c r="H9" s="4" t="inlineStr"/>
      <c r="I9" s="4" t="inlineStr"/>
      <c r="J9" s="4" t="inlineStr">
        <is>
          <t>open_download (assumed: no login named)</t>
        </is>
      </c>
      <c r="K9" s="4" t="inlineStr">
        <is>
          <t>not stated (folder "COVID-19-US-State-Policy-Database-master"; data sources on a linked page)</t>
        </is>
      </c>
      <c r="L9" s="4" t="inlineStr"/>
      <c r="M9" s="4" t="inlineStr"/>
      <c r="N9" s="4" t="inlineStr"/>
      <c r="O9" s="19" t="inlineStr">
        <is>
          <t>Silver</t>
        </is>
      </c>
      <c r="P9" s="4" t="inlineStr"/>
      <c r="Q9" s="17" t="inlineStr">
        <is>
          <t>https://doi.org/10.3886/e119446</t>
        </is>
      </c>
      <c r="R9" s="4" t="inlineStr">
        <is>
          <t>us_cusp_covid19_state_policy_database</t>
        </is>
      </c>
    </row>
    <row r="10">
      <c r="A10" s="4" t="inlineStr">
        <is>
          <t>COVID-19: State Emergency Declarations &amp; Mitigation Policies</t>
        </is>
      </c>
      <c r="B10" s="4" t="inlineStr">
        <is>
          <t>Center for Public Health Law Research (Temple University; LawAtlas)</t>
        </is>
      </c>
      <c r="C10" s="4" t="inlineStr"/>
      <c r="D10" s="4" t="inlineStr">
        <is>
          <t>US (50 states + DC)</t>
        </is>
      </c>
      <c r="E10" s="4" t="inlineStr">
        <is>
          <t>state</t>
        </is>
      </c>
      <c r="F10" s="4" t="inlineStr">
        <is>
          <t>2020-01-20 to 2020-07-01</t>
        </is>
      </c>
      <c r="G10" s="4" t="n">
        <v>2020</v>
      </c>
      <c r="H10" s="4" t="inlineStr"/>
      <c r="I10" s="4" t="inlineStr"/>
      <c r="J10" s="4" t="inlineStr">
        <is>
          <t>registration</t>
        </is>
      </c>
      <c r="K10" s="4" t="inlineStr">
        <is>
          <t>not stated</t>
        </is>
      </c>
      <c r="L10" s="4" t="inlineStr"/>
      <c r="M10" s="4" t="inlineStr"/>
      <c r="N10" s="4" t="inlineStr"/>
      <c r="O10" s="19" t="inlineStr">
        <is>
          <t>Silver</t>
        </is>
      </c>
      <c r="P10" s="4" t="inlineStr"/>
      <c r="Q10" s="17" t="inlineStr">
        <is>
          <t>https://doi.org/10.60541/ethb-2t35</t>
        </is>
      </c>
      <c r="R10" s="4" t="inlineStr">
        <is>
          <t>us_lawatlas_covid19_state_emergency_declarations</t>
        </is>
      </c>
    </row>
    <row r="11">
      <c r="A11" s="4" t="inlineStr">
        <is>
          <t>Cyanobacterial HAB Monitoring using Satellite Imagery for the United States Great Lakes region created by the NOAA Harmful Algal Bloom Forecasting Branch (HAB-F) from 2000 to 2024 (NCEI Accession 0312614)</t>
        </is>
      </c>
      <c r="B11" s="4" t="inlineStr">
        <is>
          <t>NOAA NCEI</t>
        </is>
      </c>
      <c r="C11" s="4" t="inlineStr"/>
      <c r="D11" s="4" t="inlineStr">
        <is>
          <t>US Great Lakes (Erie, Sandusky Bay, Saginaw Bay, Green Bay, Winnebago)</t>
        </is>
      </c>
      <c r="E11" s="4" t="inlineStr">
        <is>
          <t>raster</t>
        </is>
      </c>
      <c r="F11" s="4" t="inlineStr">
        <is>
          <t>2000-06-01 to 2024-11-15 (July-October blooms)</t>
        </is>
      </c>
      <c r="G11" s="4" t="n">
        <v>2024</v>
      </c>
      <c r="H11" s="4" t="inlineStr">
        <is>
          <t>open</t>
        </is>
      </c>
      <c r="I11" s="4" t="inlineStr">
        <is>
          <t>CC0 1.0 Universal</t>
        </is>
      </c>
      <c r="J11" s="4" t="inlineStr">
        <is>
          <t>open_download (HTTPS)</t>
        </is>
      </c>
      <c r="K11" s="4" t="inlineStr">
        <is>
          <t>csv; geotiff</t>
        </is>
      </c>
      <c r="L11" s="4" t="inlineStr"/>
      <c r="M11" s="4" t="inlineStr"/>
      <c r="N11" s="4" t="inlineStr"/>
      <c r="O11" s="19" t="inlineStr">
        <is>
          <t>Silver</t>
        </is>
      </c>
      <c r="P11" s="4" t="inlineStr"/>
      <c r="Q11" s="17" t="inlineStr">
        <is>
          <t>https://doi.org/10.25921/wzk1-r208</t>
        </is>
      </c>
      <c r="R11" s="4" t="inlineStr">
        <is>
          <t>us_noaa_ncei_greatlakes_cyano_hab_satellite</t>
        </is>
      </c>
    </row>
    <row r="12">
      <c r="A12" s="4" t="inlineStr">
        <is>
          <t>Data and Materials for: Statewide Intensification of Harmful Algal Blooms Across California Lakes and Reservoirs</t>
        </is>
      </c>
      <c r="B12" s="4" t="inlineStr">
        <is>
          <t>Mendeley Data (paper supplement)</t>
        </is>
      </c>
      <c r="C12" s="4" t="inlineStr"/>
      <c r="D12" s="4" t="inlineStr">
        <is>
          <t>California lakes and reservoirs</t>
        </is>
      </c>
      <c r="E12" s="4" t="inlineStr"/>
      <c r="F12" s="4" t="inlineStr">
        <is>
          <t>years not stated (published 2026-03-16)</t>
        </is>
      </c>
      <c r="G12" s="4" t="inlineStr"/>
      <c r="H12" s="4" t="inlineStr">
        <is>
          <t>open</t>
        </is>
      </c>
      <c r="I12" s="4" t="inlineStr">
        <is>
          <t>CC BY 4.0</t>
        </is>
      </c>
      <c r="J12" s="4" t="inlineStr">
        <is>
          <t>open_download ("Download All")</t>
        </is>
      </c>
      <c r="K12" s="4" t="inlineStr">
        <is>
          <t>not listed on page (shapefiles in description)</t>
        </is>
      </c>
      <c r="L12" s="4" t="inlineStr"/>
      <c r="M12" s="4" t="inlineStr"/>
      <c r="N12" s="4" t="inlineStr"/>
      <c r="O12" s="19" t="inlineStr">
        <is>
          <t>Silver</t>
        </is>
      </c>
      <c r="P12" s="4" t="inlineStr"/>
      <c r="Q12" s="17" t="inlineStr">
        <is>
          <t>https://doi.org/10.17632/66dm3vs3g2</t>
        </is>
      </c>
      <c r="R12" s="4" t="inlineStr">
        <is>
          <t>us_mendeley_california_lakes_hab_intensification</t>
        </is>
      </c>
    </row>
    <row r="13">
      <c r="A13" s="4" t="inlineStr">
        <is>
          <t>Daytime surface urban heat island intensity across 6022 global cities in summer 2019</t>
        </is>
      </c>
      <c r="B13" s="4" t="inlineStr">
        <is>
          <t>Zenodo deposit</t>
        </is>
      </c>
      <c r="C13" s="4" t="inlineStr"/>
      <c r="D13" s="4" t="inlineStr">
        <is>
          <t>6,022 cities worldwide</t>
        </is>
      </c>
      <c r="E13" s="4" t="inlineStr">
        <is>
          <t>point</t>
        </is>
      </c>
      <c r="F13" s="4" t="inlineStr">
        <is>
          <t>summer 2019 (single season)</t>
        </is>
      </c>
      <c r="G13" s="4" t="n">
        <v>2019</v>
      </c>
      <c r="H13" s="4" t="inlineStr">
        <is>
          <t>open</t>
        </is>
      </c>
      <c r="I13" s="4" t="inlineStr">
        <is>
          <t>CC BY 4.0</t>
        </is>
      </c>
      <c r="J13" s="4" t="inlineStr">
        <is>
          <t>open_download</t>
        </is>
      </c>
      <c r="K13" s="4" t="inlineStr">
        <is>
          <t>xlsx with coordinates</t>
        </is>
      </c>
      <c r="L13" s="4" t="inlineStr"/>
      <c r="M13" s="4" t="inlineStr"/>
      <c r="N13" s="4" t="inlineStr"/>
      <c r="O13" s="13" t="inlineStr">
        <is>
          <t>Gold</t>
        </is>
      </c>
      <c r="P13" s="4" t="inlineStr"/>
      <c r="Q13" s="17" t="inlineStr">
        <is>
          <t>https://doi.org/10.5281/zenodo.17644686</t>
        </is>
      </c>
      <c r="R13" s="4" t="inlineStr">
        <is>
          <t>global_zenodo_daytime_suhi_6022_cities_2019</t>
        </is>
      </c>
    </row>
    <row r="14">
      <c r="A14" s="4" t="inlineStr">
        <is>
          <t>Electronic Cigarette Laws</t>
        </is>
      </c>
      <c r="B14" s="4" t="inlineStr">
        <is>
          <t>Center for Public Health Law Research (Temple University; LawAtlas)</t>
        </is>
      </c>
      <c r="C14" s="4" t="inlineStr"/>
      <c r="D14" s="4" t="inlineStr">
        <is>
          <t>US (50 states + DC)</t>
        </is>
      </c>
      <c r="E14" s="4" t="inlineStr">
        <is>
          <t>state</t>
        </is>
      </c>
      <c r="F14" s="4" t="inlineStr">
        <is>
          <t>2016-08-01 to 2017-08-01</t>
        </is>
      </c>
      <c r="G14" s="4" t="n">
        <v>2017</v>
      </c>
      <c r="H14" s="4" t="inlineStr"/>
      <c r="I14" s="4" t="inlineStr"/>
      <c r="J14" s="4" t="inlineStr">
        <is>
          <t>registration</t>
        </is>
      </c>
      <c r="K14" s="4" t="inlineStr">
        <is>
          <t>not stated</t>
        </is>
      </c>
      <c r="L14" s="4" t="inlineStr"/>
      <c r="M14" s="4" t="inlineStr"/>
      <c r="N14" s="4" t="inlineStr"/>
      <c r="O14" s="19" t="inlineStr">
        <is>
          <t>Silver</t>
        </is>
      </c>
      <c r="P14" s="4" t="inlineStr"/>
      <c r="Q14" s="17" t="inlineStr">
        <is>
          <t>https://doi.org/10.60541/rq4m-pk67</t>
        </is>
      </c>
      <c r="R14" s="4" t="inlineStr">
        <is>
          <t>us_lawatlas_e_cigarette_laws</t>
        </is>
      </c>
    </row>
    <row r="15">
      <c r="A15" s="4" t="inlineStr">
        <is>
          <t>ERA5-Land weekly: Air temperature at 2 meter above surface, weekly time series for Europe at 1 km resolution (2016 - 2020)</t>
        </is>
      </c>
      <c r="B15" s="4" t="inlineStr">
        <is>
          <t>Zenodo deposit (OpenGeoHub)</t>
        </is>
      </c>
      <c r="C15" s="4" t="inlineStr"/>
      <c r="D15" s="4" t="inlineStr">
        <is>
          <t>Europe (EPSG:3035)</t>
        </is>
      </c>
      <c r="E15" s="4" t="inlineStr">
        <is>
          <t>grid_1km</t>
        </is>
      </c>
      <c r="F15" s="4" t="inlineStr">
        <is>
          <t>2016-01-01 to 2020-12-31, weekly</t>
        </is>
      </c>
      <c r="G15" s="4" t="n">
        <v>2020</v>
      </c>
      <c r="H15" s="4" t="inlineStr">
        <is>
          <t>open</t>
        </is>
      </c>
      <c r="I15" s="4" t="inlineStr">
        <is>
          <t>CC BY-SA 4.0</t>
        </is>
      </c>
      <c r="J15" s="4" t="inlineStr">
        <is>
          <t>open_download</t>
        </is>
      </c>
      <c r="K15" s="4" t="inlineStr">
        <is>
          <t>geotiff</t>
        </is>
      </c>
      <c r="L15" s="4" t="inlineStr"/>
      <c r="M15" s="4" t="inlineStr"/>
      <c r="N15" s="4" t="inlineStr"/>
      <c r="O15" s="13" t="inlineStr">
        <is>
          <t>Gold</t>
        </is>
      </c>
      <c r="P15" s="4" t="inlineStr"/>
      <c r="Q15" s="17" t="inlineStr">
        <is>
          <t>https://doi.org/10.5281/zenodo.6559121</t>
        </is>
      </c>
      <c r="R15" s="4" t="inlineStr">
        <is>
          <t>eu_zenodo_era5land_weekly_air_temperature_1km</t>
        </is>
      </c>
    </row>
    <row r="16">
      <c r="A16" s="4" t="inlineStr">
        <is>
          <t>Experimental Harmful Algal Bloom (HAB) bulletin forecast products and associated satellite imagery from Lake Erie from 2008-09-04 to 2016-11-01 created by the NOAA National Centers for Coastal Ocean Science</t>
        </is>
      </c>
      <c r="B16" s="4" t="inlineStr">
        <is>
          <t>NOAA NCEI / NOS</t>
        </is>
      </c>
      <c r="C16" s="4" t="inlineStr"/>
      <c r="D16" s="4" t="inlineStr">
        <is>
          <t>Lake Erie</t>
        </is>
      </c>
      <c r="E16" s="4" t="inlineStr">
        <is>
          <t>raster</t>
        </is>
      </c>
      <c r="F16" s="4" t="inlineStr">
        <is>
          <t>2008-09-04 to 2016-11-01</t>
        </is>
      </c>
      <c r="G16" s="4" t="n">
        <v>2016</v>
      </c>
      <c r="H16" s="4" t="inlineStr">
        <is>
          <t>open</t>
        </is>
      </c>
      <c r="I16" s="4" t="inlineStr">
        <is>
          <t>public domain (US Government work, 17 U.S.C. 105; federal rule applied)</t>
        </is>
      </c>
      <c r="J16" s="4" t="inlineStr">
        <is>
          <t>open_download (OneStop / NCEI browse; other options by contacting NCEI)</t>
        </is>
      </c>
      <c r="K16" s="4" t="inlineStr">
        <is>
          <t>geotiff; pdf</t>
        </is>
      </c>
      <c r="L16" s="4" t="inlineStr"/>
      <c r="M16" s="4" t="inlineStr"/>
      <c r="N16" s="4" t="inlineStr"/>
      <c r="O16" s="19" t="inlineStr">
        <is>
          <t>Silver</t>
        </is>
      </c>
      <c r="P16" s="4" t="inlineStr"/>
      <c r="Q16" s="17" t="inlineStr">
        <is>
          <t>https://doi.org/10.25921/q053-h813</t>
        </is>
      </c>
      <c r="R16" s="4" t="inlineStr">
        <is>
          <t>us_noaa_ncei_lake_erie_hab_bulletin_experimental</t>
        </is>
      </c>
    </row>
    <row r="17">
      <c r="A17" s="4" t="inlineStr">
        <is>
          <t>Global 0.05° daily mean land surface temperature product (2001-2023)</t>
        </is>
      </c>
      <c r="B17" s="4" t="inlineStr">
        <is>
          <t>Zenodo deposit</t>
        </is>
      </c>
      <c r="C17" s="4" t="inlineStr"/>
      <c r="D17" s="4" t="inlineStr">
        <is>
          <t>global</t>
        </is>
      </c>
      <c r="E17" s="4" t="inlineStr">
        <is>
          <t>grid_0.05deg</t>
        </is>
      </c>
      <c r="F17" s="4" t="inlineStr">
        <is>
          <t>2001-2023 in this record (1981-2000 is a separate record)</t>
        </is>
      </c>
      <c r="G17" s="4" t="n">
        <v>2023</v>
      </c>
      <c r="H17" s="4" t="inlineStr">
        <is>
          <t>open</t>
        </is>
      </c>
      <c r="I17" s="4" t="inlineStr">
        <is>
          <t>CC BY 4.0</t>
        </is>
      </c>
      <c r="J17" s="4" t="inlineStr">
        <is>
          <t>open_download (per-year RAR archives, 29.3 GB)</t>
        </is>
      </c>
      <c r="K17" s="4" t="inlineStr">
        <is>
          <t>RAR archives; inner format not stated</t>
        </is>
      </c>
      <c r="L17" s="4" t="inlineStr"/>
      <c r="M17" s="4" t="inlineStr"/>
      <c r="N17" s="4" t="inlineStr"/>
      <c r="O17" s="13" t="inlineStr">
        <is>
          <t>Gold</t>
        </is>
      </c>
      <c r="P17" s="4" t="inlineStr"/>
      <c r="Q17" s="17" t="inlineStr">
        <is>
          <t>https://doi.org/10.5281/zenodo.15187724</t>
        </is>
      </c>
      <c r="R17" s="4" t="inlineStr">
        <is>
          <t>global_zenodo_lst_005deg_daily_2001_2023</t>
        </is>
      </c>
    </row>
    <row r="18">
      <c r="A18" s="4" t="inlineStr">
        <is>
          <t>Global Gridded Relative Deprivation Index (GRDI), Version 1</t>
        </is>
      </c>
      <c r="B18" s="4" t="inlineStr">
        <is>
          <t>NASA SEDAC (CIESIN, Columbia University)</t>
        </is>
      </c>
      <c r="C18" s="4" t="inlineStr"/>
      <c r="D18" s="4" t="inlineStr">
        <is>
          <t>global (30 arc-second pixels)</t>
        </is>
      </c>
      <c r="E18" s="4" t="inlineStr">
        <is>
          <t>grid_1km</t>
        </is>
      </c>
      <c r="F18" s="4" t="inlineStr">
        <is>
          <t>2010-2020</t>
        </is>
      </c>
      <c r="G18" s="4" t="n">
        <v>2020</v>
      </c>
      <c r="H18" s="4" t="inlineStr">
        <is>
          <t>open</t>
        </is>
      </c>
      <c r="I18" s="4" t="inlineStr">
        <is>
          <t>CC BY 4.0</t>
        </is>
      </c>
      <c r="J18" s="4" t="inlineStr">
        <is>
          <t>open_download</t>
        </is>
      </c>
      <c r="K18" s="4" t="inlineStr">
        <is>
          <t>geotiff (zip)</t>
        </is>
      </c>
      <c r="L18" s="4" t="inlineStr"/>
      <c r="M18" s="4" t="inlineStr"/>
      <c r="N18" s="4" t="inlineStr"/>
      <c r="O18" s="13" t="inlineStr">
        <is>
          <t>Gold</t>
        </is>
      </c>
      <c r="P18" s="4" t="inlineStr"/>
      <c r="Q18" s="17" t="inlineStr">
        <is>
          <t>https://doi.org/10.7910/dvn/vosv99</t>
        </is>
      </c>
      <c r="R18" s="4" t="inlineStr">
        <is>
          <t>global_ciesin_grdi_v1</t>
        </is>
      </c>
    </row>
    <row r="19">
      <c r="A19" s="4" t="inlineStr">
        <is>
          <t>Global High Resolution Daily Urban Extreme Heat Exposure (UHE-Daily), 1983 - 2016</t>
        </is>
      </c>
      <c r="B19" s="4" t="inlineStr">
        <is>
          <t>NASA SEDAC (CIESIN, Columbia University)</t>
        </is>
      </c>
      <c r="C19" s="4" t="inlineStr"/>
      <c r="D19" s="4" t="inlineStr">
        <is>
          <t>global (&gt;10,000 urban settlements)</t>
        </is>
      </c>
      <c r="E19" s="4" t="inlineStr">
        <is>
          <t>polygon</t>
        </is>
      </c>
      <c r="F19" s="4" t="inlineStr">
        <is>
          <t>1983-01-01 to 2016-12-31, daily</t>
        </is>
      </c>
      <c r="G19" s="4" t="n">
        <v>2016</v>
      </c>
      <c r="H19" s="4" t="inlineStr">
        <is>
          <t>open</t>
        </is>
      </c>
      <c r="I19" s="4" t="inlineStr">
        <is>
          <t>"openly shared, without restriction" (EOSDIS Data Use and Citation Guidance)</t>
        </is>
      </c>
      <c r="J19" s="4" t="inlineStr">
        <is>
          <t>open_download (login not stated)</t>
        </is>
      </c>
      <c r="K19" s="4" t="inlineStr">
        <is>
          <t>shp; csv</t>
        </is>
      </c>
      <c r="L19" s="4" t="inlineStr"/>
      <c r="M19" s="4" t="inlineStr"/>
      <c r="N19" s="4" t="inlineStr"/>
      <c r="O19" s="19" t="inlineStr">
        <is>
          <t>Silver</t>
        </is>
      </c>
      <c r="P19" s="4" t="inlineStr"/>
      <c r="Q19" s="17" t="inlineStr">
        <is>
          <t>https://doi.org/10.7927/fq7g-ny13</t>
        </is>
      </c>
      <c r="R19" s="4" t="inlineStr">
        <is>
          <t>global_sedac_uhe_daily_1983_2016</t>
        </is>
      </c>
    </row>
    <row r="20">
      <c r="A20" s="4" t="inlineStr">
        <is>
          <t>Global Subnational Atlas of Poverty</t>
        </is>
      </c>
      <c r="B20" s="4" t="inlineStr">
        <is>
          <t>World Bank-derived panel (Harvard Dataverse deposit)</t>
        </is>
      </c>
      <c r="C20" s="4" t="inlineStr"/>
      <c r="D20" s="4" t="inlineStr">
        <is>
          <t>global</t>
        </is>
      </c>
      <c r="E20" s="4" t="inlineStr">
        <is>
          <t>admin1</t>
        </is>
      </c>
      <c r="F20" s="4" t="inlineStr">
        <is>
          <t>panel poverty rates; "version August 2022"; years not in the record metadata</t>
        </is>
      </c>
      <c r="G20" s="4" t="inlineStr"/>
      <c r="H20" s="4" t="inlineStr">
        <is>
          <t>open</t>
        </is>
      </c>
      <c r="I20" s="4" t="inlineStr">
        <is>
          <t>CC0 1.0</t>
        </is>
      </c>
      <c r="J20" s="4" t="inlineStr">
        <is>
          <t>open_download</t>
        </is>
      </c>
      <c r="K20" s="4" t="inlineStr">
        <is>
          <t>xlsx</t>
        </is>
      </c>
      <c r="L20" s="4" t="inlineStr"/>
      <c r="M20" s="4" t="inlineStr"/>
      <c r="N20" s="4" t="inlineStr"/>
      <c r="O20" s="19" t="inlineStr">
        <is>
          <t>Silver</t>
        </is>
      </c>
      <c r="P20" s="4" t="inlineStr"/>
      <c r="Q20" s="17" t="inlineStr">
        <is>
          <t>https://doi.org/10.7910/dvn/mlhfaf</t>
        </is>
      </c>
      <c r="R20" s="4" t="inlineStr">
        <is>
          <t>global_harvard_gsap_poverty_panel</t>
        </is>
      </c>
    </row>
    <row r="21">
      <c r="A21" s="4" t="inlineStr">
        <is>
          <t>Good Samaritan Overdose Prevention Laws</t>
        </is>
      </c>
      <c r="B21" s="4" t="inlineStr">
        <is>
          <t>PDAPS</t>
        </is>
      </c>
      <c r="C21" s="4" t="inlineStr"/>
      <c r="D21" s="4" t="inlineStr"/>
      <c r="E21" s="4" t="inlineStr">
        <is>
          <t>state (50 states + DC code; no local)</t>
        </is>
      </c>
      <c r="F21" s="4" t="inlineStr">
        <is>
          <t>2007-2023; effective dates: yes: per-state 'effective' and 'through' dates</t>
        </is>
      </c>
      <c r="G21" s="4" t="inlineStr"/>
      <c r="H21" s="4" t="inlineStr"/>
      <c r="I21" s="4" t="inlineStr">
        <is>
          <t>not stated on page; full pin citations behind paid subscription ($29/month)</t>
        </is>
      </c>
      <c r="J21" s="4" t="inlineStr">
        <is>
          <t>free account (web view); download not tested</t>
        </is>
      </c>
      <c r="K21" s="4" t="inlineStr"/>
      <c r="L21" s="4" t="inlineStr"/>
      <c r="M21" s="4" t="inlineStr"/>
      <c r="N21" s="4" t="inlineStr"/>
      <c r="O21" s="19" t="inlineStr">
        <is>
          <t>Silver</t>
        </is>
      </c>
      <c r="P21" s="4" t="inlineStr"/>
      <c r="Q21" s="17" t="inlineStr">
        <is>
          <t>https://pdaps.org/datasets/good-samaritan-overdose-laws-1501695153</t>
        </is>
      </c>
      <c r="R21" s="4" t="inlineStr">
        <is>
          <t>us_pdaps_good_samaritan_overdose_laws_1501695153</t>
        </is>
      </c>
    </row>
    <row r="22">
      <c r="A22" s="4" t="inlineStr">
        <is>
          <t>GridEX: A Dataset for Assessing the Area-wide Extreme Heat and Cold (EHE/ECE) Exposure in the United States: 2008-2022</t>
        </is>
      </c>
      <c r="B22" s="4" t="inlineStr">
        <is>
          <t>Harvard Dataverse deposit (GridEX; derived from NOAA ISD)</t>
        </is>
      </c>
      <c r="C22" s="4" t="inlineStr"/>
      <c r="D22" s="4" t="inlineStr">
        <is>
          <t>United States</t>
        </is>
      </c>
      <c r="E22" s="4" t="inlineStr">
        <is>
          <t>tract</t>
        </is>
      </c>
      <c r="F22" s="4" t="inlineStr">
        <is>
          <t>2008-2022</t>
        </is>
      </c>
      <c r="G22" s="4" t="n">
        <v>2022</v>
      </c>
      <c r="H22" s="4" t="inlineStr">
        <is>
          <t>open</t>
        </is>
      </c>
      <c r="I22" s="4" t="inlineStr">
        <is>
          <t>CC0 1.0</t>
        </is>
      </c>
      <c r="J22" s="4" t="inlineStr">
        <is>
          <t>open_download</t>
        </is>
      </c>
      <c r="K22" s="4" t="inlineStr">
        <is>
          <t>csv; rds; geotiff</t>
        </is>
      </c>
      <c r="L22" s="4" t="inlineStr"/>
      <c r="M22" s="4" t="inlineStr"/>
      <c r="N22" s="4" t="inlineStr"/>
      <c r="O22" s="13" t="inlineStr">
        <is>
          <t>Gold</t>
        </is>
      </c>
      <c r="P22" s="4" t="inlineStr"/>
      <c r="Q22" s="17" t="inlineStr">
        <is>
          <t>https://doi.org/10.7910/dvn/djgkdj</t>
        </is>
      </c>
      <c r="R22" s="4" t="inlineStr">
        <is>
          <t>us_gridex_extreme_heat_cold_events</t>
        </is>
      </c>
    </row>
    <row r="23">
      <c r="A23" s="4" t="inlineStr">
        <is>
          <t>HadISDH.extremes: gridded global monthly land surface wet bulb and dry bulb temperature extremes index data version 1.0.0.2022f</t>
        </is>
      </c>
      <c r="B23" s="4" t="inlineStr">
        <is>
          <t>Met Office Hadley Centre / CEDA</t>
        </is>
      </c>
      <c r="C23" s="4" t="inlineStr"/>
      <c r="D23" s="4" t="inlineStr">
        <is>
          <t>near-global land surface</t>
        </is>
      </c>
      <c r="E23" s="4" t="inlineStr">
        <is>
          <t>grid_5deg</t>
        </is>
      </c>
      <c r="F23" s="4" t="inlineStr">
        <is>
          <t>1973-2022, monthly</t>
        </is>
      </c>
      <c r="G23" s="4" t="n">
        <v>2022</v>
      </c>
      <c r="H23" s="4" t="inlineStr">
        <is>
          <t>open</t>
        </is>
      </c>
      <c r="I23" s="4" t="inlineStr">
        <is>
          <t>Open Government Licence v3.0</t>
        </is>
      </c>
      <c r="J23" s="4" t="inlineStr">
        <is>
          <t>open_download (web download; OPeNDAP)</t>
        </is>
      </c>
      <c r="K23" s="4" t="inlineStr">
        <is>
          <t>netcdf</t>
        </is>
      </c>
      <c r="L23" s="4" t="inlineStr"/>
      <c r="M23" s="4" t="inlineStr"/>
      <c r="N23" s="4" t="inlineStr"/>
      <c r="O23" s="19" t="inlineStr">
        <is>
          <t>Silver</t>
        </is>
      </c>
      <c r="P23" s="4" t="inlineStr"/>
      <c r="Q23" s="17" t="inlineStr">
        <is>
          <t>https://doi.org/10.5285/2d1613955e1b4cd1b156e5f3edbd7e66</t>
        </is>
      </c>
      <c r="R23" s="4" t="inlineStr">
        <is>
          <t>gb_ceda_hadisdh_extremes</t>
        </is>
      </c>
    </row>
    <row r="24">
      <c r="A24" s="4" t="inlineStr">
        <is>
          <t>Health Impact Assessment (HIA) Bills</t>
        </is>
      </c>
      <c r="B24" s="4" t="inlineStr">
        <is>
          <t>LawAtlas</t>
        </is>
      </c>
      <c r="C24" s="4" t="inlineStr"/>
      <c r="D24" s="4" t="inlineStr"/>
      <c r="E24" s="4" t="inlineStr">
        <is>
          <t>state (+DC/territories; 51 jurisdictions)</t>
        </is>
      </c>
      <c r="F24" s="4" t="inlineStr">
        <is>
          <t>2012-01-01 to 2016-12-31; effective dates: yes: Valid From / Updated Through on page; per-law effective dates in the download (not checked)</t>
        </is>
      </c>
      <c r="G24" s="4" t="inlineStr"/>
      <c r="H24" s="4" t="inlineStr"/>
      <c r="I24" s="4" t="inlineStr">
        <is>
          <t>not stated on page; 'Data Licensing' link target 404 under /data-licensing</t>
        </is>
      </c>
      <c r="J24" s="4" t="inlineStr">
        <is>
          <t>free account required to download data/codebook</t>
        </is>
      </c>
      <c r="K24" s="4" t="inlineStr"/>
      <c r="L24" s="4" t="inlineStr"/>
      <c r="M24" s="4" t="inlineStr"/>
      <c r="N24" s="4" t="inlineStr"/>
      <c r="O24" s="19" t="inlineStr">
        <is>
          <t>Silver</t>
        </is>
      </c>
      <c r="P24" s="4" t="inlineStr"/>
      <c r="Q24" s="17" t="inlineStr">
        <is>
          <t>https://lawatlas.org/datasets/hia-bills</t>
        </is>
      </c>
      <c r="R24" s="4" t="inlineStr">
        <is>
          <t>us_lawatlas_hia_bills</t>
        </is>
      </c>
    </row>
    <row r="25">
      <c r="A25" s="4" t="inlineStr">
        <is>
          <t>Home Health Care - Zip Codes</t>
        </is>
      </c>
      <c r="B25" s="4" t="inlineStr">
        <is>
          <t>CMS Provider Data Catalog</t>
        </is>
      </c>
      <c r="C25" s="4" t="inlineStr"/>
      <c r="D25" s="4" t="inlineStr"/>
      <c r="E25" s="4" t="inlineStr">
        <is>
          <t>ZIP (agency service areas)</t>
        </is>
      </c>
      <c r="F25" s="4" t="inlineStr">
        <is>
          <t>current snapshot; catalog 'modified' 2026-10-22, next update 2027-01-20</t>
        </is>
      </c>
      <c r="G25" s="4" t="inlineStr"/>
      <c r="H25" s="4" t="inlineStr">
        <is>
          <t>public_domain_us_federal</t>
        </is>
      </c>
      <c r="I25" s="4" t="inlineStr">
        <is>
          <t>not stated in catalog metadata (federal open data; unverified)</t>
        </is>
      </c>
      <c r="J25" s="4" t="inlineStr">
        <is>
          <t>open_download (CSV via DKAN API)</t>
        </is>
      </c>
      <c r="K25" s="4" t="inlineStr"/>
      <c r="L25" s="4" t="inlineStr"/>
      <c r="M25" s="4" t="inlineStr"/>
      <c r="N25" s="4" t="inlineStr"/>
      <c r="O25" s="19" t="inlineStr">
        <is>
          <t>Silver</t>
        </is>
      </c>
      <c r="P25" s="4" t="inlineStr"/>
      <c r="Q25" s="17" t="inlineStr">
        <is>
          <t>https://data.cms.gov/provider-data/dataset/m5eg-upu5</t>
        </is>
      </c>
      <c r="R25" s="4" t="inlineStr">
        <is>
          <t>us_cms_pdc_m5eg_upu5</t>
        </is>
      </c>
    </row>
    <row r="26">
      <c r="A26" s="4" t="inlineStr">
        <is>
          <t>Hospice - Zip Data</t>
        </is>
      </c>
      <c r="B26" s="4" t="inlineStr">
        <is>
          <t>CMS Provider Data Catalog</t>
        </is>
      </c>
      <c r="C26" s="4" t="inlineStr"/>
      <c r="D26" s="4" t="inlineStr"/>
      <c r="E26" s="4" t="inlineStr">
        <is>
          <t>ZIP (hospice service ZIPs)</t>
        </is>
      </c>
      <c r="F26" s="4" t="inlineStr">
        <is>
          <t>current snapshot; catalog 'modified' 2026-10-22, next update 2027-01-20</t>
        </is>
      </c>
      <c r="G26" s="4" t="inlineStr"/>
      <c r="H26" s="4" t="inlineStr">
        <is>
          <t>public_domain_us_federal</t>
        </is>
      </c>
      <c r="I26" s="4" t="inlineStr">
        <is>
          <t>not stated in catalog metadata (federal open data; unverified)</t>
        </is>
      </c>
      <c r="J26" s="4" t="inlineStr">
        <is>
          <t>open_download (CSV via DKAN API)</t>
        </is>
      </c>
      <c r="K26" s="4" t="inlineStr"/>
      <c r="L26" s="4" t="inlineStr"/>
      <c r="M26" s="4" t="inlineStr"/>
      <c r="N26" s="4" t="inlineStr"/>
      <c r="O26" s="19" t="inlineStr">
        <is>
          <t>Silver</t>
        </is>
      </c>
      <c r="P26" s="4" t="inlineStr"/>
      <c r="Q26" s="17" t="inlineStr">
        <is>
          <t>https://data.cms.gov/provider-data/dataset/95rg-2usp</t>
        </is>
      </c>
      <c r="R26" s="4" t="inlineStr">
        <is>
          <t>us_cms_pdc_95rg_2usp</t>
        </is>
      </c>
    </row>
    <row r="27">
      <c r="A27" s="4" t="inlineStr">
        <is>
          <t>Inpatient Rehabilitation Facility - General Information</t>
        </is>
      </c>
      <c r="B27" s="4" t="inlineStr">
        <is>
          <t>CMS Provider Data Catalog</t>
        </is>
      </c>
      <c r="C27" s="4" t="inlineStr"/>
      <c r="D27" s="4" t="inlineStr"/>
      <c r="E27" s="4" t="inlineStr">
        <is>
          <t>facility (address, ZIP)</t>
        </is>
      </c>
      <c r="F27" s="4" t="inlineStr">
        <is>
          <t>current snapshot; catalog 'modified' 2026-10-22, next update 2027-01-20</t>
        </is>
      </c>
      <c r="G27" s="4" t="inlineStr"/>
      <c r="H27" s="4" t="inlineStr">
        <is>
          <t>public_domain_us_federal</t>
        </is>
      </c>
      <c r="I27" s="4" t="inlineStr">
        <is>
          <t>not stated in catalog metadata (federal open data; unverified)</t>
        </is>
      </c>
      <c r="J27" s="4" t="inlineStr">
        <is>
          <t>open_download (CSV via DKAN API)</t>
        </is>
      </c>
      <c r="K27" s="4" t="inlineStr"/>
      <c r="L27" s="4" t="inlineStr"/>
      <c r="M27" s="4" t="inlineStr"/>
      <c r="N27" s="4" t="inlineStr"/>
      <c r="O27" s="19" t="inlineStr">
        <is>
          <t>Silver</t>
        </is>
      </c>
      <c r="P27" s="4" t="inlineStr"/>
      <c r="Q27" s="17" t="inlineStr">
        <is>
          <t>https://data.cms.gov/provider-data/dataset/7t8x-u3ir</t>
        </is>
      </c>
      <c r="R27" s="4" t="inlineStr">
        <is>
          <t>us_cms_pdc_7t8x_u3ir</t>
        </is>
      </c>
    </row>
    <row r="28">
      <c r="A28" s="4" t="inlineStr">
        <is>
          <t>Legal Landscape of Gabapentin Drug Scheduling and Required Prescription Drug Monitoring</t>
        </is>
      </c>
      <c r="B28" s="4" t="inlineStr">
        <is>
          <t>Center for Public Health Law Research (Temple University; LawAtlas)</t>
        </is>
      </c>
      <c r="C28" s="4" t="inlineStr"/>
      <c r="D28" s="4" t="inlineStr">
        <is>
          <t>US (50 states + DC)</t>
        </is>
      </c>
      <c r="E28" s="4" t="inlineStr">
        <is>
          <t>state</t>
        </is>
      </c>
      <c r="F28" s="4" t="inlineStr">
        <is>
          <t>2016-01-01 to 2024-12-31</t>
        </is>
      </c>
      <c r="G28" s="4" t="n">
        <v>2024</v>
      </c>
      <c r="H28" s="4" t="inlineStr"/>
      <c r="I28" s="4" t="inlineStr"/>
      <c r="J28" s="4" t="inlineStr">
        <is>
          <t>registration</t>
        </is>
      </c>
      <c r="K28" s="4" t="inlineStr">
        <is>
          <t>not stated</t>
        </is>
      </c>
      <c r="L28" s="4" t="inlineStr"/>
      <c r="M28" s="4" t="inlineStr"/>
      <c r="N28" s="4" t="inlineStr"/>
      <c r="O28" s="19" t="inlineStr">
        <is>
          <t>Silver</t>
        </is>
      </c>
      <c r="P28" s="4" t="inlineStr"/>
      <c r="Q28" s="17" t="inlineStr">
        <is>
          <t>https://doi.org/10.60541/fe0h-sx30</t>
        </is>
      </c>
      <c r="R28" s="4" t="inlineStr">
        <is>
          <t>us_lawatlas_gabapentin_scheduling_pdmp_laws</t>
        </is>
      </c>
    </row>
    <row r="29">
      <c r="A29" s="4" t="inlineStr">
        <is>
          <t>Local Eviction Laws</t>
        </is>
      </c>
      <c r="B29" s="4" t="inlineStr">
        <is>
          <t>LawAtlas</t>
        </is>
      </c>
      <c r="C29" s="4" t="inlineStr"/>
      <c r="D29" s="4" t="inlineStr"/>
      <c r="E29" s="4" t="inlineStr">
        <is>
          <t>city (30 cities)</t>
        </is>
      </c>
      <c r="F29" s="4" t="inlineStr">
        <is>
          <t>2021-01-01 (single date); effective dates: yes: Valid From / Updated Through on page; per-law effective dates in the download (not checked)</t>
        </is>
      </c>
      <c r="G29" s="4" t="inlineStr"/>
      <c r="H29" s="4" t="inlineStr"/>
      <c r="I29" s="4" t="inlineStr">
        <is>
          <t>not stated on page; 'Data Licensing' link target 404 under /data-licensing</t>
        </is>
      </c>
      <c r="J29" s="4" t="inlineStr">
        <is>
          <t>free account required to download data/codebook</t>
        </is>
      </c>
      <c r="K29" s="4" t="inlineStr"/>
      <c r="L29" s="4" t="inlineStr"/>
      <c r="M29" s="4" t="inlineStr"/>
      <c r="N29" s="4" t="inlineStr"/>
      <c r="O29" s="19" t="inlineStr">
        <is>
          <t>Silver</t>
        </is>
      </c>
      <c r="P29" s="4" t="inlineStr"/>
      <c r="Q29" s="17" t="inlineStr">
        <is>
          <t>https://lawatlas.org/datasets/local-eviction-laws</t>
        </is>
      </c>
      <c r="R29" s="4" t="inlineStr">
        <is>
          <t>us_lawatlas_local_eviction_laws</t>
        </is>
      </c>
    </row>
    <row r="30">
      <c r="A30" s="4" t="inlineStr">
        <is>
          <t>Long-Term Care Hospital - General Information</t>
        </is>
      </c>
      <c r="B30" s="4" t="inlineStr">
        <is>
          <t>CMS Provider Data Catalog</t>
        </is>
      </c>
      <c r="C30" s="4" t="inlineStr"/>
      <c r="D30" s="4" t="inlineStr"/>
      <c r="E30" s="4" t="inlineStr">
        <is>
          <t>facility (address, ZIP)</t>
        </is>
      </c>
      <c r="F30" s="4" t="inlineStr">
        <is>
          <t>current snapshot; catalog 'modified' 2026-10-22, next update 2027-01-20</t>
        </is>
      </c>
      <c r="G30" s="4" t="inlineStr"/>
      <c r="H30" s="4" t="inlineStr">
        <is>
          <t>public_domain_us_federal</t>
        </is>
      </c>
      <c r="I30" s="4" t="inlineStr">
        <is>
          <t>not stated in catalog metadata (federal open data; unverified)</t>
        </is>
      </c>
      <c r="J30" s="4" t="inlineStr">
        <is>
          <t>open_download (CSV via DKAN API)</t>
        </is>
      </c>
      <c r="K30" s="4" t="inlineStr"/>
      <c r="L30" s="4" t="inlineStr"/>
      <c r="M30" s="4" t="inlineStr"/>
      <c r="N30" s="4" t="inlineStr"/>
      <c r="O30" s="19" t="inlineStr">
        <is>
          <t>Silver</t>
        </is>
      </c>
      <c r="P30" s="4" t="inlineStr"/>
      <c r="Q30" s="17" t="inlineStr">
        <is>
          <t>https://data.cms.gov/provider-data/dataset/azum-44iv</t>
        </is>
      </c>
      <c r="R30" s="4" t="inlineStr">
        <is>
          <t>us_cms_pdc_azum_44iv</t>
        </is>
      </c>
    </row>
    <row r="31">
      <c r="A31" s="4" t="inlineStr">
        <is>
          <t>MODIS/Terra Land Surface Temperature/Emissivity Daily L3 Global 1km SIN Grid V061</t>
        </is>
      </c>
      <c r="B31" s="4" t="inlineStr">
        <is>
          <t>NASA LP DAAC</t>
        </is>
      </c>
      <c r="C31" s="4" t="inlineStr"/>
      <c r="D31" s="4" t="inlineStr">
        <is>
          <t>global (sinusoidal tiles)</t>
        </is>
      </c>
      <c r="E31" s="4" t="inlineStr">
        <is>
          <t>raster</t>
        </is>
      </c>
      <c r="F31" s="4" t="inlineStr">
        <is>
          <t>2000-02-24 to present, daily</t>
        </is>
      </c>
      <c r="G31" s="4" t="n">
        <v>2026</v>
      </c>
      <c r="H31" s="4" t="inlineStr">
        <is>
          <t>open</t>
        </is>
      </c>
      <c r="I31" s="4" t="inlineStr">
        <is>
          <t>"openly shared, without restriction" (EOSDIS Data Use and Citation Guidance)</t>
        </is>
      </c>
      <c r="J31" s="4" t="inlineStr">
        <is>
          <t>open_download (login not stated; cloud-enabled)</t>
        </is>
      </c>
      <c r="K31" s="4" t="inlineStr">
        <is>
          <t>HDF-EOS2 (.hdf)</t>
        </is>
      </c>
      <c r="L31" s="4" t="inlineStr"/>
      <c r="M31" s="4" t="inlineStr"/>
      <c r="N31" s="4" t="inlineStr"/>
      <c r="O31" s="19" t="inlineStr">
        <is>
          <t>Silver</t>
        </is>
      </c>
      <c r="P31" s="4" t="inlineStr"/>
      <c r="Q31" s="17" t="inlineStr">
        <is>
          <t>https://doi.org/10.5067/modis/mod11a1.061</t>
        </is>
      </c>
      <c r="R31" s="4" t="inlineStr">
        <is>
          <t>global_nasa_mod11a1_v061</t>
        </is>
      </c>
    </row>
    <row r="32">
      <c r="A32" s="4" t="inlineStr">
        <is>
          <t>Naloxone Overdose Prevention Laws</t>
        </is>
      </c>
      <c r="B32" s="4" t="inlineStr">
        <is>
          <t>PDAPS</t>
        </is>
      </c>
      <c r="C32" s="4" t="inlineStr"/>
      <c r="D32" s="4" t="inlineStr"/>
      <c r="E32" s="4" t="inlineStr">
        <is>
          <t>state (50 states + DC code; no local)</t>
        </is>
      </c>
      <c r="F32" s="4" t="inlineStr">
        <is>
          <t>2001-2022; effective dates: yes: per-state 'effective' and 'through' dates</t>
        </is>
      </c>
      <c r="G32" s="4" t="inlineStr"/>
      <c r="H32" s="4" t="inlineStr"/>
      <c r="I32" s="4" t="inlineStr">
        <is>
          <t>not stated on page; full pin citations behind paid subscription ($29/month)</t>
        </is>
      </c>
      <c r="J32" s="4" t="inlineStr">
        <is>
          <t>free account (web view); download not tested</t>
        </is>
      </c>
      <c r="K32" s="4" t="inlineStr"/>
      <c r="L32" s="4" t="inlineStr"/>
      <c r="M32" s="4" t="inlineStr"/>
      <c r="N32" s="4" t="inlineStr"/>
      <c r="O32" s="19" t="inlineStr">
        <is>
          <t>Silver</t>
        </is>
      </c>
      <c r="P32" s="4" t="inlineStr"/>
      <c r="Q32" s="17" t="inlineStr">
        <is>
          <t>https://pdaps.org/datasets/laws-regulating-administration-of-naloxone-1501695139</t>
        </is>
      </c>
      <c r="R32" s="4" t="inlineStr">
        <is>
          <t>us_pdaps_laws_regulating_administration_of_naloxone_1501695</t>
        </is>
      </c>
    </row>
    <row r="33">
      <c r="A33" s="4" t="inlineStr">
        <is>
          <t>National Multidimensional Poverty Index</t>
        </is>
      </c>
      <c r="B33" s="4" t="inlineStr">
        <is>
          <t>NITI Aayog (via Climateverse India)</t>
        </is>
      </c>
      <c r="C33" s="4" t="inlineStr"/>
      <c r="D33" s="4" t="inlineStr">
        <is>
          <t>India (state and district)</t>
        </is>
      </c>
      <c r="E33" s="4" t="inlineStr">
        <is>
          <t>admin2</t>
        </is>
      </c>
      <c r="F33" s="4" t="inlineStr">
        <is>
          <t>2015-2023</t>
        </is>
      </c>
      <c r="G33" s="4" t="n">
        <v>2023</v>
      </c>
      <c r="H33" s="4" t="inlineStr">
        <is>
          <t>open</t>
        </is>
      </c>
      <c r="I33" s="4" t="inlineStr">
        <is>
          <t>CC0 1.0</t>
        </is>
      </c>
      <c r="J33" s="4" t="inlineStr">
        <is>
          <t>record lists only codebook.json/codebook.md; data files not listed</t>
        </is>
      </c>
      <c r="K33" s="4" t="inlineStr">
        <is>
          <t>codebook only (json; md)</t>
        </is>
      </c>
      <c r="L33" s="4" t="inlineStr"/>
      <c r="M33" s="4" t="inlineStr"/>
      <c r="N33" s="4" t="inlineStr"/>
      <c r="O33" s="19" t="inlineStr">
        <is>
          <t>Silver</t>
        </is>
      </c>
      <c r="P33" s="4" t="inlineStr"/>
      <c r="Q33" s="17" t="inlineStr">
        <is>
          <t>https://doi.org/10.71646/ljsccn</t>
        </is>
      </c>
      <c r="R33" s="4" t="inlineStr">
        <is>
          <t>in_climateverse_national_mpi_state_district</t>
        </is>
      </c>
    </row>
    <row r="34">
      <c r="A34" s="4" t="inlineStr">
        <is>
          <t>National Poverty Line  - Subnational Poverty</t>
        </is>
      </c>
      <c r="B34" s="4" t="inlineStr">
        <is>
          <t>The World Bank</t>
        </is>
      </c>
      <c r="C34" s="4" t="inlineStr"/>
      <c r="D34" s="4" t="inlineStr">
        <is>
          <t>world (national poverty lines)</t>
        </is>
      </c>
      <c r="E34" s="4" t="inlineStr">
        <is>
          <t>admin1</t>
        </is>
      </c>
      <c r="F34" s="4" t="inlineStr">
        <is>
          <t>1992-2016, annual</t>
        </is>
      </c>
      <c r="G34" s="4" t="n">
        <v>2016</v>
      </c>
      <c r="H34" s="4" t="inlineStr">
        <is>
          <t>open</t>
        </is>
      </c>
      <c r="I34" s="4" t="inlineStr">
        <is>
          <t>CC BY 4.0</t>
        </is>
      </c>
      <c r="J34" s="4" t="inlineStr">
        <is>
          <t>open_download (via Databank; CSV/Excel zip)</t>
        </is>
      </c>
      <c r="K34" s="4" t="inlineStr">
        <is>
          <t>csv; xlsx (zip)</t>
        </is>
      </c>
      <c r="L34" s="4" t="inlineStr"/>
      <c r="M34" s="4" t="inlineStr"/>
      <c r="N34" s="4" t="inlineStr"/>
      <c r="O34" s="13" t="inlineStr">
        <is>
          <t>Gold</t>
        </is>
      </c>
      <c r="P34" s="4" t="inlineStr"/>
      <c r="Q34" s="17" t="inlineStr">
        <is>
          <t>https://doi.org/10.57966/tk74-ep75</t>
        </is>
      </c>
      <c r="R34" s="4" t="inlineStr">
        <is>
          <t>global_worldbank_national_poverty_line_subnational</t>
        </is>
      </c>
    </row>
    <row r="35">
      <c r="A35" s="4" t="inlineStr">
        <is>
          <t>Neighborhood Deprivation Index for year 2010, using the 2010 census geographic boundaries</t>
        </is>
      </c>
      <c r="B35" s="4" t="inlineStr">
        <is>
          <t>CEHI Data Hub</t>
        </is>
      </c>
      <c r="C35" s="4" t="inlineStr"/>
      <c r="D35" s="4" t="inlineStr">
        <is>
          <t>USA (all states)</t>
        </is>
      </c>
      <c r="E35" s="4" t="inlineStr">
        <is>
          <t>tract</t>
        </is>
      </c>
      <c r="F35" s="4" t="inlineStr">
        <is>
          <t>2010 (single year)</t>
        </is>
      </c>
      <c r="G35" s="4" t="n">
        <v>2010</v>
      </c>
      <c r="H35" s="4" t="inlineStr"/>
      <c r="I35" s="4" t="inlineStr"/>
      <c r="J35" s="4" t="inlineStr">
        <is>
          <t>"Access Restriction: Not available"; login not stated</t>
        </is>
      </c>
      <c r="K35" s="4" t="inlineStr">
        <is>
          <t>csv</t>
        </is>
      </c>
      <c r="L35" s="4" t="inlineStr"/>
      <c r="M35" s="4" t="inlineStr"/>
      <c r="N35" s="4" t="inlineStr"/>
      <c r="O35" s="19" t="inlineStr">
        <is>
          <t>Silver</t>
        </is>
      </c>
      <c r="P35" s="4" t="inlineStr"/>
      <c r="Q35" s="17" t="inlineStr">
        <is>
          <t>https://doi.org/10.25614/ndi_2010_trt_allstates</t>
        </is>
      </c>
      <c r="R35" s="4" t="inlineStr">
        <is>
          <t>us_cehi_ndi_2010_tract</t>
        </is>
      </c>
    </row>
    <row r="36">
      <c r="A36" s="4" t="inlineStr">
        <is>
          <t>NOAA nClimGrid-Daily Version 1 – Daily gridded temperature and precipitation for the Contiguous United States since 1951</t>
        </is>
      </c>
      <c r="B36" s="4" t="inlineStr">
        <is>
          <t>NOAA NCEI</t>
        </is>
      </c>
      <c r="C36" s="4" t="inlineStr"/>
      <c r="D36" s="4" t="inlineStr">
        <is>
          <t>contiguous US</t>
        </is>
      </c>
      <c r="E36" s="4" t="inlineStr">
        <is>
          <t>grid_5km</t>
        </is>
      </c>
      <c r="F36" s="4" t="inlineStr">
        <is>
          <t>1951-01-01 to present, daily</t>
        </is>
      </c>
      <c r="G36" s="4" t="n">
        <v>2026</v>
      </c>
      <c r="H36" s="4" t="inlineStr">
        <is>
          <t>open</t>
        </is>
      </c>
      <c r="I36" s="4" t="inlineStr">
        <is>
          <t>public domain (US Government work, 17 U.S.C. 105; federal rule applied)</t>
        </is>
      </c>
      <c r="J36" s="4" t="inlineStr">
        <is>
          <t>open_download (direct, THREDDS, AWS S3)</t>
        </is>
      </c>
      <c r="K36" s="4" t="inlineStr">
        <is>
          <t>netcdf; csv</t>
        </is>
      </c>
      <c r="L36" s="4" t="inlineStr"/>
      <c r="M36" s="4" t="inlineStr"/>
      <c r="N36" s="4" t="inlineStr"/>
      <c r="O36" s="13" t="inlineStr">
        <is>
          <t>Gold</t>
        </is>
      </c>
      <c r="P36" s="4" t="inlineStr"/>
      <c r="Q36" s="17" t="inlineStr">
        <is>
          <t>https://doi.org/10.25921/c4gt-r169</t>
        </is>
      </c>
      <c r="R36" s="4" t="inlineStr">
        <is>
          <t>us_noaa_nclimgrid_daily</t>
        </is>
      </c>
    </row>
    <row r="37">
      <c r="A37" s="4" t="inlineStr">
        <is>
          <t>Poverty Mapping Project: Global Subnational Infant Mortality Rates</t>
        </is>
      </c>
      <c r="B37" s="4" t="inlineStr">
        <is>
          <t>CIESIN (Columbia University), Poverty Mapping Project</t>
        </is>
      </c>
      <c r="C37" s="4" t="inlineStr"/>
      <c r="D37" s="4" t="inlineStr">
        <is>
          <t>global (country list in record)</t>
        </is>
      </c>
      <c r="E37" s="4" t="inlineStr">
        <is>
          <t>polygon</t>
        </is>
      </c>
      <c r="F37" s="4" t="inlineStr">
        <is>
          <t>2000 (single year)</t>
        </is>
      </c>
      <c r="G37" s="4" t="n">
        <v>2000</v>
      </c>
      <c r="H37" s="4" t="inlineStr">
        <is>
          <t>open</t>
        </is>
      </c>
      <c r="I37" s="4" t="inlineStr">
        <is>
          <t>CC BY 4.0</t>
        </is>
      </c>
      <c r="J37" s="4" t="inlineStr">
        <is>
          <t>open_download</t>
        </is>
      </c>
      <c r="K37" s="4" t="inlineStr">
        <is>
          <t>shp; grid; xls; tabular zip</t>
        </is>
      </c>
      <c r="L37" s="4" t="inlineStr"/>
      <c r="M37" s="4" t="inlineStr"/>
      <c r="N37" s="4" t="inlineStr"/>
      <c r="O37" s="19" t="inlineStr">
        <is>
          <t>Silver</t>
        </is>
      </c>
      <c r="P37" s="4" t="inlineStr"/>
      <c r="Q37" s="17" t="inlineStr">
        <is>
          <t>https://doi.org/10.7910/dvn/wtnahq</t>
        </is>
      </c>
      <c r="R37" s="4" t="inlineStr">
        <is>
          <t>global_ciesin_povmap_subnational_infant_mortality</t>
        </is>
      </c>
    </row>
    <row r="38">
      <c r="A38" s="4" t="inlineStr">
        <is>
          <t>Poverty Mapping Project: Global Subnational Prevalence of Child Malnutrition</t>
        </is>
      </c>
      <c r="B38" s="4" t="inlineStr">
        <is>
          <t>CIESIN (Columbia University), Poverty Mapping Project</t>
        </is>
      </c>
      <c r="C38" s="4" t="inlineStr"/>
      <c r="D38" s="4" t="inlineStr">
        <is>
          <t>global (country list in record)</t>
        </is>
      </c>
      <c r="E38" s="4" t="inlineStr">
        <is>
          <t>polygon</t>
        </is>
      </c>
      <c r="F38" s="4" t="inlineStr">
        <is>
          <t>1990-2002 (most recent subnational year per country)</t>
        </is>
      </c>
      <c r="G38" s="4" t="n">
        <v>2002</v>
      </c>
      <c r="H38" s="4" t="inlineStr">
        <is>
          <t>open</t>
        </is>
      </c>
      <c r="I38" s="4" t="inlineStr">
        <is>
          <t>CC BY 4.0</t>
        </is>
      </c>
      <c r="J38" s="4" t="inlineStr">
        <is>
          <t>open_download</t>
        </is>
      </c>
      <c r="K38" s="4" t="inlineStr">
        <is>
          <t>shp; grid; tabular zip</t>
        </is>
      </c>
      <c r="L38" s="4" t="inlineStr"/>
      <c r="M38" s="4" t="inlineStr"/>
      <c r="N38" s="4" t="inlineStr"/>
      <c r="O38" s="19" t="inlineStr">
        <is>
          <t>Silver</t>
        </is>
      </c>
      <c r="P38" s="4" t="inlineStr"/>
      <c r="Q38" s="17" t="inlineStr">
        <is>
          <t>https://doi.org/10.7910/dvn/0ljjoj</t>
        </is>
      </c>
      <c r="R38" s="4" t="inlineStr">
        <is>
          <t>global_ciesin_povmap_subnational_child_malnutrition</t>
        </is>
      </c>
    </row>
    <row r="39">
      <c r="A39" s="4" t="inlineStr">
        <is>
          <t>Poverty Mapping Project: Small Area Estimates of Poverty and Inequality</t>
        </is>
      </c>
      <c r="B39" s="4" t="inlineStr">
        <is>
          <t>CIESIN (Columbia University), Poverty Mapping Project</t>
        </is>
      </c>
      <c r="C39" s="4" t="inlineStr"/>
      <c r="D39" s="4" t="inlineStr">
        <is>
          <t>about twenty countries (record text)</t>
        </is>
      </c>
      <c r="E39" s="4" t="inlineStr">
        <is>
          <t>polygon</t>
        </is>
      </c>
      <c r="F39" s="4" t="inlineStr">
        <is>
          <t>1990-2002</t>
        </is>
      </c>
      <c r="G39" s="4" t="n">
        <v>2002</v>
      </c>
      <c r="H39" s="4" t="inlineStr">
        <is>
          <t>open</t>
        </is>
      </c>
      <c r="I39" s="4" t="inlineStr">
        <is>
          <t>CC BY 4.0</t>
        </is>
      </c>
      <c r="J39" s="4" t="inlineStr">
        <is>
          <t>open_download</t>
        </is>
      </c>
      <c r="K39" s="4" t="inlineStr">
        <is>
          <t>shp; csv/tabular zip; centroid zip</t>
        </is>
      </c>
      <c r="L39" s="4" t="inlineStr"/>
      <c r="M39" s="4" t="inlineStr"/>
      <c r="N39" s="4" t="inlineStr"/>
      <c r="O39" s="19" t="inlineStr">
        <is>
          <t>Silver</t>
        </is>
      </c>
      <c r="P39" s="4" t="inlineStr"/>
      <c r="Q39" s="17" t="inlineStr">
        <is>
          <t>https://doi.org/10.7910/dvn/rkrw8q</t>
        </is>
      </c>
      <c r="R39" s="4" t="inlineStr">
        <is>
          <t>global_ciesin_povmap_small_area_poverty_inequality</t>
        </is>
      </c>
    </row>
    <row r="40">
      <c r="A40" s="4" t="inlineStr">
        <is>
          <t>Prescription Drug Monitoring Program Laws: Reporting, Mandates &amp; Access</t>
        </is>
      </c>
      <c r="B40" s="4" t="inlineStr">
        <is>
          <t>LawAtlas</t>
        </is>
      </c>
      <c r="C40" s="4" t="inlineStr"/>
      <c r="D40" s="4" t="inlineStr"/>
      <c r="E40" s="4" t="inlineStr">
        <is>
          <t>state (+DC/territories; 51 jurisdictions)</t>
        </is>
      </c>
      <c r="F40" s="4" t="inlineStr">
        <is>
          <t>2014-01-01 to 2023-12-31; effective dates: yes: Valid From / Updated Through on page; per-law effective dates in the download (not checked)</t>
        </is>
      </c>
      <c r="G40" s="4" t="inlineStr"/>
      <c r="H40" s="4" t="inlineStr"/>
      <c r="I40" s="4" t="inlineStr">
        <is>
          <t>not stated on page; 'Data Licensing' link target 404 under /data-licensing</t>
        </is>
      </c>
      <c r="J40" s="4" t="inlineStr">
        <is>
          <t>free account required to download data/codebook</t>
        </is>
      </c>
      <c r="K40" s="4" t="inlineStr"/>
      <c r="L40" s="4" t="inlineStr"/>
      <c r="M40" s="4" t="inlineStr"/>
      <c r="N40" s="4" t="inlineStr"/>
      <c r="O40" s="19" t="inlineStr">
        <is>
          <t>Silver</t>
        </is>
      </c>
      <c r="P40" s="4" t="inlineStr"/>
      <c r="Q40" s="17" t="inlineStr">
        <is>
          <t>https://lawatlas.org/datasets/prescription-drug-monitoring-program-laws-reporting-mandates-access-2014-2023</t>
        </is>
      </c>
      <c r="R40" s="4" t="inlineStr">
        <is>
          <t>us_lawatlas_prescription_drug_monitoring_program_laws_reportin</t>
        </is>
      </c>
    </row>
    <row r="41">
      <c r="A41" s="4" t="inlineStr">
        <is>
          <t>Prescription Drug Monitoring Program Laws: Reporting, Mandates &amp; Access, 2014-2019</t>
        </is>
      </c>
      <c r="B41" s="4" t="inlineStr">
        <is>
          <t>PDAPS</t>
        </is>
      </c>
      <c r="C41" s="4" t="inlineStr"/>
      <c r="D41" s="4" t="inlineStr"/>
      <c r="E41" s="4" t="inlineStr">
        <is>
          <t>state (50 states + DC code; no local)</t>
        </is>
      </c>
      <c r="F41" s="4" t="inlineStr">
        <is>
          <t>2014-2019; effective dates: yes: per-state 'effective' and 'through' dates</t>
        </is>
      </c>
      <c r="G41" s="4" t="inlineStr"/>
      <c r="H41" s="4" t="inlineStr"/>
      <c r="I41" s="4" t="inlineStr">
        <is>
          <t>not stated on page; full pin citations behind paid subscription ($29/month)</t>
        </is>
      </c>
      <c r="J41" s="4" t="inlineStr">
        <is>
          <t>free account (web view); download not tested</t>
        </is>
      </c>
      <c r="K41" s="4" t="inlineStr"/>
      <c r="L41" s="4" t="inlineStr"/>
      <c r="M41" s="4" t="inlineStr"/>
      <c r="N41" s="4" t="inlineStr"/>
      <c r="O41" s="19" t="inlineStr">
        <is>
          <t>Silver</t>
        </is>
      </c>
      <c r="P41" s="4" t="inlineStr"/>
      <c r="Q41" s="17" t="inlineStr">
        <is>
          <t>https://pdaps.org/datasets/pdmp-mandates</t>
        </is>
      </c>
      <c r="R41" s="4" t="inlineStr">
        <is>
          <t>us_pdaps_pdmp_mandates</t>
        </is>
      </c>
    </row>
    <row r="42">
      <c r="A42" s="4" t="inlineStr">
        <is>
          <t>Prescription Drug Monitoring Program Laws: Reporting, Mandates &amp; Access, 2014-2023</t>
        </is>
      </c>
      <c r="B42" s="4" t="inlineStr">
        <is>
          <t>Center for Public Health Law Research (Temple University; LawAtlas)</t>
        </is>
      </c>
      <c r="C42" s="4" t="inlineStr"/>
      <c r="D42" s="4" t="inlineStr">
        <is>
          <t>US (50 states + DC)</t>
        </is>
      </c>
      <c r="E42" s="4" t="inlineStr">
        <is>
          <t>state</t>
        </is>
      </c>
      <c r="F42" s="4" t="inlineStr">
        <is>
          <t>2014-01-01 to 2023-12-31 (updated through)</t>
        </is>
      </c>
      <c r="G42" s="4" t="n">
        <v>2023</v>
      </c>
      <c r="H42" s="4" t="inlineStr"/>
      <c r="I42" s="4" t="inlineStr"/>
      <c r="J42" s="4" t="inlineStr">
        <is>
          <t>registration</t>
        </is>
      </c>
      <c r="K42" s="4" t="inlineStr">
        <is>
          <t>not stated</t>
        </is>
      </c>
      <c r="L42" s="4" t="inlineStr"/>
      <c r="M42" s="4" t="inlineStr"/>
      <c r="N42" s="4" t="inlineStr"/>
      <c r="O42" s="19" t="inlineStr">
        <is>
          <t>Silver</t>
        </is>
      </c>
      <c r="P42" s="4" t="inlineStr"/>
      <c r="Q42" s="17" t="inlineStr">
        <is>
          <t>https://doi.org/10.60541/235t-fj52</t>
        </is>
      </c>
      <c r="R42" s="4" t="inlineStr">
        <is>
          <t>us_lawatlas_pdmp_laws_2014_2023</t>
        </is>
      </c>
    </row>
    <row r="43">
      <c r="A43" s="4" t="inlineStr">
        <is>
          <t>Small-area Deprivation Measure for Brazil: Data Documentation</t>
        </is>
      </c>
      <c r="B43" s="4" t="inlineStr">
        <is>
          <t>University of Glasgow (research data)</t>
        </is>
      </c>
      <c r="C43" s="4" t="inlineStr"/>
      <c r="D43" s="4" t="inlineStr">
        <is>
          <t>Brazil (310,120 census sectors; 303,218 scored)</t>
        </is>
      </c>
      <c r="E43" s="4" t="inlineStr">
        <is>
          <t>small_area</t>
        </is>
      </c>
      <c r="F43" s="4" t="inlineStr">
        <is>
          <t>based on the 2010 Brazilian Population Census</t>
        </is>
      </c>
      <c r="G43" s="4" t="n">
        <v>2010</v>
      </c>
      <c r="H43" s="4" t="inlineStr">
        <is>
          <t>open</t>
        </is>
      </c>
      <c r="I43" s="4" t="inlineStr">
        <is>
          <t>CC BY 4.0</t>
        </is>
      </c>
      <c r="J43" s="4" t="inlineStr">
        <is>
          <t>open_download ("Anyone")</t>
        </is>
      </c>
      <c r="K43" s="4" t="inlineStr">
        <is>
          <t>csv (108 MB); pdf documentation</t>
        </is>
      </c>
      <c r="L43" s="4" t="inlineStr"/>
      <c r="M43" s="4" t="inlineStr"/>
      <c r="N43" s="4" t="inlineStr"/>
      <c r="O43" s="13" t="inlineStr">
        <is>
          <t>Gold</t>
        </is>
      </c>
      <c r="P43" s="4" t="inlineStr"/>
      <c r="Q43" s="17" t="inlineStr">
        <is>
          <t>https://doi.org/10.5525/gla.researchdata.980</t>
        </is>
      </c>
      <c r="R43" s="4" t="inlineStr">
        <is>
          <t>br_glasgow_small_area_deprivation_2010</t>
        </is>
      </c>
    </row>
    <row r="44">
      <c r="A44" s="4" t="inlineStr">
        <is>
          <t>State HIV Criminalization Laws</t>
        </is>
      </c>
      <c r="B44" s="4" t="inlineStr">
        <is>
          <t>LawAtlas</t>
        </is>
      </c>
      <c r="C44" s="4" t="inlineStr"/>
      <c r="D44" s="4" t="inlineStr"/>
      <c r="E44" s="4" t="inlineStr">
        <is>
          <t>state (+DC/territories; 52 jurisdictions)</t>
        </is>
      </c>
      <c r="F44" s="4" t="inlineStr">
        <is>
          <t>2023-08-31 to 2024-12-31; effective dates: yes: Valid From / Updated Through on page; per-law effective dates in the download (not checked)</t>
        </is>
      </c>
      <c r="G44" s="4" t="inlineStr"/>
      <c r="H44" s="4" t="inlineStr"/>
      <c r="I44" s="4" t="inlineStr">
        <is>
          <t>not stated on page; 'Data Licensing' link target 404 under /data-licensing</t>
        </is>
      </c>
      <c r="J44" s="4" t="inlineStr">
        <is>
          <t>free account required to download data/codebook</t>
        </is>
      </c>
      <c r="K44" s="4" t="inlineStr"/>
      <c r="L44" s="4" t="inlineStr"/>
      <c r="M44" s="4" t="inlineStr"/>
      <c r="N44" s="4" t="inlineStr"/>
      <c r="O44" s="19" t="inlineStr">
        <is>
          <t>Silver</t>
        </is>
      </c>
      <c r="P44" s="4" t="inlineStr"/>
      <c r="Q44" s="17" t="inlineStr">
        <is>
          <t>https://lawatlas.org/datasets/state-hiv-criminalization-laws</t>
        </is>
      </c>
      <c r="R44" s="4" t="inlineStr">
        <is>
          <t>us_lawatlas_state_hiv_criminalization_laws</t>
        </is>
      </c>
    </row>
    <row r="45">
      <c r="A45" s="4" t="inlineStr">
        <is>
          <t>State HIV Laboratory Reporting Laws</t>
        </is>
      </c>
      <c r="B45" s="4" t="inlineStr">
        <is>
          <t>LawAtlas</t>
        </is>
      </c>
      <c r="C45" s="4" t="inlineStr"/>
      <c r="D45" s="4" t="inlineStr"/>
      <c r="E45" s="4" t="inlineStr">
        <is>
          <t>state (+DC/territories; 53 jurisdictions)</t>
        </is>
      </c>
      <c r="F45" s="4" t="inlineStr">
        <is>
          <t>2023-11-30 to 2025-04-01; effective dates: yes: Valid From / Updated Through on page; per-law effective dates in the download (not checked)</t>
        </is>
      </c>
      <c r="G45" s="4" t="inlineStr"/>
      <c r="H45" s="4" t="inlineStr"/>
      <c r="I45" s="4" t="inlineStr">
        <is>
          <t>not stated on page; 'Data Licensing' link target 404 under /data-licensing</t>
        </is>
      </c>
      <c r="J45" s="4" t="inlineStr">
        <is>
          <t>free account required to download data/codebook</t>
        </is>
      </c>
      <c r="K45" s="4" t="inlineStr"/>
      <c r="L45" s="4" t="inlineStr"/>
      <c r="M45" s="4" t="inlineStr"/>
      <c r="N45" s="4" t="inlineStr"/>
      <c r="O45" s="19" t="inlineStr">
        <is>
          <t>Silver</t>
        </is>
      </c>
      <c r="P45" s="4" t="inlineStr"/>
      <c r="Q45" s="17" t="inlineStr">
        <is>
          <t>https://lawatlas.org/datasets/state-laboratory-reporting-laws</t>
        </is>
      </c>
      <c r="R45" s="4" t="inlineStr">
        <is>
          <t>us_lawatlas_state_laboratory_reporting_laws</t>
        </is>
      </c>
    </row>
    <row r="46">
      <c r="A46" s="4" t="inlineStr">
        <is>
          <t>State HIV/STI Minors' Consent Laws</t>
        </is>
      </c>
      <c r="B46" s="4" t="inlineStr">
        <is>
          <t>LawAtlas</t>
        </is>
      </c>
      <c r="C46" s="4" t="inlineStr"/>
      <c r="D46" s="4" t="inlineStr"/>
      <c r="E46" s="4" t="inlineStr">
        <is>
          <t>state (+DC/territories; 52 jurisdictions)</t>
        </is>
      </c>
      <c r="F46" s="4" t="inlineStr">
        <is>
          <t>2022-05-31 to 2024-12-31; effective dates: yes: Valid From / Updated Through on page; per-law effective dates in the download (not checked)</t>
        </is>
      </c>
      <c r="G46" s="4" t="inlineStr"/>
      <c r="H46" s="4" t="inlineStr"/>
      <c r="I46" s="4" t="inlineStr">
        <is>
          <t>not stated on page; 'Data Licensing' link target 404 under /data-licensing</t>
        </is>
      </c>
      <c r="J46" s="4" t="inlineStr">
        <is>
          <t>free account required to download data/codebook</t>
        </is>
      </c>
      <c r="K46" s="4" t="inlineStr"/>
      <c r="L46" s="4" t="inlineStr"/>
      <c r="M46" s="4" t="inlineStr"/>
      <c r="N46" s="4" t="inlineStr"/>
      <c r="O46" s="19" t="inlineStr">
        <is>
          <t>Silver</t>
        </is>
      </c>
      <c r="P46" s="4" t="inlineStr"/>
      <c r="Q46" s="17" t="inlineStr">
        <is>
          <t>https://lawatlas.org/datasets/state-minors-consent-laws</t>
        </is>
      </c>
      <c r="R46" s="4" t="inlineStr">
        <is>
          <t>us_lawatlas_state_minors_consent_laws</t>
        </is>
      </c>
    </row>
    <row r="47">
      <c r="A47" s="4" t="inlineStr">
        <is>
          <t>State Laws Limiting Prescriptions for Opioid Analgesics</t>
        </is>
      </c>
      <c r="B47" s="4" t="inlineStr">
        <is>
          <t>PDAPS</t>
        </is>
      </c>
      <c r="C47" s="4" t="inlineStr"/>
      <c r="D47" s="4" t="inlineStr"/>
      <c r="E47" s="4" t="inlineStr">
        <is>
          <t>state (50 states + DC code; no local)</t>
        </is>
      </c>
      <c r="F47" s="4" t="inlineStr">
        <is>
          <t>2014-2019; effective dates: yes: per-state 'effective' and 'through' dates</t>
        </is>
      </c>
      <c r="G47" s="4" t="inlineStr"/>
      <c r="H47" s="4" t="inlineStr"/>
      <c r="I47" s="4" t="inlineStr">
        <is>
          <t>not stated on page; full pin citations behind paid subscription ($29/month)</t>
        </is>
      </c>
      <c r="J47" s="4" t="inlineStr">
        <is>
          <t>free account (web view); download not tested</t>
        </is>
      </c>
      <c r="K47" s="4" t="inlineStr"/>
      <c r="L47" s="4" t="inlineStr"/>
      <c r="M47" s="4" t="inlineStr"/>
      <c r="N47" s="4" t="inlineStr"/>
      <c r="O47" s="19" t="inlineStr">
        <is>
          <t>Silver</t>
        </is>
      </c>
      <c r="P47" s="4" t="inlineStr"/>
      <c r="Q47" s="17" t="inlineStr">
        <is>
          <t>https://pdaps.org/datasets/opioid-analgesics-prescribing-limits</t>
        </is>
      </c>
      <c r="R47" s="4" t="inlineStr">
        <is>
          <t>us_pdaps_opioid_analgesics_prescribing_limits</t>
        </is>
      </c>
    </row>
    <row r="48">
      <c r="A48" s="4" t="inlineStr">
        <is>
          <t>State Minimum Wage Laws</t>
        </is>
      </c>
      <c r="B48" s="4" t="inlineStr">
        <is>
          <t>LawAtlas</t>
        </is>
      </c>
      <c r="C48" s="4" t="inlineStr"/>
      <c r="D48" s="4" t="inlineStr"/>
      <c r="E48" s="4" t="inlineStr">
        <is>
          <t>state (+DC/territories; 25 jurisdictions)</t>
        </is>
      </c>
      <c r="F48" s="4" t="inlineStr">
        <is>
          <t>2010-01-01 to 2023-04-15; effective dates: yes: Valid From / Updated Through on page; per-law effective dates in the download (not checked)</t>
        </is>
      </c>
      <c r="G48" s="4" t="inlineStr"/>
      <c r="H48" s="4" t="inlineStr"/>
      <c r="I48" s="4" t="inlineStr">
        <is>
          <t>not stated on page; 'Data Licensing' link target 404 under /data-licensing</t>
        </is>
      </c>
      <c r="J48" s="4" t="inlineStr">
        <is>
          <t>free account required to download data/codebook</t>
        </is>
      </c>
      <c r="K48" s="4" t="inlineStr"/>
      <c r="L48" s="4" t="inlineStr"/>
      <c r="M48" s="4" t="inlineStr"/>
      <c r="N48" s="4" t="inlineStr"/>
      <c r="O48" s="19" t="inlineStr">
        <is>
          <t>Silver</t>
        </is>
      </c>
      <c r="P48" s="4" t="inlineStr"/>
      <c r="Q48" s="17" t="inlineStr">
        <is>
          <t>https://lawatlas.org/datasets/state-minimum-wage-laws</t>
        </is>
      </c>
      <c r="R48" s="4" t="inlineStr">
        <is>
          <t>us_lawatlas_state_minimum_wage_laws</t>
        </is>
      </c>
    </row>
    <row r="49">
      <c r="A49" s="4" t="inlineStr">
        <is>
          <t>State Perinatal HIV Testing Laws</t>
        </is>
      </c>
      <c r="B49" s="4" t="inlineStr">
        <is>
          <t>LawAtlas</t>
        </is>
      </c>
      <c r="C49" s="4" t="inlineStr"/>
      <c r="D49" s="4" t="inlineStr"/>
      <c r="E49" s="4" t="inlineStr">
        <is>
          <t>state (+DC/territories; 52 jurisdictions)</t>
        </is>
      </c>
      <c r="F49" s="4" t="inlineStr">
        <is>
          <t>2019-01-01 to 2025-04-01; effective dates: yes: Valid From / Updated Through on page; per-law effective dates in the download (not checked)</t>
        </is>
      </c>
      <c r="G49" s="4" t="inlineStr"/>
      <c r="H49" s="4" t="inlineStr"/>
      <c r="I49" s="4" t="inlineStr">
        <is>
          <t>not stated on page; 'Data Licensing' link target 404 under /data-licensing</t>
        </is>
      </c>
      <c r="J49" s="4" t="inlineStr">
        <is>
          <t>free account required to download data/codebook</t>
        </is>
      </c>
      <c r="K49" s="4" t="inlineStr"/>
      <c r="L49" s="4" t="inlineStr"/>
      <c r="M49" s="4" t="inlineStr"/>
      <c r="N49" s="4" t="inlineStr"/>
      <c r="O49" s="19" t="inlineStr">
        <is>
          <t>Silver</t>
        </is>
      </c>
      <c r="P49" s="4" t="inlineStr"/>
      <c r="Q49" s="17" t="inlineStr">
        <is>
          <t>https://lawatlas.org/datasets/state-perinatal-hiv-testing-laws</t>
        </is>
      </c>
      <c r="R49" s="4" t="inlineStr">
        <is>
          <t>us_lawatlas_state_perinatal_hiv_testing_laws</t>
        </is>
      </c>
    </row>
    <row r="50">
      <c r="A50" s="4" t="inlineStr">
        <is>
          <t>State Syringe Access Laws</t>
        </is>
      </c>
      <c r="B50" s="4" t="inlineStr">
        <is>
          <t>Center for Public Health Law Research (Temple University; LawAtlas)</t>
        </is>
      </c>
      <c r="C50" s="4" t="inlineStr"/>
      <c r="D50" s="4" t="inlineStr">
        <is>
          <t>US (50 states + DC)</t>
        </is>
      </c>
      <c r="E50" s="4" t="inlineStr">
        <is>
          <t>state</t>
        </is>
      </c>
      <c r="F50" s="4" t="inlineStr">
        <is>
          <t>2010-01-01 to 2024-06-01</t>
        </is>
      </c>
      <c r="G50" s="4" t="n">
        <v>2024</v>
      </c>
      <c r="H50" s="4" t="inlineStr"/>
      <c r="I50" s="4" t="inlineStr"/>
      <c r="J50" s="4" t="inlineStr">
        <is>
          <t>registration</t>
        </is>
      </c>
      <c r="K50" s="4" t="inlineStr">
        <is>
          <t>not stated</t>
        </is>
      </c>
      <c r="L50" s="4" t="inlineStr"/>
      <c r="M50" s="4" t="inlineStr"/>
      <c r="N50" s="4" t="inlineStr"/>
      <c r="O50" s="19" t="inlineStr">
        <is>
          <t>Silver</t>
        </is>
      </c>
      <c r="P50" s="4" t="inlineStr"/>
      <c r="Q50" s="17" t="inlineStr">
        <is>
          <t>https://doi.org/10.60541/kshg-k144</t>
        </is>
      </c>
      <c r="R50" s="4" t="inlineStr">
        <is>
          <t>us_lawatlas_state_syringe_access_laws</t>
        </is>
      </c>
    </row>
    <row r="51">
      <c r="A51" s="4" t="inlineStr">
        <is>
          <t>Statutory and Constitutional Right to Abortion</t>
        </is>
      </c>
      <c r="B51" s="4" t="inlineStr">
        <is>
          <t>Center for Public Health Law Research (Temple University; LawAtlas)</t>
        </is>
      </c>
      <c r="C51" s="4" t="inlineStr"/>
      <c r="D51" s="4" t="inlineStr">
        <is>
          <t>US (50 states + DC)</t>
        </is>
      </c>
      <c r="E51" s="4" t="inlineStr">
        <is>
          <t>state</t>
        </is>
      </c>
      <c r="F51" s="4" t="inlineStr">
        <is>
          <t>2018-12-01 to 2022-11-01</t>
        </is>
      </c>
      <c r="G51" s="4" t="n">
        <v>2022</v>
      </c>
      <c r="H51" s="4" t="inlineStr"/>
      <c r="I51" s="4" t="inlineStr"/>
      <c r="J51" s="4" t="inlineStr">
        <is>
          <t>registration</t>
        </is>
      </c>
      <c r="K51" s="4" t="inlineStr">
        <is>
          <t>not stated</t>
        </is>
      </c>
      <c r="L51" s="4" t="inlineStr"/>
      <c r="M51" s="4" t="inlineStr"/>
      <c r="N51" s="4" t="inlineStr"/>
      <c r="O51" s="19" t="inlineStr">
        <is>
          <t>Silver</t>
        </is>
      </c>
      <c r="P51" s="4" t="inlineStr"/>
      <c r="Q51" s="17" t="inlineStr">
        <is>
          <t>https://doi.org/10.60541/26gc-yv35</t>
        </is>
      </c>
      <c r="R51" s="4" t="inlineStr">
        <is>
          <t>us_lawatlas_right_to_abortion_laws</t>
        </is>
      </c>
    </row>
    <row r="52">
      <c r="A52" s="4" t="inlineStr">
        <is>
          <t>Syringe Services Programs Laws</t>
        </is>
      </c>
      <c r="B52" s="4" t="inlineStr">
        <is>
          <t>PDAPS</t>
        </is>
      </c>
      <c r="C52" s="4" t="inlineStr"/>
      <c r="D52" s="4" t="inlineStr"/>
      <c r="E52" s="4" t="inlineStr">
        <is>
          <t>state (50 states + DC code; no local)</t>
        </is>
      </c>
      <c r="F52" s="4" t="inlineStr">
        <is>
          <t>2019-2021; effective dates: yes: per-state 'effective' and 'through' dates</t>
        </is>
      </c>
      <c r="G52" s="4" t="inlineStr"/>
      <c r="H52" s="4" t="inlineStr"/>
      <c r="I52" s="4" t="inlineStr">
        <is>
          <t>not stated on page; full pin citations behind paid subscription ($29/month)</t>
        </is>
      </c>
      <c r="J52" s="4" t="inlineStr">
        <is>
          <t>free account (web view); download not tested</t>
        </is>
      </c>
      <c r="K52" s="4" t="inlineStr"/>
      <c r="L52" s="4" t="inlineStr"/>
      <c r="M52" s="4" t="inlineStr"/>
      <c r="N52" s="4" t="inlineStr"/>
      <c r="O52" s="19" t="inlineStr">
        <is>
          <t>Silver</t>
        </is>
      </c>
      <c r="P52" s="4" t="inlineStr"/>
      <c r="Q52" s="17" t="inlineStr">
        <is>
          <t>https://pdaps.org/datasets/syringe-services-programs-laws</t>
        </is>
      </c>
      <c r="R52" s="4" t="inlineStr">
        <is>
          <t>us_pdaps_syringe_services_programs_laws</t>
        </is>
      </c>
    </row>
    <row r="53">
      <c r="A53" s="4" t="inlineStr">
        <is>
          <t>Tobacco Pricing Strategies</t>
        </is>
      </c>
      <c r="B53" s="4" t="inlineStr">
        <is>
          <t>Center for Public Health Law Research (Temple University; LawAtlas)</t>
        </is>
      </c>
      <c r="C53" s="4" t="inlineStr"/>
      <c r="D53" s="4" t="inlineStr">
        <is>
          <t>US (50 states + DC)</t>
        </is>
      </c>
      <c r="E53" s="4" t="inlineStr">
        <is>
          <t>state</t>
        </is>
      </c>
      <c r="F53" s="4" t="inlineStr">
        <is>
          <t>2019-09-01 (single date)</t>
        </is>
      </c>
      <c r="G53" s="4" t="n">
        <v>2019</v>
      </c>
      <c r="H53" s="4" t="inlineStr"/>
      <c r="I53" s="4" t="inlineStr"/>
      <c r="J53" s="4" t="inlineStr">
        <is>
          <t>registration</t>
        </is>
      </c>
      <c r="K53" s="4" t="inlineStr">
        <is>
          <t>not stated</t>
        </is>
      </c>
      <c r="L53" s="4" t="inlineStr"/>
      <c r="M53" s="4" t="inlineStr"/>
      <c r="N53" s="4" t="inlineStr"/>
      <c r="O53" s="19" t="inlineStr">
        <is>
          <t>Silver</t>
        </is>
      </c>
      <c r="P53" s="4" t="inlineStr"/>
      <c r="Q53" s="17" t="inlineStr">
        <is>
          <t>https://doi.org/10.60541/tq0g-2c27</t>
        </is>
      </c>
      <c r="R53" s="4" t="inlineStr">
        <is>
          <t>us_lawatlas_tobacco_pricing_strategies</t>
        </is>
      </c>
    </row>
    <row r="54">
      <c r="A54" s="4" t="inlineStr">
        <is>
          <t>Veterans Health Administration Provider Level Data</t>
        </is>
      </c>
      <c r="B54" s="4" t="inlineStr">
        <is>
          <t>CMS Provider Data Catalog</t>
        </is>
      </c>
      <c r="C54" s="4" t="inlineStr"/>
      <c r="D54" s="4" t="inlineStr"/>
      <c r="E54" s="4" t="inlineStr">
        <is>
          <t>facility/provider (VA; quality measures)</t>
        </is>
      </c>
      <c r="F54" s="4" t="inlineStr">
        <is>
          <t>current snapshot; catalog 'modified' 2026-10-22, next update 2027-01-20</t>
        </is>
      </c>
      <c r="G54" s="4" t="inlineStr"/>
      <c r="H54" s="4" t="inlineStr">
        <is>
          <t>public_domain_us_federal</t>
        </is>
      </c>
      <c r="I54" s="4" t="inlineStr">
        <is>
          <t>not stated in catalog metadata (federal open data; unverified)</t>
        </is>
      </c>
      <c r="J54" s="4" t="inlineStr">
        <is>
          <t>open_download (CSV via DKAN API)</t>
        </is>
      </c>
      <c r="K54" s="4" t="inlineStr"/>
      <c r="L54" s="4" t="inlineStr"/>
      <c r="M54" s="4" t="inlineStr"/>
      <c r="N54" s="4" t="inlineStr"/>
      <c r="O54" s="19" t="inlineStr">
        <is>
          <t>Silver</t>
        </is>
      </c>
      <c r="P54" s="4" t="inlineStr"/>
      <c r="Q54" s="17" t="inlineStr">
        <is>
          <t>https://data.cms.gov/provider-data/dataset/uyx4-5s7f</t>
        </is>
      </c>
      <c r="R54" s="4" t="inlineStr">
        <is>
          <t>us_cms_pdc_uyx4_5s7f</t>
        </is>
      </c>
    </row>
    <row r="55">
      <c r="A55" s="4" t="inlineStr">
        <is>
          <t>Yearly Occupational Heat Exposure by Census Tract, County, State, and Nationwide in the Contiguous US, 2010-2019</t>
        </is>
      </c>
      <c r="B55" s="4" t="inlineStr">
        <is>
          <t>Zenodo deposit</t>
        </is>
      </c>
      <c r="C55" s="4" t="inlineStr"/>
      <c r="D55" s="4" t="inlineStr">
        <is>
          <t>contiguous US (no AK, HI)</t>
        </is>
      </c>
      <c r="E55" s="4" t="inlineStr">
        <is>
          <t>tract</t>
        </is>
      </c>
      <c r="F55" s="4" t="inlineStr">
        <is>
          <t>2010-2019, yearly</t>
        </is>
      </c>
      <c r="G55" s="4" t="n">
        <v>2019</v>
      </c>
      <c r="H55" s="4" t="inlineStr">
        <is>
          <t>open</t>
        </is>
      </c>
      <c r="I55" s="4" t="inlineStr">
        <is>
          <t>CC BY 4.0</t>
        </is>
      </c>
      <c r="J55" s="4" t="inlineStr">
        <is>
          <t>open_download</t>
        </is>
      </c>
      <c r="K55" s="4" t="inlineStr">
        <is>
          <t>zip (contents not stated)</t>
        </is>
      </c>
      <c r="L55" s="4" t="inlineStr"/>
      <c r="M55" s="4" t="inlineStr"/>
      <c r="N55" s="4" t="inlineStr"/>
      <c r="O55" s="13" t="inlineStr">
        <is>
          <t>Gold</t>
        </is>
      </c>
      <c r="P55" s="4" t="inlineStr"/>
      <c r="Q55" s="17" t="inlineStr">
        <is>
          <t>https://doi.org/10.5281/zenodo.15199025</t>
        </is>
      </c>
      <c r="R55" s="4" t="inlineStr">
        <is>
          <t>us_zenodo_occupational_heat_exposure_tract</t>
        </is>
      </c>
    </row>
    <row r="56">
      <c r="A56" s="4" t="inlineStr">
        <is>
          <t>EPA AirData: AQS site listing (aqs_sites.zip) and monitor listing (aqs_monitors.zip)</t>
        </is>
      </c>
      <c r="B56" s="4" t="inlineStr">
        <is>
          <t>US EPA</t>
        </is>
      </c>
      <c r="C56" s="4" t="inlineStr">
        <is>
          <t>air quality</t>
        </is>
      </c>
      <c r="D56" s="4" t="inlineStr">
        <is>
          <t>US</t>
        </is>
      </c>
      <c r="E56" s="4" t="inlineStr">
        <is>
          <t>point</t>
        </is>
      </c>
      <c r="F56" s="4" t="inlineStr">
        <is>
          <t>current listing (updated twice a year)</t>
        </is>
      </c>
      <c r="G56" s="4" t="inlineStr"/>
      <c r="H56" s="4" t="inlineStr">
        <is>
          <t>public_domain_us_federal</t>
        </is>
      </c>
      <c r="I56" s="4" t="inlineStr"/>
      <c r="J56" s="4" t="inlineStr">
        <is>
          <t>open_download</t>
        </is>
      </c>
      <c r="K56" s="4" t="inlineStr">
        <is>
          <t>csv (zip)</t>
        </is>
      </c>
      <c r="L56" s="4" t="inlineStr">
        <is>
          <t>Joins today</t>
        </is>
      </c>
      <c r="M56" s="4" t="n">
        <v>3</v>
      </c>
      <c r="N56" s="4" t="inlineStr"/>
      <c r="O56" s="19" t="inlineStr">
        <is>
          <t>Silver</t>
        </is>
      </c>
      <c r="P56" s="4" t="n">
        <v>86</v>
      </c>
      <c r="Q56" s="17" t="inlineStr">
        <is>
          <t>https://aqs.epa.gov/aqsweb/airdata/download_files.html</t>
        </is>
      </c>
      <c r="R56" s="4" t="inlineStr">
        <is>
          <t>us_epa_aqs_sites_monitors</t>
        </is>
      </c>
    </row>
    <row r="57">
      <c r="A57" s="4" t="inlineStr">
        <is>
          <t>Cartographic Boundary Files</t>
        </is>
      </c>
      <c r="B57" s="4" t="inlineStr">
        <is>
          <t>U.S. Census Bureau</t>
        </is>
      </c>
      <c r="C57" s="4" t="inlineStr">
        <is>
          <t>boundaries</t>
        </is>
      </c>
      <c r="D57" s="4" t="inlineStr">
        <is>
          <t>US nation-based and state-based files (state FIPS 01-78, national file 99); Puerto Rico referenced (FIPS 72 subbarrios)</t>
        </is>
      </c>
      <c r="E57" s="4" t="inlineStr">
        <is>
          <t>block_group</t>
        </is>
      </c>
      <c r="F57" s="4" t="inlineStr">
        <is>
          <t>1990; 2000; 2010; 2013-2018 on this page; 2019 and later on the new Cartographic Boundary File page (description page lists entity-description PDFs for each year 2013-2025)</t>
        </is>
      </c>
      <c r="G57" s="4" t="n">
        <v>2025</v>
      </c>
      <c r="H57" s="4" t="inlineStr">
        <is>
          <t>public_domain_us_federal</t>
        </is>
      </c>
      <c r="I57" s="4" t="inlineStr"/>
      <c r="J57" s="4" t="inlineStr">
        <is>
          <t>open_download</t>
        </is>
      </c>
      <c r="K57" s="4" t="inlineStr">
        <is>
          <t>shp; kml</t>
        </is>
      </c>
      <c r="L57" s="4" t="inlineStr">
        <is>
          <t>Joins today</t>
        </is>
      </c>
      <c r="M57" s="4" t="n">
        <v>3</v>
      </c>
      <c r="N57" s="4" t="inlineStr"/>
      <c r="O57" s="13" t="inlineStr">
        <is>
          <t>Gold</t>
        </is>
      </c>
      <c r="P57" s="4" t="n">
        <v>98</v>
      </c>
      <c r="Q57" s="17" t="inlineStr">
        <is>
          <t>https://www.census.gov/geographies/mapping-files/time-series/geo/carto-boundary-file.html</t>
        </is>
      </c>
      <c r="R57" s="4" t="inlineStr">
        <is>
          <t>us_census_cartographic_boundary</t>
        </is>
      </c>
    </row>
    <row r="58">
      <c r="A58" s="4" t="inlineStr">
        <is>
          <t>2021 Census Boundary Files</t>
        </is>
      </c>
      <c r="B58" s="4" t="inlineStr">
        <is>
          <t>Statistics Canada</t>
        </is>
      </c>
      <c r="C58" s="4" t="inlineStr">
        <is>
          <t>boundaries</t>
        </is>
      </c>
      <c r="D58" s="4" t="inlineStr">
        <is>
          <t>Canada (layers from provinces/territories down to dissemination blocks; not stated in words)</t>
        </is>
      </c>
      <c r="E58" s="4" t="inlineStr">
        <is>
          <t>block</t>
        </is>
      </c>
      <c r="F58" s="4" t="inlineStr">
        <is>
          <t>2021 Census (single vintage); temporal coverage '2021-01-01 to undefined'; published 2022-02-01, record modified 2024-02-15</t>
        </is>
      </c>
      <c r="G58" s="4" t="n">
        <v>2021</v>
      </c>
      <c r="H58" s="4" t="inlineStr">
        <is>
          <t>open</t>
        </is>
      </c>
      <c r="I58" s="4" t="inlineStr">
        <is>
          <t>Open Government Licence - Canada</t>
        </is>
      </c>
      <c r="J58" s="4" t="inlineStr">
        <is>
          <t>open_download</t>
        </is>
      </c>
      <c r="K58" s="4" t="inlineStr">
        <is>
          <t>shp; gdb (FGDB); gml; esri rest; wms; zip (relationship file); pdf/html (reference guides)</t>
        </is>
      </c>
      <c r="L58" s="4" t="inlineStr">
        <is>
          <t>Joins today</t>
        </is>
      </c>
      <c r="M58" s="4" t="n">
        <v>1</v>
      </c>
      <c r="N58" s="4" t="inlineStr"/>
      <c r="O58" s="19" t="inlineStr">
        <is>
          <t>Silver</t>
        </is>
      </c>
      <c r="P58" s="4" t="n">
        <v>93</v>
      </c>
      <c r="Q58" s="17" t="inlineStr">
        <is>
          <t>https://open.canada.ca/data/dataset/ef70dc3b-1069-4037-9bce-61f47e628a1d</t>
        </is>
      </c>
      <c r="R58" s="4" t="inlineStr">
        <is>
          <t>ca_statcan_census_boundary_files_2021</t>
        </is>
      </c>
    </row>
    <row r="59">
      <c r="A59" s="4" t="inlineStr">
        <is>
          <t>Australian Statistical Geography Standard (ASGS) Edition 3 digital boundary files</t>
        </is>
      </c>
      <c r="B59" s="4" t="inlineStr">
        <is>
          <t>Australian Bureau of Statistics (ABS)</t>
        </is>
      </c>
      <c r="C59" s="4" t="inlineStr">
        <is>
          <t>boundaries</t>
        </is>
      </c>
      <c r="D59" s="4" t="inlineStr">
        <is>
          <t>Geographic Australia (bounding box N -8, S -45, W 96, E 169; Other Territories coded 9)</t>
        </is>
      </c>
      <c r="E59" s="4" t="inlineStr">
        <is>
          <t>block</t>
        </is>
      </c>
      <c r="F59" s="4" t="inlineStr">
        <is>
          <t>Edition 3, July 2021 - June 2026 (Main Structure released 20/07/2021; Non ABS Structures 6 Oct 2021; SUA 5 Oct 2022; Remoteness 21 Mar 2023; LGA 2025 files updated 21/07/2026)</t>
        </is>
      </c>
      <c r="G59" s="4" t="n">
        <v>2025</v>
      </c>
      <c r="H59" s="4" t="inlineStr">
        <is>
          <t>open</t>
        </is>
      </c>
      <c r="I59" s="4" t="inlineStr">
        <is>
          <t>CC BY 4.0 (Creative Commons Attribution 4.0 International)</t>
        </is>
      </c>
      <c r="J59" s="4" t="inlineStr">
        <is>
          <t>open_download</t>
        </is>
      </c>
      <c r="K59" s="4" t="inlineStr">
        <is>
          <t>gpkg; shp (zip archives, GDA2020 and GDA94 sets, with ISO 19115 XML metadata)</t>
        </is>
      </c>
      <c r="L59" s="4" t="inlineStr">
        <is>
          <t>Joins today</t>
        </is>
      </c>
      <c r="M59" s="4" t="n">
        <v>1</v>
      </c>
      <c r="N59" s="4" t="inlineStr"/>
      <c r="O59" s="19" t="inlineStr">
        <is>
          <t>Silver</t>
        </is>
      </c>
      <c r="P59" s="4" t="n">
        <v>91</v>
      </c>
      <c r="Q59" s="17" t="inlineStr">
        <is>
          <t>https://www.abs.gov.au/statistics/standards/australian-statistical-geography-standard-asgs-edition-3/jul2021-jun2026/access-and-downloads/digital-boundary-files</t>
        </is>
      </c>
      <c r="R59" s="4" t="inlineStr">
        <is>
          <t>au_abs_asgs_boundaries</t>
        </is>
      </c>
    </row>
    <row r="60">
      <c r="A60" s="4" t="inlineStr">
        <is>
          <t>Boundary-Line</t>
        </is>
      </c>
      <c r="B60" s="4" t="inlineStr">
        <is>
          <t>Ordnance Survey</t>
        </is>
      </c>
      <c r="C60" s="4" t="inlineStr">
        <is>
          <t>boundaries</t>
        </is>
      </c>
      <c r="D60" s="4" t="inlineStr">
        <is>
          <t>Great Britain</t>
        </is>
      </c>
      <c r="E60" s="4" t="inlineStr">
        <is>
          <t>postcode_small_area</t>
        </is>
      </c>
      <c r="F60" s="4" t="inlineStr">
        <is>
          <t>current product, updated twice a year; no vintage year stated (historic county boundaries 'from as far back as the late 19th Century')</t>
        </is>
      </c>
      <c r="G60" s="4" t="n">
        <v>2026</v>
      </c>
      <c r="H60" s="4" t="inlineStr">
        <is>
          <t>unknown</t>
        </is>
      </c>
      <c r="I60" s="4" t="inlineStr"/>
      <c r="J60" s="4" t="inlineStr">
        <is>
          <t>open_download</t>
        </is>
      </c>
      <c r="K60" s="4" t="inlineStr">
        <is>
          <t>shp; gpkg; gml; tab (MapInfo); vector tiles</t>
        </is>
      </c>
      <c r="L60" s="4" t="inlineStr">
        <is>
          <t>Joins today</t>
        </is>
      </c>
      <c r="M60" s="4" t="n">
        <v>1</v>
      </c>
      <c r="N60" s="4" t="inlineStr"/>
      <c r="O60" s="19" t="inlineStr">
        <is>
          <t>Silver</t>
        </is>
      </c>
      <c r="P60" s="4" t="n">
        <v>92</v>
      </c>
      <c r="Q60" s="17" t="inlineStr">
        <is>
          <t>https://www.ordnancesurvey.co.uk/products/boundary-line</t>
        </is>
      </c>
      <c r="R60" s="4" t="inlineStr">
        <is>
          <t>gb_os_boundary_line</t>
        </is>
      </c>
    </row>
    <row r="61">
      <c r="A61" s="4" t="inlineStr">
        <is>
          <t>Cartografia digitalizada de secciones censales</t>
        </is>
      </c>
      <c r="B61" s="4" t="inlineStr">
        <is>
          <t>Instituto Nacional de Estadistica (INE)</t>
        </is>
      </c>
      <c r="C61" s="4" t="inlineStr">
        <is>
          <t>boundaries</t>
        </is>
      </c>
      <c r="D61" s="4" t="inlineStr">
        <is>
          <t>ES (national files; callejero per province incl. Ceuta and Melilla)</t>
        </is>
      </c>
      <c r="E61" s="4" t="inlineStr">
        <is>
          <t>polygon (seccion censal; small statistical area)</t>
        </is>
      </c>
      <c r="F61" s="4" t="inlineStr">
        <is>
          <t>annual vintages 2001, 2003-2025 (2002 absent)</t>
        </is>
      </c>
      <c r="G61" s="4" t="n">
        <v>2025</v>
      </c>
      <c r="H61" s="4" t="inlineStr">
        <is>
          <t>open</t>
        </is>
      </c>
      <c r="I61" s="4" t="inlineStr">
        <is>
          <t>CC BY-SA 4.0 (footer text: 'Este sitio web y su contenido estan bajo licencia CC BY-SA 4.0'); footer link points to CC BY 4.0</t>
        </is>
      </c>
      <c r="J61" s="4" t="inlineStr">
        <is>
          <t>open_download</t>
        </is>
      </c>
      <c r="K61" s="4" t="inlineStr">
        <is>
          <t>shp; WMS; WFS; OGC API Features</t>
        </is>
      </c>
      <c r="L61" s="4" t="inlineStr">
        <is>
          <t>Joins today</t>
        </is>
      </c>
      <c r="M61" s="4" t="n">
        <v>1</v>
      </c>
      <c r="N61" s="4" t="inlineStr"/>
      <c r="O61" s="13" t="inlineStr">
        <is>
          <t>Gold</t>
        </is>
      </c>
      <c r="P61" s="4" t="n">
        <v>98</v>
      </c>
      <c r="Q61" s="17" t="inlineStr">
        <is>
          <t>https://www.ine.es/ss/Satellite?L=es_ES&amp;c=Page&amp;cid=1259952026632&amp;p=1259952026632&amp;pagename=ProductosYServicios%2FPYSLayout</t>
        </is>
      </c>
      <c r="R61" s="4" t="inlineStr">
        <is>
          <t>es_ine_secciones_censales</t>
        </is>
      </c>
    </row>
    <row r="62">
      <c r="A62" s="4" t="inlineStr">
        <is>
          <t>Census code lists: 2020 Census county FIPS codes</t>
        </is>
      </c>
      <c r="B62" s="4" t="inlineStr">
        <is>
          <t>U.S. Census Bureau</t>
        </is>
      </c>
      <c r="C62" s="4" t="inlineStr">
        <is>
          <t>boundaries</t>
        </is>
      </c>
      <c r="D62" s="4" t="inlineStr">
        <is>
          <t>county table coverage not explicit; companion state table: states, DC, Puerto Rico and Insular Areas</t>
        </is>
      </c>
      <c r="E62" s="4" t="inlineStr">
        <is>
          <t>county</t>
        </is>
      </c>
      <c r="F62" s="4" t="inlineStr">
        <is>
          <t>2020 (also a 2010 vintage tab)</t>
        </is>
      </c>
      <c r="G62" s="4" t="n">
        <v>2020</v>
      </c>
      <c r="H62" s="4" t="inlineStr">
        <is>
          <t>public_domain_us_federal</t>
        </is>
      </c>
      <c r="I62" s="4" t="inlineStr"/>
      <c r="J62" s="4" t="inlineStr">
        <is>
          <t>open_download</t>
        </is>
      </c>
      <c r="K62" s="4" t="inlineStr">
        <is>
          <t>txt (state file link is .txt; county file format not shown on the extracted page)</t>
        </is>
      </c>
      <c r="L62" s="4" t="inlineStr">
        <is>
          <t>Joins today</t>
        </is>
      </c>
      <c r="M62" s="4" t="n">
        <v>1</v>
      </c>
      <c r="N62" s="4" t="inlineStr">
        <is>
          <t>us_2020_census_county_fips</t>
        </is>
      </c>
      <c r="O62" s="13" t="inlineStr">
        <is>
          <t>Gold</t>
        </is>
      </c>
      <c r="P62" s="4" t="n">
        <v>98</v>
      </c>
      <c r="Q62" s="17" t="inlineStr">
        <is>
          <t>https://www.census.gov/library/reference/code-lists.html</t>
        </is>
      </c>
      <c r="R62" s="4" t="inlineStr">
        <is>
          <t>us_census_county_fips_codes</t>
        </is>
      </c>
    </row>
    <row r="63">
      <c r="A63" s="4" t="inlineStr">
        <is>
          <t>Census Geocoder (Geocoding Services API)</t>
        </is>
      </c>
      <c r="B63" s="4" t="inlineStr">
        <is>
          <t>U.S. Census Bureau</t>
        </is>
      </c>
      <c r="C63" s="4" t="inlineStr">
        <is>
          <t>boundaries</t>
        </is>
      </c>
      <c r="D63" s="4" t="inlineStr">
        <is>
          <t>United States, Puerto Rico and the U.S. Island Areas</t>
        </is>
      </c>
      <c r="E63" s="4" t="inlineStr">
        <is>
          <t>point</t>
        </is>
      </c>
      <c r="F63" s="4" t="inlineStr">
        <is>
          <t>ongoing ('Current' benchmark always exists; benchmarks Current / ACS#### / Census####)</t>
        </is>
      </c>
      <c r="G63" s="4" t="n">
        <v>2026</v>
      </c>
      <c r="H63" s="4" t="inlineStr">
        <is>
          <t>public_domain_us_federal</t>
        </is>
      </c>
      <c r="I63" s="4" t="inlineStr"/>
      <c r="J63" s="4" t="inlineStr">
        <is>
          <t>api</t>
        </is>
      </c>
      <c r="K63" s="4" t="inlineStr">
        <is>
          <t>json/jsonp (single record); csv (batch output); batch input csv/txt/dat/xls/xlsx</t>
        </is>
      </c>
      <c r="L63" s="4" t="inlineStr">
        <is>
          <t>Needs a count/distance step</t>
        </is>
      </c>
      <c r="M63" s="4" t="n">
        <v>1</v>
      </c>
      <c r="N63" s="4" t="inlineStr"/>
      <c r="O63" s="19" t="inlineStr">
        <is>
          <t>Silver</t>
        </is>
      </c>
      <c r="P63" s="4" t="n">
        <v>91</v>
      </c>
      <c r="Q63" s="17" t="inlineStr">
        <is>
          <t>https://geocoding.geo.census.gov/geocoder/</t>
        </is>
      </c>
      <c r="R63" s="4" t="inlineStr">
        <is>
          <t>us_census_geocoder</t>
        </is>
      </c>
    </row>
    <row r="64">
      <c r="A64" s="4" t="inlineStr">
        <is>
          <t>Demografiska statistikomraden (DeSO)</t>
        </is>
      </c>
      <c r="B64" s="4" t="inlineStr">
        <is>
          <t>Statistiska centralbyran (SCB)</t>
        </is>
      </c>
      <c r="C64" s="4" t="inlineStr">
        <is>
          <t>boundaries</t>
        </is>
      </c>
      <c r="D64" s="4" t="inlineStr">
        <is>
          <t>Sweden (nationwide)</t>
        </is>
      </c>
      <c r="E64" s="4" t="inlineStr">
        <is>
          <t>polygon (DeSO small statistical area; county and municipality as attributes)</t>
        </is>
      </c>
      <c r="F64" s="4" t="inlineStr">
        <is>
          <t>DeSO 2018 and DeSO 2025 versions; DeSO 2025 boundaries valid from 2025-01-01; all statistics published in 2025 use DeSO 2025</t>
        </is>
      </c>
      <c r="G64" s="4" t="n">
        <v>2025</v>
      </c>
      <c r="H64" s="4" t="inlineStr">
        <is>
          <t>open</t>
        </is>
      </c>
      <c r="I64" s="4" t="inlineStr">
        <is>
          <t>CC0 (Statistics Sweden open data terms page, linked from the DeSO page as the usage terms for open geodata)</t>
        </is>
      </c>
      <c r="J64" s="4" t="inlineStr">
        <is>
          <t>open_download</t>
        </is>
      </c>
      <c r="K64" s="4" t="inlineStr">
        <is>
          <t>gpkg (via WFS GetFeature); wms; wfs; xlsx (historical changes 2018-2025, DeSO-RegSO connection table)</t>
        </is>
      </c>
      <c r="L64" s="4" t="inlineStr">
        <is>
          <t>Joins today</t>
        </is>
      </c>
      <c r="M64" s="4" t="n">
        <v>1</v>
      </c>
      <c r="N64" s="4" t="inlineStr"/>
      <c r="O64" s="13" t="inlineStr">
        <is>
          <t>Gold</t>
        </is>
      </c>
      <c r="P64" s="4" t="n">
        <v>98</v>
      </c>
      <c r="Q64" s="17" t="inlineStr">
        <is>
          <t>https://www.scb.se/en/services/open-data-api/open-geodata/open-data-for-deso--demographic-statistical-areas/</t>
        </is>
      </c>
      <c r="R64" s="4" t="inlineStr">
        <is>
          <t>se_scb_deso</t>
        </is>
      </c>
    </row>
    <row r="65">
      <c r="A65" s="4" t="inlineStr">
        <is>
          <t>Frontier and Remote Area (FAR) Codes</t>
        </is>
      </c>
      <c r="B65" s="4" t="inlineStr">
        <is>
          <t>U.S. Department of Agriculture</t>
        </is>
      </c>
      <c r="C65" s="4" t="inlineStr">
        <is>
          <t>boundaries</t>
        </is>
      </c>
      <c r="D65" s="4" t="inlineStr">
        <is>
          <t>US: 2010 and 2020 cover ZIP Codes and tracts in the 50 states and DC; 2000 covers contiguous US ZIP Codes only</t>
        </is>
      </c>
      <c r="E65" s="4" t="inlineStr">
        <is>
          <t>tract (ZIP Code and census tract tables); a grid_90m raster version of each 2020 FAR level is offered via the ERS Geospatial Resources page</t>
        </is>
      </c>
      <c r="F65" s="4" t="inlineStr">
        <is>
          <t>2000, 2010 and 2020 vintages; 2020 vintage released March 2026 (page updated 3/13/2026)</t>
        </is>
      </c>
      <c r="G65" s="4" t="n">
        <v>2020</v>
      </c>
      <c r="H65" s="4" t="inlineStr">
        <is>
          <t>public_domain_us_federal</t>
        </is>
      </c>
      <c r="I65" s="4" t="inlineStr"/>
      <c r="J65" s="4" t="inlineStr">
        <is>
          <t>open_download</t>
        </is>
      </c>
      <c r="K65" s="4" t="inlineStr">
        <is>
          <t>xlsx; xls; zip; pdf (landing page); shapefile and grid for 2020 via ERS Geospatial Resources (page not read)</t>
        </is>
      </c>
      <c r="L65" s="4" t="inlineStr">
        <is>
          <t>Needs raster support</t>
        </is>
      </c>
      <c r="M65" s="4" t="n">
        <v>1</v>
      </c>
      <c r="N65" s="4" t="inlineStr"/>
      <c r="O65" s="19" t="inlineStr">
        <is>
          <t>Silver</t>
        </is>
      </c>
      <c r="P65" s="4" t="n">
        <v>84</v>
      </c>
      <c r="Q65" s="17" t="inlineStr">
        <is>
          <t>http://www.ers.usda.gov/data-products/frontier-and-remote-area-codes</t>
        </is>
      </c>
      <c r="R65" s="4" t="inlineStr">
        <is>
          <t>us_usda_ers_far_codes</t>
        </is>
      </c>
    </row>
    <row r="66">
      <c r="A66" s="4" t="inlineStr">
        <is>
          <t>GADM (Database of Global Administrative Areas)</t>
        </is>
      </c>
      <c r="B66" s="4" t="inlineStr">
        <is>
          <t>GADM</t>
        </is>
      </c>
      <c r="C66" s="4" t="inlineStr">
        <is>
          <t>boundaries</t>
        </is>
      </c>
      <c r="D66" s="4" t="inlineStr">
        <is>
          <t>global (by country, or the whole world as one download)</t>
        </is>
      </c>
      <c r="E66" s="4" t="inlineStr">
        <is>
          <t>postcode_small_area</t>
        </is>
      </c>
      <c r="F66" s="4" t="inlineStr"/>
      <c r="G66" s="4" t="n">
        <v>2026</v>
      </c>
      <c r="H66" s="4" t="inlineStr">
        <is>
          <t>non-commercial</t>
        </is>
      </c>
      <c r="I66" s="4" t="inlineStr">
        <is>
          <t>custom terms: free for academic and other non-commercial use; redistribution or commercial use not allowed without prior permission</t>
        </is>
      </c>
      <c r="J66" s="4" t="inlineStr">
        <is>
          <t>open_download</t>
        </is>
      </c>
      <c r="K66" s="4" t="inlineStr">
        <is>
          <t>gpkg; shp; geojson; kmz (some zipped); R via the geodata package (no rds file listed)</t>
        </is>
      </c>
      <c r="L66" s="4" t="inlineStr">
        <is>
          <t>Joins today</t>
        </is>
      </c>
      <c r="M66" s="4" t="n">
        <v>1</v>
      </c>
      <c r="N66" s="4" t="inlineStr"/>
      <c r="O66" s="19" t="inlineStr">
        <is>
          <t>Silver</t>
        </is>
      </c>
      <c r="P66" s="4" t="n">
        <v>75</v>
      </c>
      <c r="Q66" s="17" t="inlineStr">
        <is>
          <t>https://gadm.org/data.html</t>
        </is>
      </c>
      <c r="R66" s="4" t="inlineStr">
        <is>
          <t>global_gadm_boundaries</t>
        </is>
      </c>
    </row>
    <row r="67">
      <c r="A67" s="4" t="inlineStr">
        <is>
          <t>geoBoundaries (Global Database of Political Administrative Boundaries)</t>
        </is>
      </c>
      <c r="B67" s="4" t="inlineStr">
        <is>
          <t>William &amp; Mary geoLab</t>
        </is>
      </c>
      <c r="C67" s="4" t="inlineStr">
        <is>
          <t>boundaries</t>
        </is>
      </c>
      <c r="D67" s="4" t="inlineStr">
        <is>
          <t>global (over 200 entities including all UN member states; about 1 million boundaries)</t>
        </is>
      </c>
      <c r="E67" s="4" t="inlineStr">
        <is>
          <t>admin5 (ADM0-ADM5)</t>
        </is>
      </c>
      <c r="F67" s="4" t="inlineStr">
        <is>
          <t>boundaries tracked since 2016; archived releases 1.3.3 (Aug 2018) to 5.0.0 (Dec 19, 2022); a 'current' release served by the API without a version number</t>
        </is>
      </c>
      <c r="G67" s="4" t="n">
        <v>2022</v>
      </c>
      <c r="H67" s="4" t="inlineStr">
        <is>
          <t>open</t>
        </is>
      </c>
      <c r="I67" s="4" t="inlineStr">
        <is>
          <t>CC BY 4.0 (gbOpen release); gbHumanitarian (UN OCHA mirror) may be less open; gbAuthoritative (UN SALB mirror) not for commercial use</t>
        </is>
      </c>
      <c r="J67" s="4" t="inlineStr">
        <is>
          <t>api; open_download</t>
        </is>
      </c>
      <c r="K67" s="4" t="inlineStr">
        <is>
          <t>geojson; topojson; simplified geojson; aggregate zip; shapefile mentioned in the API introduction</t>
        </is>
      </c>
      <c r="L67" s="4" t="inlineStr">
        <is>
          <t>Joins today</t>
        </is>
      </c>
      <c r="M67" s="4" t="n">
        <v>1</v>
      </c>
      <c r="N67" s="4" t="inlineStr"/>
      <c r="O67" s="19" t="inlineStr">
        <is>
          <t>Silver</t>
        </is>
      </c>
      <c r="P67" s="4" t="n">
        <v>85</v>
      </c>
      <c r="Q67" s="17" t="inlineStr">
        <is>
          <t>https://www.geoboundaries.org/</t>
        </is>
      </c>
      <c r="R67" s="4" t="inlineStr">
        <is>
          <t>global_geoboundaries</t>
        </is>
      </c>
    </row>
    <row r="68">
      <c r="A68" s="4" t="inlineStr">
        <is>
          <t>Geographic Relationship Files (incl. 2010-2020 tract/block comparability)</t>
        </is>
      </c>
      <c r="B68" s="4" t="inlineStr">
        <is>
          <t>U.S. Census Bureau</t>
        </is>
      </c>
      <c r="C68" s="4" t="inlineStr">
        <is>
          <t>boundaries</t>
        </is>
      </c>
      <c r="D68" s="4" t="inlineStr">
        <is>
          <t>partly: 2024 files are 'for the state of Connecticut only'; coverage of the 2000-2020 files not readable (tab content not rendered)</t>
        </is>
      </c>
      <c r="E68" s="4" t="inlineStr">
        <is>
          <t>block (2020 Census Block Relationship Files and 2010 Census Block Relationship Files listed in the record-layout index); 2024 files are CD/SLD to county</t>
        </is>
      </c>
      <c r="F68" s="4" t="inlineStr">
        <is>
          <t>tabs for 2000, 2010, 2020, 2022, 2023, 2024; page last revised November 21, 2024; only the 2024 tab (ACS24 Connecticut files) was readable</t>
        </is>
      </c>
      <c r="G68" s="4" t="n">
        <v>2024</v>
      </c>
      <c r="H68" s="4" t="inlineStr">
        <is>
          <t>public_domain_us_federal</t>
        </is>
      </c>
      <c r="I68" s="4" t="inlineStr"/>
      <c r="J68" s="4" t="inlineStr">
        <is>
          <t>open_download</t>
        </is>
      </c>
      <c r="K68" s="4" t="inlineStr">
        <is>
          <t>txt (2024 files, each under 1 MB, on www2.census.gov); delimiter not stated</t>
        </is>
      </c>
      <c r="L68" s="4" t="inlineStr">
        <is>
          <t>Joins today</t>
        </is>
      </c>
      <c r="M68" s="4" t="n">
        <v>1</v>
      </c>
      <c r="N68" s="4" t="inlineStr"/>
      <c r="O68" s="13" t="inlineStr">
        <is>
          <t>Gold</t>
        </is>
      </c>
      <c r="P68" s="4" t="n">
        <v>93</v>
      </c>
      <c r="Q68" s="17" t="inlineStr">
        <is>
          <t>https://www.census.gov/geographies/reference-files/time-series/geo/relationship-files.html</t>
        </is>
      </c>
      <c r="R68" s="4" t="inlineStr">
        <is>
          <t>us_census_relationship_files</t>
        </is>
      </c>
    </row>
    <row r="69">
      <c r="A69" s="4" t="inlineStr">
        <is>
          <t>GeoNames geographical database</t>
        </is>
      </c>
      <c r="B69" s="4" t="inlineStr">
        <is>
          <t>GeoNames (unxos gmbh)</t>
        </is>
      </c>
      <c r="C69" s="4" t="inlineStr">
        <is>
          <t>boundaries</t>
        </is>
      </c>
      <c r="D69" s="4" t="inlineStr">
        <is>
          <t>global (allCountries.zip combines all countries; per-country files for each ISO code plus no-country)</t>
        </is>
      </c>
      <c r="E69" s="4" t="inlineStr">
        <is>
          <t>point</t>
        </is>
      </c>
      <c r="F69" s="4" t="inlineStr">
        <is>
          <t>ongoing (daily database extract; modifications-&lt;date&gt;.txt and deletes-&lt;date&gt;.txt change files); no start year stated</t>
        </is>
      </c>
      <c r="G69" s="4" t="n">
        <v>2026</v>
      </c>
      <c r="H69" s="4" t="inlineStr">
        <is>
          <t>open</t>
        </is>
      </c>
      <c r="I69" s="4" t="inlineStr">
        <is>
          <t>CC BY 4.0</t>
        </is>
      </c>
      <c r="J69" s="4" t="inlineStr">
        <is>
          <t>open_download</t>
        </is>
      </c>
      <c r="K69" s="4" t="inlineStr">
        <is>
          <t>tab-delimited txt (utf8) with lat/lon; REST web services (API)</t>
        </is>
      </c>
      <c r="L69" s="4" t="inlineStr">
        <is>
          <t>Needs a count/distance step</t>
        </is>
      </c>
      <c r="M69" s="4" t="n">
        <v>1</v>
      </c>
      <c r="N69" s="4" t="inlineStr"/>
      <c r="O69" s="19" t="inlineStr">
        <is>
          <t>Silver</t>
        </is>
      </c>
      <c r="P69" s="4" t="n">
        <v>92</v>
      </c>
      <c r="Q69" s="17" t="inlineStr">
        <is>
          <t>https://www.geonames.org/export/</t>
        </is>
      </c>
      <c r="R69" s="4" t="inlineStr">
        <is>
          <t>global_geonames</t>
        </is>
      </c>
    </row>
    <row r="70">
      <c r="A70" s="4" t="inlineStr">
        <is>
          <t>GeoNames postal codes</t>
        </is>
      </c>
      <c r="B70" s="4" t="inlineStr">
        <is>
          <t>GeoNames (unxos gmbh)</t>
        </is>
      </c>
      <c r="C70" s="4" t="inlineStr">
        <is>
          <t>boundaries</t>
        </is>
      </c>
      <c r="D70" s="4" t="inlineStr">
        <is>
          <t>about 120 countries; partial codes only for CL, CN, IE, MT, AR, BR; CA/NL/UK full codes in separate *_full.csv.zip files</t>
        </is>
      </c>
      <c r="E70" s="4" t="inlineStr">
        <is>
          <t>point</t>
        </is>
      </c>
      <c r="F70" s="4" t="inlineStr">
        <is>
          <t>daily dumps</t>
        </is>
      </c>
      <c r="G70" s="4" t="inlineStr">
        <is>
          <t>current</t>
        </is>
      </c>
      <c r="H70" s="4" t="inlineStr">
        <is>
          <t>open</t>
        </is>
      </c>
      <c r="I70" s="4" t="inlineStr">
        <is>
          <t>CC BY 4.0</t>
        </is>
      </c>
      <c r="J70" s="4" t="inlineStr">
        <is>
          <t>open_download</t>
        </is>
      </c>
      <c r="K70" s="4" t="inlineStr">
        <is>
          <t>tab-delimited txt (utf8) with lat/lon</t>
        </is>
      </c>
      <c r="L70" s="4" t="inlineStr">
        <is>
          <t>Needs a count/distance step</t>
        </is>
      </c>
      <c r="M70" s="4" t="n">
        <v>1</v>
      </c>
      <c r="N70" s="4" t="inlineStr"/>
      <c r="O70" s="19" t="inlineStr">
        <is>
          <t>Silver</t>
        </is>
      </c>
      <c r="P70" s="4" t="n">
        <v>95</v>
      </c>
      <c r="Q70" s="17" t="inlineStr">
        <is>
          <t>https://www.geonames.org/export/</t>
        </is>
      </c>
      <c r="R70" s="4" t="inlineStr">
        <is>
          <t>global_geonames_postal_codes</t>
        </is>
      </c>
    </row>
    <row r="71">
      <c r="A71" s="4" t="inlineStr">
        <is>
          <t>Global Administrative Unit Layers (GAUL)</t>
        </is>
      </c>
      <c r="B71" s="4" t="inlineStr">
        <is>
          <t>Food and Agriculture Organization of the United Nations</t>
        </is>
      </c>
      <c r="C71" s="4" t="inlineStr">
        <is>
          <t>boundaries</t>
        </is>
      </c>
      <c r="D71" s="4" t="inlineStr">
        <is>
          <t>global (place keyword World; bbox -180/180, -90/90)</t>
        </is>
      </c>
      <c r="E71" s="4" t="inlineStr">
        <is>
          <t>admin2</t>
        </is>
      </c>
      <c r="F71" s="4" t="inlineStr">
        <is>
          <t>2024 edition (temporal extent 2024-01-01 to 2024-12-31); published 2024-12-19, last updated 2025-07-29</t>
        </is>
      </c>
      <c r="G71" s="4" t="n">
        <v>2024</v>
      </c>
      <c r="H71" s="4" t="inlineStr">
        <is>
          <t>open</t>
        </is>
      </c>
      <c r="I71" s="4" t="inlineStr">
        <is>
          <t>CC BY 4.0 (catalog record; separate Terms of Use PDF must be read)</t>
        </is>
      </c>
      <c r="J71" s="4" t="inlineStr">
        <is>
          <t>open_download</t>
        </is>
      </c>
      <c r="K71" s="4" t="inlineStr">
        <is>
          <t>shp; csv (codelist); WMS</t>
        </is>
      </c>
      <c r="L71" s="4" t="inlineStr">
        <is>
          <t>Joins today</t>
        </is>
      </c>
      <c r="M71" s="4" t="n">
        <v>1</v>
      </c>
      <c r="N71" s="4" t="inlineStr"/>
      <c r="O71" s="13" t="inlineStr">
        <is>
          <t>Gold</t>
        </is>
      </c>
      <c r="P71" s="4" t="n">
        <v>93</v>
      </c>
      <c r="Q71" s="17" t="inlineStr">
        <is>
          <t>https://www.fao.org/hih-geospatial-platform/news/detail/now-available--the-global-administrative-unit-layers-(gaul)-dataset---2024-edition/en</t>
        </is>
      </c>
      <c r="R71" s="4" t="inlineStr">
        <is>
          <t>global_fao_gaul</t>
        </is>
      </c>
    </row>
    <row r="72">
      <c r="A72" s="4" t="inlineStr">
        <is>
          <t>Local administrative units (LAU) - GISCO geodata</t>
        </is>
      </c>
      <c r="B72" s="4" t="inlineStr">
        <is>
          <t>Eurostat</t>
        </is>
      </c>
      <c r="C72" s="4" t="inlineStr">
        <is>
          <t>boundaries</t>
        </is>
      </c>
      <c r="D72" s="4" t="inlineStr">
        <is>
          <t>EU;EFTA;candidate countries</t>
        </is>
      </c>
      <c r="E72" s="4" t="inlineStr">
        <is>
          <t>admin3</t>
        </is>
      </c>
      <c r="F72" s="4" t="inlineStr">
        <is>
          <t>2011-2024 annual (years 2011 through 2024 in the download selector)</t>
        </is>
      </c>
      <c r="G72" s="4" t="n">
        <v>2024</v>
      </c>
      <c r="H72" s="4" t="inlineStr">
        <is>
          <t>non-commercial</t>
        </is>
      </c>
      <c r="I72" s="4" t="inlineStr">
        <is>
          <t>custom terms: GISCO download rules (must be accepted); non-exclusive, non-transferable right to use; not for commercial purposes (contact EuroGeographics for commercial use); source acknowledged: '(c) EuroGeographics for the administrative boundaries'</t>
        </is>
      </c>
      <c r="J72" s="4" t="inlineStr">
        <is>
          <t>open_download</t>
        </is>
      </c>
      <c r="K72" s="4" t="inlineStr">
        <is>
          <t>gpkg; shp; topojson; geojson; pbf; svg</t>
        </is>
      </c>
      <c r="L72" s="4" t="inlineStr">
        <is>
          <t>Joins today</t>
        </is>
      </c>
      <c r="M72" s="4" t="n">
        <v>1</v>
      </c>
      <c r="N72" s="4" t="inlineStr"/>
      <c r="O72" s="19" t="inlineStr">
        <is>
          <t>Silver</t>
        </is>
      </c>
      <c r="P72" s="4" t="n">
        <v>84</v>
      </c>
      <c r="Q72" s="17" t="inlineStr">
        <is>
          <t>https://ec.europa.eu/eurostat/web/gisco/geodata/statistical-units/local-administrative-units</t>
        </is>
      </c>
      <c r="R72" s="4" t="inlineStr">
        <is>
          <t>eu_eurostat_gisco_lau</t>
        </is>
      </c>
    </row>
    <row r="73">
      <c r="A73" s="4" t="inlineStr">
        <is>
          <t>NCHS Urban-Rural Classification Scheme for Counties</t>
        </is>
      </c>
      <c r="B73" s="4" t="inlineStr">
        <is>
          <t>Centers for Disease Control and Prevention</t>
        </is>
      </c>
      <c r="C73" s="4" t="inlineStr">
        <is>
          <t>boundaries</t>
        </is>
      </c>
      <c r="D73" s="4" t="inlineStr">
        <is>
          <t>US, 3,144 counties and county equivalents (incl. Connecticut planning regions); territories excluded</t>
        </is>
      </c>
      <c r="E73" s="4" t="inlineStr">
        <is>
          <t>county</t>
        </is>
      </c>
      <c r="F73" s="4" t="inlineStr">
        <is>
          <t>scheme vintages 1990, 2006, 2013, 2023; 2023 scheme (2022 population estimates) re-released September 2026</t>
        </is>
      </c>
      <c r="G73" s="4" t="n">
        <v>2023</v>
      </c>
      <c r="H73" s="4" t="inlineStr">
        <is>
          <t>public_domain_us_federal</t>
        </is>
      </c>
      <c r="I73" s="4" t="inlineStr"/>
      <c r="J73" s="4" t="inlineStr">
        <is>
          <t>open_download</t>
        </is>
      </c>
      <c r="K73" s="4" t="inlineStr">
        <is>
          <t>csv; sas7bdat; xlsx (2013); pdf (docs)</t>
        </is>
      </c>
      <c r="L73" s="4" t="inlineStr">
        <is>
          <t>Joins today</t>
        </is>
      </c>
      <c r="M73" s="4" t="n">
        <v>1</v>
      </c>
      <c r="N73" s="4" t="inlineStr"/>
      <c r="O73" s="13" t="inlineStr">
        <is>
          <t>Gold</t>
        </is>
      </c>
      <c r="P73" s="4" t="n">
        <v>93</v>
      </c>
      <c r="Q73" s="17" t="inlineStr">
        <is>
          <t>https://www.cdc.gov/nchs/data_access/urban_rural.htm</t>
        </is>
      </c>
      <c r="R73" s="4" t="inlineStr">
        <is>
          <t>us_cdc_nchs_urban_rural</t>
        </is>
      </c>
    </row>
    <row r="74">
      <c r="A74" s="4" t="inlineStr">
        <is>
          <t>OpenAddresses</t>
        </is>
      </c>
      <c r="B74" s="4" t="inlineStr">
        <is>
          <t>OpenAddresses</t>
        </is>
      </c>
      <c r="C74" s="4" t="inlineStr">
        <is>
          <t>boundaries</t>
        </is>
      </c>
      <c r="D74" s="4" t="inlineStr">
        <is>
          <t>global ('data from the whole world'; per-source)</t>
        </is>
      </c>
      <c r="E74" s="4" t="inlineStr">
        <is>
          <t>address</t>
        </is>
      </c>
      <c r="F74" s="4" t="inlineStr"/>
      <c r="G74" s="4" t="inlineStr"/>
      <c r="H74" s="4" t="inlineStr">
        <is>
          <t>attribution</t>
        </is>
      </c>
      <c r="I74" s="4" t="inlineStr">
        <is>
          <t>per-source open licences; 'Most sources only require attribution'</t>
        </is>
      </c>
      <c r="J74" s="4" t="inlineStr">
        <is>
          <t>open_download</t>
        </is>
      </c>
      <c r="K74" s="4" t="inlineStr">
        <is>
          <t>csv;geojson</t>
        </is>
      </c>
      <c r="L74" s="4" t="inlineStr">
        <is>
          <t>Needs a count/distance step</t>
        </is>
      </c>
      <c r="M74" s="4" t="n">
        <v>1</v>
      </c>
      <c r="N74" s="4" t="inlineStr"/>
      <c r="O74" s="19" t="inlineStr">
        <is>
          <t>Silver</t>
        </is>
      </c>
      <c r="P74" s="4" t="n">
        <v>97</v>
      </c>
      <c r="Q74" s="17" t="inlineStr">
        <is>
          <t>https://openaddresses.io/</t>
        </is>
      </c>
      <c r="R74" s="4" t="inlineStr">
        <is>
          <t>global_openaddresses</t>
        </is>
      </c>
    </row>
    <row r="75">
      <c r="A75" s="4" t="inlineStr">
        <is>
          <t>Postal codes point dataset and postal code to NUTS correspondence (Tercet)</t>
        </is>
      </c>
      <c r="B75" s="4" t="inlineStr">
        <is>
          <t>Eurostat</t>
        </is>
      </c>
      <c r="C75" s="4" t="inlineStr">
        <is>
          <t>boundaries</t>
        </is>
      </c>
      <c r="D75" s="4" t="inlineStr">
        <is>
          <t>EU, EFTA and candidate countries</t>
        </is>
      </c>
      <c r="E75" s="4" t="inlineStr">
        <is>
          <t>point</t>
        </is>
      </c>
      <c r="F75" s="4" t="inlineStr">
        <is>
          <t>editions 2020 and 2024</t>
        </is>
      </c>
      <c r="G75" s="4" t="n">
        <v>2024</v>
      </c>
      <c r="H75" s="4" t="inlineStr">
        <is>
          <t>open</t>
        </is>
      </c>
      <c r="I75" s="4" t="inlineStr">
        <is>
          <t>CC BY-SA 4.0 (required acknowledgement: '(c) European Union - GISCO, 2024, postal code point dataset, Licence CC-BY-SA 4.0')</t>
        </is>
      </c>
      <c r="J75" s="4" t="inlineStr">
        <is>
          <t>open_download</t>
        </is>
      </c>
      <c r="K75" s="4" t="inlineStr">
        <is>
          <t>gpkg; shp; csv</t>
        </is>
      </c>
      <c r="L75" s="4" t="inlineStr">
        <is>
          <t>Needs a count/distance step</t>
        </is>
      </c>
      <c r="M75" s="4" t="n">
        <v>1</v>
      </c>
      <c r="N75" s="4" t="inlineStr"/>
      <c r="O75" s="13" t="inlineStr">
        <is>
          <t>Gold</t>
        </is>
      </c>
      <c r="P75" s="4" t="n">
        <v>98</v>
      </c>
      <c r="Q75" s="17" t="inlineStr">
        <is>
          <t>https://ec.europa.eu/eurostat/web/gisco/geodata/administrative-units/postal-codes</t>
        </is>
      </c>
      <c r="R75" s="4" t="inlineStr">
        <is>
          <t>eu_eurostat_gisco_postal_codes</t>
        </is>
      </c>
    </row>
    <row r="76">
      <c r="A76" s="4" t="inlineStr">
        <is>
          <t>Qualified Opportunity Zones (designated census tracts)</t>
        </is>
      </c>
      <c r="B76" s="4" t="inlineStr">
        <is>
          <t>U.S. Department of the Treasury</t>
        </is>
      </c>
      <c r="C76" s="4" t="inlineStr">
        <is>
          <t>boundaries</t>
        </is>
      </c>
      <c r="D76" s="4" t="inlineStr">
        <is>
          <t>US states (each State nominated eligible tracts) and Puerto Rico; DC/territories not explicitly listed</t>
        </is>
      </c>
      <c r="E76" s="4" t="inlineStr">
        <is>
          <t>tract</t>
        </is>
      </c>
      <c r="F76" s="4" t="inlineStr">
        <is>
          <t>2018 designations (list updated 2018-12-14; 'these designations are final'); new designation cycle opened 2026-07-01</t>
        </is>
      </c>
      <c r="G76" s="4" t="n">
        <v>2018</v>
      </c>
      <c r="H76" s="4" t="inlineStr">
        <is>
          <t>public_domain_us_federal</t>
        </is>
      </c>
      <c r="I76" s="4" t="inlineStr"/>
      <c r="J76" s="4" t="inlineStr">
        <is>
          <t>open_download</t>
        </is>
      </c>
      <c r="K76" s="4" t="inlineStr">
        <is>
          <t>xlsx; shp (zip); xlsb; web map (CIMS); pdf</t>
        </is>
      </c>
      <c r="L76" s="4" t="inlineStr">
        <is>
          <t>Joins today</t>
        </is>
      </c>
      <c r="M76" s="4" t="n">
        <v>1</v>
      </c>
      <c r="N76" s="4" t="inlineStr"/>
      <c r="O76" s="13" t="inlineStr">
        <is>
          <t>Gold</t>
        </is>
      </c>
      <c r="P76" s="4" t="n">
        <v>92</v>
      </c>
      <c r="Q76" s="17" t="inlineStr">
        <is>
          <t>https://www.cdfifund.gov/opportunity-zones</t>
        </is>
      </c>
      <c r="R76" s="4" t="inlineStr">
        <is>
          <t>us_treasury_opportunity_zones</t>
        </is>
      </c>
    </row>
    <row r="77">
      <c r="A77" s="4" t="inlineStr">
        <is>
          <t>Radios censales (cartografia censal) - Censo 2022 / 2010</t>
        </is>
      </c>
      <c r="B77" s="4" t="inlineStr">
        <is>
          <t>Instituto Nacional de Estadistica y Censos (INDEC)</t>
        </is>
      </c>
      <c r="C77" s="4" t="inlineStr">
        <is>
          <t>boundaries</t>
        </is>
      </c>
      <c r="D77" s="4" t="inlineStr">
        <is>
          <t>not stated; hosted on Buenos Aires province portal, publisher INDEC</t>
        </is>
      </c>
      <c r="E77" s="4" t="inlineStr">
        <is>
          <t>polygon (radio censal, census enumeration area)</t>
        </is>
      </c>
      <c r="F77" s="4" t="inlineStr">
        <is>
          <t>2010 and 2022 census cartography (resources for both censuses)</t>
        </is>
      </c>
      <c r="G77" s="4" t="n">
        <v>2022</v>
      </c>
      <c r="H77" s="4" t="inlineStr">
        <is>
          <t>open</t>
        </is>
      </c>
      <c r="I77" s="4" t="inlineStr">
        <is>
          <t>CC BY-SA 4.0 (INDEC site footer, all site material unless marked); CC BY 4.0 (GBA open-data catalog dataset page)</t>
        </is>
      </c>
      <c r="J77" s="4" t="inlineStr">
        <is>
          <t>open_download</t>
        </is>
      </c>
      <c r="K77" s="4" t="inlineStr">
        <is>
          <t>csv; shp; geojson; kml; pdf (definitions)</t>
        </is>
      </c>
      <c r="L77" s="4" t="inlineStr">
        <is>
          <t>Joins today</t>
        </is>
      </c>
      <c r="M77" s="4" t="n">
        <v>1</v>
      </c>
      <c r="N77" s="4" t="inlineStr"/>
      <c r="O77" s="19" t="inlineStr">
        <is>
          <t>Silver</t>
        </is>
      </c>
      <c r="P77" s="4" t="n">
        <v>89</v>
      </c>
      <c r="Q77" s="17" t="inlineStr">
        <is>
          <t>https://www.indec.gob.ar/indec/web/Institucional-Indec-Codgeo</t>
        </is>
      </c>
      <c r="R77" s="4" t="inlineStr">
        <is>
          <t>ar_indec_radios_censales</t>
        </is>
      </c>
    </row>
    <row r="78">
      <c r="A78" s="4" t="inlineStr">
        <is>
          <t>Rural-Urban Commuting Area Codes (RUCA)</t>
        </is>
      </c>
      <c r="B78" s="4" t="inlineStr">
        <is>
          <t>U.S. Department of Agriculture</t>
        </is>
      </c>
      <c r="C78" s="4" t="inlineStr">
        <is>
          <t>boundaries</t>
        </is>
      </c>
      <c r="D78" s="4" t="inlineStr">
        <is>
          <t>US and its territories (Puerto Rico added 2010, other territories 2020)</t>
        </is>
      </c>
      <c r="E78" s="4" t="inlineStr">
        <is>
          <t>tract</t>
        </is>
      </c>
      <c r="F78" s="4" t="inlineStr">
        <is>
          <t>1990, 2000, 2010, 2020 tract versions (not directly comparable); ZIP version 2010 and 2020 (2020 ZIP file uses June 2024 ZIP boundaries)</t>
        </is>
      </c>
      <c r="G78" s="4" t="n">
        <v>2020</v>
      </c>
      <c r="H78" s="4" t="inlineStr">
        <is>
          <t>public_domain_us_federal</t>
        </is>
      </c>
      <c r="I78" s="4" t="inlineStr"/>
      <c r="J78" s="4" t="inlineStr">
        <is>
          <t>open_download</t>
        </is>
      </c>
      <c r="K78" s="4" t="inlineStr">
        <is>
          <t>xlsx; csv; xls (older vintages); pdf (classification examples)</t>
        </is>
      </c>
      <c r="L78" s="4" t="inlineStr">
        <is>
          <t>Joins today</t>
        </is>
      </c>
      <c r="M78" s="4" t="n">
        <v>1</v>
      </c>
      <c r="N78" s="4" t="inlineStr"/>
      <c r="O78" s="13" t="inlineStr">
        <is>
          <t>Gold</t>
        </is>
      </c>
      <c r="P78" s="4" t="n">
        <v>91</v>
      </c>
      <c r="Q78" s="17" t="inlineStr">
        <is>
          <t>http://www.ers.usda.gov/data-products/rural-urban-commuting-area-codes</t>
        </is>
      </c>
      <c r="R78" s="4" t="inlineStr">
        <is>
          <t>us_usda_ers_ruca</t>
        </is>
      </c>
    </row>
    <row r="79">
      <c r="A79" s="4" t="inlineStr">
        <is>
          <t>Rural-Urban Continuum Codes (RUCC)</t>
        </is>
      </c>
      <c r="B79" s="4" t="inlineStr">
        <is>
          <t>U.S. Department of Agriculture</t>
        </is>
      </c>
      <c r="C79" s="4" t="inlineStr">
        <is>
          <t>boundaries</t>
        </is>
      </c>
      <c r="D79" s="4" t="inlineStr">
        <is>
          <t>US (3,144 counties/equivalents in 50 states + DC) plus 89 county equivalents in PR, American Samoa, Guam, Northern Mariana Islands, US Virgin Islands (3,235 total, 2023)</t>
        </is>
      </c>
      <c r="E79" s="4" t="inlineStr">
        <is>
          <t>county</t>
        </is>
      </c>
      <c r="F79" s="4" t="inlineStr">
        <is>
          <t>1974, 1983, 1993, 2003, 2013, 2023 (updated each decade since 1983)</t>
        </is>
      </c>
      <c r="G79" s="4" t="n">
        <v>2023</v>
      </c>
      <c r="H79" s="4" t="inlineStr">
        <is>
          <t>public_domain_us_federal</t>
        </is>
      </c>
      <c r="I79" s="4" t="inlineStr"/>
      <c r="J79" s="4" t="inlineStr">
        <is>
          <t>open_download</t>
        </is>
      </c>
      <c r="K79" s="4" t="inlineStr">
        <is>
          <t>xlsx; csv (2023); xls (older vintages)</t>
        </is>
      </c>
      <c r="L79" s="4" t="inlineStr">
        <is>
          <t>Joins today</t>
        </is>
      </c>
      <c r="M79" s="4" t="n">
        <v>1</v>
      </c>
      <c r="N79" s="4" t="inlineStr"/>
      <c r="O79" s="13" t="inlineStr">
        <is>
          <t>Gold</t>
        </is>
      </c>
      <c r="P79" s="4" t="n">
        <v>91</v>
      </c>
      <c r="Q79" s="17" t="inlineStr">
        <is>
          <t>http://www.ers.usda.gov/data-products/rural-urban-continuum-codes</t>
        </is>
      </c>
      <c r="R79" s="4" t="inlineStr">
        <is>
          <t>us_usda_ers_rucc</t>
        </is>
      </c>
    </row>
    <row r="80">
      <c r="A80" s="4" t="inlineStr">
        <is>
          <t>Second Administrative Level Boundaries (SALB)</t>
        </is>
      </c>
      <c r="B80" s="4" t="inlineStr">
        <is>
          <t>United Nations</t>
        </is>
      </c>
      <c r="C80" s="4" t="inlineStr">
        <is>
          <t>boundaries</t>
        </is>
      </c>
      <c r="D80" s="4" t="inlineStr">
        <is>
          <t>aims at all UN Member States; data listing shows 197 Member States, but every visible row shows 'Geospatial Datasets: None'</t>
        </is>
      </c>
      <c r="E80" s="4" t="inlineStr">
        <is>
          <t>admin2</t>
        </is>
      </c>
      <c r="F80" s="4" t="inlineStr">
        <is>
          <t>through time (historical tables)</t>
        </is>
      </c>
      <c r="G80" s="4" t="inlineStr"/>
      <c r="H80" s="4" t="inlineStr">
        <is>
          <t>unknown</t>
        </is>
      </c>
      <c r="I80" s="4" t="inlineStr">
        <is>
          <t>UN copyright ('Copyright of the SALB Data (including codes, historical tables, and geospatial data) is vested in the United Nations'); Terms of Contribution and Terms of Use referenced under Methodology, not read</t>
        </is>
      </c>
      <c r="J80" s="4" t="inlineStr">
        <is>
          <t>open_download (historical XLSX tables for some countries only; no geospatial download seen)</t>
        </is>
      </c>
      <c r="K80" s="4" t="inlineStr">
        <is>
          <t>xlsx (historical change tables)</t>
        </is>
      </c>
      <c r="L80" s="4" t="inlineStr">
        <is>
          <t>Unknown</t>
        </is>
      </c>
      <c r="M80" s="4" t="n">
        <v>1</v>
      </c>
      <c r="N80" s="4" t="inlineStr"/>
      <c r="O80" s="19" t="inlineStr">
        <is>
          <t>Silver</t>
        </is>
      </c>
      <c r="P80" s="4" t="n">
        <v>71</v>
      </c>
      <c r="Q80" s="17" t="inlineStr">
        <is>
          <t>https://salb.un.org/en</t>
        </is>
      </c>
      <c r="R80" s="4" t="inlineStr">
        <is>
          <t>global_un_salb</t>
        </is>
      </c>
    </row>
    <row r="81">
      <c r="A81" s="4" t="inlineStr">
        <is>
          <t>Stats NZ Geographic Data Service (boundaries)</t>
        </is>
      </c>
      <c r="B81" s="4" t="inlineStr">
        <is>
          <t>Stats NZ</t>
        </is>
      </c>
      <c r="C81" s="4" t="inlineStr">
        <is>
          <t>boundaries</t>
        </is>
      </c>
      <c r="D81" s="4" t="inlineStr">
        <is>
          <t>New Zealand (including oceanic areas)</t>
        </is>
      </c>
      <c r="E81" s="4" t="inlineStr">
        <is>
          <t>polygon (SA2; plus grid_250m population grid); meshblock/SA1 layers not seen</t>
        </is>
      </c>
      <c r="F81" s="4" t="inlineStr">
        <is>
          <t>current boundary vintages 2025 and 2026 listed (SA2 2026 as at 1 January 2026); series since 2018 not shown</t>
        </is>
      </c>
      <c r="G81" s="4" t="n">
        <v>2026</v>
      </c>
      <c r="H81" s="4" t="inlineStr">
        <is>
          <t>open</t>
        </is>
      </c>
      <c r="I81" s="4" t="inlineStr">
        <is>
          <t>CC BY 4.0 (Creative Commons Attribution 4.0 International; commercial use allowed, attribution required)</t>
        </is>
      </c>
      <c r="J81" s="4" t="inlineStr">
        <is>
          <t>open_download (Koordinates export; login prompts present, requirement not stated)</t>
        </is>
      </c>
      <c r="K81" s="4" t="inlineStr">
        <is>
          <t>not named on pages read (Koordinates export 'in a specific file format and projection')</t>
        </is>
      </c>
      <c r="L81" s="4" t="inlineStr">
        <is>
          <t>Joins today</t>
        </is>
      </c>
      <c r="M81" s="4" t="n">
        <v>1</v>
      </c>
      <c r="N81" s="4" t="inlineStr"/>
      <c r="O81" s="19" t="inlineStr">
        <is>
          <t>Silver</t>
        </is>
      </c>
      <c r="P81" s="4" t="n">
        <v>81</v>
      </c>
      <c r="Q81" s="17" t="inlineStr">
        <is>
          <t>https://datafinder.stats.govt.nz/</t>
        </is>
      </c>
      <c r="R81" s="4" t="inlineStr">
        <is>
          <t>nz_statsnz_geographic_data_service</t>
        </is>
      </c>
    </row>
    <row r="82">
      <c r="A82" s="4" t="inlineStr">
        <is>
          <t>Tanzania 2022 Population and Housing Census boundaries (regions, districts; Magu District)</t>
        </is>
      </c>
      <c r="B82" s="4" t="inlineStr">
        <is>
          <t>Tanzania National Bureau of Statistics</t>
        </is>
      </c>
      <c r="C82" s="4" t="inlineStr">
        <is>
          <t>boundaries</t>
        </is>
      </c>
      <c r="D82" s="4" t="inlineStr">
        <is>
          <t>Tanzania</t>
        </is>
      </c>
      <c r="E82" s="4" t="inlineStr">
        <is>
          <t>admin2 (region and district confirmed; ward, village/mtaa and EA levels described as planned in text carried over from the 2012 release)</t>
        </is>
      </c>
      <c r="F82" s="4" t="inlineStr">
        <is>
          <t>2022 Census (page header 'Tanzania, 2020 - 2022'; reference ID TZA-NBS-PHC-2020-ShapeFilesv01; geodatabase dated 2024)</t>
        </is>
      </c>
      <c r="G82" s="4" t="n">
        <v>2022</v>
      </c>
      <c r="H82" s="4" t="inlineStr">
        <is>
          <t>registration</t>
        </is>
      </c>
      <c r="I82" s="4" t="inlineStr">
        <is>
          <t>custom terms of use (statistical and scientific research purposes only; no redistribution without written agreement; no re-identification; citation required; agreement implied by continuing to data retrieval)</t>
        </is>
      </c>
      <c r="J82" s="4" t="inlineStr">
        <is>
          <t>registration (terms must be accepted before retrieval; Register/Login links; direct ZIP links listed under related materials)</t>
        </is>
      </c>
      <c r="K82" s="4" t="inlineStr">
        <is>
          <t>shp (described as shapefile feature class); geodatabase package .mpkx in ZIP; PDF manual</t>
        </is>
      </c>
      <c r="L82" s="4" t="inlineStr">
        <is>
          <t>Unknown</t>
        </is>
      </c>
      <c r="M82" s="4" t="n">
        <v>1</v>
      </c>
      <c r="N82" s="4" t="inlineStr">
        <is>
          <t>tz_2022_nbs;tz_2022_nbs_magu_district</t>
        </is>
      </c>
      <c r="O82" s="19" t="inlineStr">
        <is>
          <t>Silver</t>
        </is>
      </c>
      <c r="P82" s="4" t="n">
        <v>74</v>
      </c>
      <c r="Q82" s="17" t="inlineStr">
        <is>
          <t>https://microdata.nbs.go.tz/index.php/catalog/49/related-materials</t>
        </is>
      </c>
      <c r="R82" s="4" t="inlineStr">
        <is>
          <t>tz_nbs_2022_census_boundaries</t>
        </is>
      </c>
    </row>
    <row r="83">
      <c r="A83" s="4" t="inlineStr">
        <is>
          <t>The National Map (TNM) base layers</t>
        </is>
      </c>
      <c r="B83" s="4" t="inlineStr">
        <is>
          <t>USGS</t>
        </is>
      </c>
      <c r="C83" s="4" t="inlineStr">
        <is>
          <t>boundaries</t>
        </is>
      </c>
      <c r="D83" s="4" t="inlineStr">
        <is>
          <t>United States and its territories</t>
        </is>
      </c>
      <c r="E83" s="4" t="inlineStr">
        <is>
          <t>grid_</t>
        </is>
      </c>
      <c r="F83" s="4" t="inlineStr">
        <is>
          <t>continuous</t>
        </is>
      </c>
      <c r="G83" s="4" t="inlineStr">
        <is>
          <t>current</t>
        </is>
      </c>
      <c r="H83" s="4" t="inlineStr">
        <is>
          <t>public_domain_us_federal</t>
        </is>
      </c>
      <c r="I83" s="4" t="inlineStr"/>
      <c r="J83" s="4" t="inlineStr">
        <is>
          <t>open_download</t>
        </is>
      </c>
      <c r="K83" s="4" t="inlineStr">
        <is>
          <t>gdb; shp; geotiff; geopdf; web services; S3</t>
        </is>
      </c>
      <c r="L83" s="4" t="inlineStr">
        <is>
          <t>Needs raster support</t>
        </is>
      </c>
      <c r="M83" s="4" t="n">
        <v>1</v>
      </c>
      <c r="N83" s="4" t="inlineStr"/>
      <c r="O83" s="19" t="inlineStr">
        <is>
          <t>Silver</t>
        </is>
      </c>
      <c r="P83" s="4" t="n">
        <v>96</v>
      </c>
      <c r="Q83" s="17" t="inlineStr">
        <is>
          <t>https://www.usgs.gov/programs/national-geospatial-program/national-map</t>
        </is>
      </c>
      <c r="R83" s="4" t="inlineStr">
        <is>
          <t>us_usgs_national_map</t>
        </is>
      </c>
    </row>
    <row r="84">
      <c r="A84" s="4" t="inlineStr">
        <is>
          <t>TIGER/Line Shapefiles</t>
        </is>
      </c>
      <c r="B84" s="4" t="inlineStr">
        <is>
          <t>U.S. Census Bureau</t>
        </is>
      </c>
      <c r="C84" s="4" t="inlineStr">
        <is>
          <t>boundaries</t>
        </is>
      </c>
      <c r="D84" s="4" t="inlineStr">
        <is>
          <t>US; PR; island areas</t>
        </is>
      </c>
      <c r="E84" s="4" t="inlineStr">
        <is>
          <t>block</t>
        </is>
      </c>
      <c r="F84" s="4" t="inlineStr">
        <is>
          <t>1992-2026 vintages (shapefile 2007 to present; TIGER/Line ASCII 2006 and earlier; Census 2000 in both)</t>
        </is>
      </c>
      <c r="G84" s="4" t="n">
        <v>2026</v>
      </c>
      <c r="H84" s="4" t="inlineStr">
        <is>
          <t>public_domain_us_federal</t>
        </is>
      </c>
      <c r="I84" s="4" t="inlineStr"/>
      <c r="J84" s="4" t="inlineStr">
        <is>
          <t>open_download</t>
        </is>
      </c>
      <c r="K84" s="4" t="inlineStr">
        <is>
          <t>shp (2007-present); TIGER/Line ASCII (2006 and earlier)</t>
        </is>
      </c>
      <c r="L84" s="4" t="inlineStr">
        <is>
          <t>Joins today</t>
        </is>
      </c>
      <c r="M84" s="4" t="n">
        <v>1</v>
      </c>
      <c r="N84" s="4" t="inlineStr">
        <is>
          <t>fl_2019_tl_tract;fl_2020_tl_tract;fl_2021_tl_tract;fl_2022_tl_cousub;fl_2022_tl_tract;fl_2023_tl_tract;fl_2024_tl_tract;fl_2025_tl_tract;us_2019_prisecroads_tl;us_2019_tract_tl</t>
        </is>
      </c>
      <c r="O84" s="19" t="inlineStr">
        <is>
          <t>Silver</t>
        </is>
      </c>
      <c r="P84" s="4" t="n">
        <v>97</v>
      </c>
      <c r="Q84" s="17" t="inlineStr">
        <is>
          <t>https://www.census.gov/geographies/mapping-files/time-series/geo/tiger-line-file.html</t>
        </is>
      </c>
      <c r="R84" s="4" t="inlineStr">
        <is>
          <t>us_census_tiger_line</t>
        </is>
      </c>
    </row>
    <row r="85">
      <c r="A85" s="4" t="inlineStr">
        <is>
          <t>TIGER/Line Shapefiles - Counties</t>
        </is>
      </c>
      <c r="B85" s="4" t="inlineStr">
        <is>
          <t>U.S. Census Bureau</t>
        </is>
      </c>
      <c r="C85" s="4" t="inlineStr">
        <is>
          <t>boundaries</t>
        </is>
      </c>
      <c r="D85" s="4" t="inlineStr">
        <is>
          <t>US;PR;island areas</t>
        </is>
      </c>
      <c r="E85" s="4" t="inlineStr">
        <is>
          <t>county</t>
        </is>
      </c>
      <c r="F85" s="4" t="inlineStr">
        <is>
          <t>1992-2026 (yearly vintages listed; 2026 boundaries as of January 1, 2026)</t>
        </is>
      </c>
      <c r="G85" s="4" t="n">
        <v>2026</v>
      </c>
      <c r="H85" s="4" t="inlineStr">
        <is>
          <t>public_domain_us_federal</t>
        </is>
      </c>
      <c r="I85" s="4" t="inlineStr"/>
      <c r="J85" s="4" t="inlineStr">
        <is>
          <t>open_download</t>
        </is>
      </c>
      <c r="K85" s="4" t="inlineStr">
        <is>
          <t>shp (2007-present); TIGER/Line ASCII (2006 and earlier)</t>
        </is>
      </c>
      <c r="L85" s="4" t="inlineStr">
        <is>
          <t>Joins today</t>
        </is>
      </c>
      <c r="M85" s="4" t="n">
        <v>1</v>
      </c>
      <c r="N85" s="4" t="inlineStr">
        <is>
          <t>us_2019_county_tl;us_2020_county_tl;us_2022_county_tl;us_2023_county_tl</t>
        </is>
      </c>
      <c r="O85" s="19" t="inlineStr">
        <is>
          <t>Silver</t>
        </is>
      </c>
      <c r="P85" s="4" t="n">
        <v>97</v>
      </c>
      <c r="Q85" s="17" t="inlineStr">
        <is>
          <t>https://www.census.gov/geographies/mapping-files/time-series/geo/tiger-line-file.html</t>
        </is>
      </c>
      <c r="R85" s="4" t="inlineStr">
        <is>
          <t>us_census_tiger_line_county</t>
        </is>
      </c>
    </row>
    <row r="86">
      <c r="A86" s="4" t="inlineStr">
        <is>
          <t>U.S. Gazetteer Files</t>
        </is>
      </c>
      <c r="B86" s="4" t="inlineStr">
        <is>
          <t>U.S. Census Bureau</t>
        </is>
      </c>
      <c r="C86" s="4" t="inlineStr">
        <is>
          <t>boundaries</t>
        </is>
      </c>
      <c r="D86" s="4" t="inlineStr">
        <is>
          <t>50 states, DC and Puerto Rico; Island Areas not included (some school-district and legislative files cover fewer states)</t>
        </is>
      </c>
      <c r="E86" s="4" t="inlineStr">
        <is>
          <t>tract</t>
        </is>
      </c>
      <c r="F86" s="4" t="inlineStr">
        <is>
          <t>1990, 2000, 2010, 2012-2026 (yearly vintages listed)</t>
        </is>
      </c>
      <c r="G86" s="4" t="n">
        <v>2026</v>
      </c>
      <c r="H86" s="4" t="inlineStr">
        <is>
          <t>public_domain_us_federal</t>
        </is>
      </c>
      <c r="I86" s="4" t="inlineStr"/>
      <c r="J86" s="4" t="inlineStr">
        <is>
          <t>open_download</t>
        </is>
      </c>
      <c r="K86" s="4" t="inlineStr">
        <is>
          <t>pipe-delimited txt (zip), with GEOID and lat/lon</t>
        </is>
      </c>
      <c r="L86" s="4" t="inlineStr">
        <is>
          <t>Joins today</t>
        </is>
      </c>
      <c r="M86" s="4" t="n">
        <v>1</v>
      </c>
      <c r="N86" s="4" t="inlineStr"/>
      <c r="O86" s="13" t="inlineStr">
        <is>
          <t>Gold</t>
        </is>
      </c>
      <c r="P86" s="4" t="n">
        <v>98</v>
      </c>
      <c r="Q86" s="17" t="inlineStr">
        <is>
          <t>https://www.census.gov/geographies/reference-files/time-series/geo/gazetteer-files.html</t>
        </is>
      </c>
      <c r="R86" s="4" t="inlineStr">
        <is>
          <t>us_census_gazetteer</t>
        </is>
      </c>
    </row>
    <row r="87">
      <c r="A87" s="4" t="inlineStr">
        <is>
          <t>Urban and Rural Classification (2020 Census Urban Areas)</t>
        </is>
      </c>
      <c r="B87" s="4" t="inlineStr">
        <is>
          <t>U.S. Census Bureau</t>
        </is>
      </c>
      <c r="C87" s="4" t="inlineStr">
        <is>
          <t>boundaries</t>
        </is>
      </c>
      <c r="D87" s="4" t="inlineStr">
        <is>
          <t>U.S., Puerto Rico and Island Areas (block-level file: U.S. and Puerto Rico only)</t>
        </is>
      </c>
      <c r="E87" s="4" t="inlineStr">
        <is>
          <t>block</t>
        </is>
      </c>
      <c r="F87" s="4" t="inlineStr">
        <is>
          <t>2010 and 2020 Census classifications (2000 and 1990 referenced); latest 2020</t>
        </is>
      </c>
      <c r="G87" s="4" t="n">
        <v>2020</v>
      </c>
      <c r="H87" s="4" t="inlineStr">
        <is>
          <t>public_domain_us_federal</t>
        </is>
      </c>
      <c r="I87" s="4" t="inlineStr"/>
      <c r="J87" s="4" t="inlineStr">
        <is>
          <t>open_download</t>
        </is>
      </c>
      <c r="K87" s="4" t="inlineStr">
        <is>
          <t>xlsx; xls; txt (block file with GEOID); shp (zip); geodatabase</t>
        </is>
      </c>
      <c r="L87" s="4" t="inlineStr">
        <is>
          <t>Joins today</t>
        </is>
      </c>
      <c r="M87" s="4" t="n">
        <v>1</v>
      </c>
      <c r="N87" s="4" t="inlineStr"/>
      <c r="O87" s="13" t="inlineStr">
        <is>
          <t>Gold</t>
        </is>
      </c>
      <c r="P87" s="4" t="n">
        <v>98</v>
      </c>
      <c r="Q87" s="17" t="inlineStr">
        <is>
          <t>https://www.census.gov/programs-surveys/geography/guidance/geo-areas/urban-rural.html</t>
        </is>
      </c>
      <c r="R87" s="4" t="inlineStr">
        <is>
          <t>us_census_urban_rural</t>
        </is>
      </c>
    </row>
    <row r="88">
      <c r="A88" s="4" t="inlineStr">
        <is>
          <t>Urban Influence Codes (UIC)</t>
        </is>
      </c>
      <c r="B88" s="4" t="inlineStr">
        <is>
          <t>U.S. Department of Agriculture</t>
        </is>
      </c>
      <c r="C88" s="4" t="inlineStr">
        <is>
          <t>boundaries</t>
        </is>
      </c>
      <c r="D88" s="4" t="inlineStr">
        <is>
          <t>3,235 counties and county-equivalents in the 50 states, DC, Puerto Rico, American Samoa, Guam, Northern Mariana Islands and U.S. Virgin Islands</t>
        </is>
      </c>
      <c r="E88" s="4" t="inlineStr">
        <is>
          <t>county</t>
        </is>
      </c>
      <c r="F88" s="4" t="inlineStr">
        <is>
          <t>1993, 2003, 2013, 2024 versions (2003 Puerto Rico file separate); latest 2024</t>
        </is>
      </c>
      <c r="G88" s="4" t="n">
        <v>2024</v>
      </c>
      <c r="H88" s="4" t="inlineStr">
        <is>
          <t>public_domain_us_federal</t>
        </is>
      </c>
      <c r="I88" s="4" t="inlineStr"/>
      <c r="J88" s="4" t="inlineStr">
        <is>
          <t>open_download</t>
        </is>
      </c>
      <c r="K88" s="4" t="inlineStr">
        <is>
          <t>xlsx; csv (2024); xls (2013, 2003, 1993)</t>
        </is>
      </c>
      <c r="L88" s="4" t="inlineStr">
        <is>
          <t>Joins today</t>
        </is>
      </c>
      <c r="M88" s="4" t="n">
        <v>1</v>
      </c>
      <c r="N88" s="4" t="inlineStr"/>
      <c r="O88" s="13" t="inlineStr">
        <is>
          <t>Gold</t>
        </is>
      </c>
      <c r="P88" s="4" t="n">
        <v>91</v>
      </c>
      <c r="Q88" s="17" t="inlineStr">
        <is>
          <t>http://www.ers.usda.gov/data-products/urban-influence-codes</t>
        </is>
      </c>
      <c r="R88" s="4" t="inlineStr">
        <is>
          <t>us_usda_ers_uic</t>
        </is>
      </c>
    </row>
    <row r="89">
      <c r="A89" s="4" t="inlineStr">
        <is>
          <t>Who's On First</t>
        </is>
      </c>
      <c r="B89" s="4" t="inlineStr">
        <is>
          <t>Who's On First (Geocode Earth; formerly Mapzen)</t>
        </is>
      </c>
      <c r="C89" s="4" t="inlineStr">
        <is>
          <t>boundaries</t>
        </is>
      </c>
      <c r="D89" s="4" t="inlineStr">
        <is>
          <t>global ('all the places in the world'; 219 countries, 26M records, 21M venues)</t>
        </is>
      </c>
      <c r="E89" s="4" t="inlineStr">
        <is>
          <t>point</t>
        </is>
      </c>
      <c r="F89" s="4" t="inlineStr"/>
      <c r="G89" s="4" t="inlineStr"/>
      <c r="H89" s="4" t="inlineStr">
        <is>
          <t>attribution</t>
        </is>
      </c>
      <c r="I89" s="4" t="inlineStr">
        <is>
          <t>per-source open licences (CC BY 3.0/4.0, CC0 1.0, Open Government Licence v2/v3, MPL 2.0, other government open-data licences); 'Crediting Who's On First is recommended and linking back to the License is required'</t>
        </is>
      </c>
      <c r="J89" s="4" t="inlineStr">
        <is>
          <t>open_download</t>
        </is>
      </c>
      <c r="K89" s="4" t="inlineStr">
        <is>
          <t>geojson; sqlite; bundled slices</t>
        </is>
      </c>
      <c r="L89" s="4" t="inlineStr">
        <is>
          <t>Joins today</t>
        </is>
      </c>
      <c r="M89" s="4" t="n">
        <v>1</v>
      </c>
      <c r="N89" s="4" t="inlineStr"/>
      <c r="O89" s="19" t="inlineStr">
        <is>
          <t>Silver</t>
        </is>
      </c>
      <c r="P89" s="4" t="n">
        <v>87</v>
      </c>
      <c r="Q89" s="17" t="inlineStr">
        <is>
          <t>https://whosonfirst.org/</t>
        </is>
      </c>
      <c r="R89" s="4" t="inlineStr">
        <is>
          <t>global_whos_on_first</t>
        </is>
      </c>
    </row>
    <row r="90">
      <c r="A90" s="4" t="inlineStr">
        <is>
          <t>ZIP Code Tabulation Areas (ZCTAs)</t>
        </is>
      </c>
      <c r="B90" s="4" t="inlineStr">
        <is>
          <t>U.S. Census Bureau</t>
        </is>
      </c>
      <c r="C90" s="4" t="inlineStr">
        <is>
          <t>boundaries</t>
        </is>
      </c>
      <c r="D90" s="4" t="inlineStr">
        <is>
          <t>US (50 states, DC, PR); Island Areas excluded</t>
        </is>
      </c>
      <c r="E90" s="4" t="inlineStr">
        <is>
          <t>zcta</t>
        </is>
      </c>
      <c r="F90" s="4" t="inlineStr">
        <is>
          <t>Gazetteer vintages 1990, 2000, 2010, 2012-2026 (yearly); ZCTA file based on 2020 Census blocks</t>
        </is>
      </c>
      <c r="G90" s="4" t="n">
        <v>2026</v>
      </c>
      <c r="H90" s="4" t="inlineStr">
        <is>
          <t>public_domain_us_federal</t>
        </is>
      </c>
      <c r="I90" s="4" t="inlineStr"/>
      <c r="J90" s="4" t="inlineStr">
        <is>
          <t>open_download</t>
        </is>
      </c>
      <c r="K90" s="4" t="inlineStr">
        <is>
          <t>pipe-delimited txt (zip)</t>
        </is>
      </c>
      <c r="L90" s="4" t="inlineStr">
        <is>
          <t>Joins today</t>
        </is>
      </c>
      <c r="M90" s="4" t="n">
        <v>1</v>
      </c>
      <c r="N90" s="4" t="inlineStr">
        <is>
          <t>mdc_2020_zcta;us_2020_zcta</t>
        </is>
      </c>
      <c r="O90" s="13" t="inlineStr">
        <is>
          <t>Gold</t>
        </is>
      </c>
      <c r="P90" s="4" t="n">
        <v>98</v>
      </c>
      <c r="Q90" s="17" t="inlineStr">
        <is>
          <t>https://www.census.gov/geographies/reference-files/time-series/geo/gazetteer-files.html</t>
        </is>
      </c>
      <c r="R90" s="4" t="inlineStr">
        <is>
          <t>us_census_zcta</t>
        </is>
      </c>
    </row>
    <row r="91">
      <c r="A91" s="4" t="inlineStr">
        <is>
          <t>EnviroAtlas Community Data (block-group metrics for selected communities)</t>
        </is>
      </c>
      <c r="B91" s="4" t="inlineStr">
        <is>
          <t>US EPA</t>
        </is>
      </c>
      <c r="C91" s="4" t="inlineStr">
        <is>
          <t>built_environment</t>
        </is>
      </c>
      <c r="D91" s="4" t="inlineStr">
        <is>
          <t>US, 32 communities (e.g. Austin TX, Baltimore MD, Chicago IL, Los Angeles CA, New York NY, Phoenix AZ, Philadelphia PA, Washington DC)</t>
        </is>
      </c>
      <c r="E91" s="4" t="inlineStr">
        <is>
          <t>block_group</t>
        </is>
      </c>
      <c r="F91" s="4" t="inlineStr">
        <is>
          <t>Data years not stated; community releases dated Oct2019, Apr2020 (most communities), May2021 (Los Angeles), Mar2023 (San Diego, Tacoma); community spreadsheet dated 10/2/2023</t>
        </is>
      </c>
      <c r="G91" s="4" t="n">
        <v>2023</v>
      </c>
      <c r="H91" s="4" t="inlineStr">
        <is>
          <t>public_domain_us_federal</t>
        </is>
      </c>
      <c r="I91" s="4" t="inlineStr"/>
      <c r="J91" s="4" t="inlineStr">
        <is>
          <t>open_download</t>
        </is>
      </c>
      <c r="K91" s="4" t="inlineStr">
        <is>
          <t>gdb; csv; shp; geotiff; xlsx (download lists)</t>
        </is>
      </c>
      <c r="L91" s="4" t="inlineStr">
        <is>
          <t>Joins today</t>
        </is>
      </c>
      <c r="M91" s="4" t="n">
        <v>3</v>
      </c>
      <c r="N91" s="4" t="inlineStr"/>
      <c r="O91" s="19" t="inlineStr">
        <is>
          <t>Silver</t>
        </is>
      </c>
      <c r="P91" s="4" t="n">
        <v>94</v>
      </c>
      <c r="Q91" s="17" t="inlineStr">
        <is>
          <t>https://www.epa.gov/enviroatlas/data-download</t>
        </is>
      </c>
      <c r="R91" s="4" t="inlineStr">
        <is>
          <t>us_epa_enviroatlas_community</t>
        </is>
      </c>
    </row>
    <row r="92">
      <c r="A92" s="4" t="inlineStr">
        <is>
          <t>Indicators of Broadband Need map</t>
        </is>
      </c>
      <c r="B92" s="4" t="inlineStr">
        <is>
          <t>U.S. Department of Commerce</t>
        </is>
      </c>
      <c r="C92" s="4" t="inlineStr">
        <is>
          <t>built_environment</t>
        </is>
      </c>
      <c r="D92" s="4" t="inlineStr">
        <is>
          <t>US ('across the country'; tribal communities mentioned)</t>
        </is>
      </c>
      <c r="E92" s="4" t="inlineStr">
        <is>
          <t>block</t>
        </is>
      </c>
      <c r="F92" s="4" t="inlineStr">
        <is>
          <t>Release date June 17, 2021 only; source data years not stated</t>
        </is>
      </c>
      <c r="G92" s="4" t="n">
        <v>2021</v>
      </c>
      <c r="H92" s="4" t="inlineStr">
        <is>
          <t>public_domain_us_federal</t>
        </is>
      </c>
      <c r="I92" s="4" t="inlineStr"/>
      <c r="J92" s="4" t="inlineStr">
        <is>
          <t>web map viewer only (no download or API described)</t>
        </is>
      </c>
      <c r="K92" s="4" t="inlineStr">
        <is>
          <t>web map (Esri Living Atlas layers)</t>
        </is>
      </c>
      <c r="L92" s="4" t="inlineStr">
        <is>
          <t>Joins today</t>
        </is>
      </c>
      <c r="M92" s="4" t="n">
        <v>3</v>
      </c>
      <c r="N92" s="4" t="inlineStr"/>
      <c r="O92" s="19" t="inlineStr">
        <is>
          <t>Silver</t>
        </is>
      </c>
      <c r="P92" s="4" t="n">
        <v>86</v>
      </c>
      <c r="Q92" s="17" t="inlineStr">
        <is>
          <t>https://broadbandusa.ntia.gov/node/7522</t>
        </is>
      </c>
      <c r="R92" s="4" t="inlineStr">
        <is>
          <t>us_ntia_indicators_broadband_need</t>
        </is>
      </c>
    </row>
    <row r="93">
      <c r="A93" s="4" t="inlineStr">
        <is>
          <t>National Walkability Index</t>
        </is>
      </c>
      <c r="B93" s="4" t="inlineStr">
        <is>
          <t>EPA</t>
        </is>
      </c>
      <c r="C93" s="4" t="inlineStr">
        <is>
          <t>built_environment</t>
        </is>
      </c>
      <c r="D93" s="4" t="inlineStr">
        <is>
          <t>US ('every Census 2019 block group in the U.S.'); keywords include Puerto Rico and American Samoa; bounding box -180 to 180, 2.97 to 90</t>
        </is>
      </c>
      <c r="E93" s="4" t="inlineStr">
        <is>
          <t>block_group</t>
        </is>
      </c>
      <c r="F93" s="4" t="inlineStr">
        <is>
          <t>DCAT temporal 2019-01-01 to open-ended (9999-01-01); issued and modified 2021-05-13; block groups from Census 2019; 2021 user guide</t>
        </is>
      </c>
      <c r="G93" s="4" t="n">
        <v>2021</v>
      </c>
      <c r="H93" s="4" t="inlineStr">
        <is>
          <t>open</t>
        </is>
      </c>
      <c r="I93" s="4" t="inlineStr">
        <is>
          <t>CC0 1.0 (https://creativecommons.org/publicdomain/zero/1.0/)</t>
        </is>
      </c>
      <c r="J93" s="4" t="inlineStr">
        <is>
          <t>open_download</t>
        </is>
      </c>
      <c r="K93" s="4" t="inlineStr">
        <is>
          <t>zip (contents not stated); csv; ArcGIS REST MapServer; html</t>
        </is>
      </c>
      <c r="L93" s="4" t="inlineStr">
        <is>
          <t>Joins today</t>
        </is>
      </c>
      <c r="M93" s="4" t="n">
        <v>3</v>
      </c>
      <c r="N93" s="4" t="inlineStr"/>
      <c r="O93" s="13" t="inlineStr">
        <is>
          <t>Gold</t>
        </is>
      </c>
      <c r="P93" s="4" t="n">
        <v>95</v>
      </c>
      <c r="Q93" s="17" t="inlineStr">
        <is>
          <t>https://catalog.data.gov/dataset/walkability-index</t>
        </is>
      </c>
      <c r="R93" s="4" t="inlineStr">
        <is>
          <t>us_epa_national_walkability_index</t>
        </is>
      </c>
    </row>
    <row r="94">
      <c r="A94" s="4" t="inlineStr">
        <is>
          <t>Overture Maps Foundation data releases</t>
        </is>
      </c>
      <c r="B94" s="4" t="inlineStr">
        <is>
          <t>Overture Maps Foundation</t>
        </is>
      </c>
      <c r="C94" s="4" t="inlineStr">
        <is>
          <t>built_environment</t>
        </is>
      </c>
      <c r="D94" s="4" t="inlineStr">
        <is>
          <t>global</t>
        </is>
      </c>
      <c r="E94" s="4" t="inlineStr">
        <is>
          <t>point</t>
        </is>
      </c>
      <c r="F94" s="4" t="inlineStr">
        <is>
          <t>Dated releases through at least 2026 (example path release/2026-10-21.0; STAC catalog 'always points to the latest release'); start year not stated</t>
        </is>
      </c>
      <c r="G94" s="4" t="n">
        <v>2026</v>
      </c>
      <c r="H94" s="4" t="inlineStr">
        <is>
          <t>open</t>
        </is>
      </c>
      <c r="I94" s="4" t="inlineStr">
        <is>
          <t>ODbL (base, buildings, divisions, transportation themes); places: per provider, mostly CDLA Permissive 2.0 (Foursquare Apache 2.0, AllThePlaces CC0 1.0); addresses: per-country permissive open licences (mostly CC BY 4.0, CC0, public domain)</t>
        </is>
      </c>
      <c r="J94" s="4" t="inlineStr">
        <is>
          <t>open_download</t>
        </is>
      </c>
      <c r="K94" s="4" t="inlineStr">
        <is>
          <t>geoparquet; geojson (export); pmtiles</t>
        </is>
      </c>
      <c r="L94" s="4" t="inlineStr">
        <is>
          <t>Needs a count/distance step</t>
        </is>
      </c>
      <c r="M94" s="4" t="n">
        <v>3</v>
      </c>
      <c r="N94" s="4" t="inlineStr"/>
      <c r="O94" s="19" t="inlineStr">
        <is>
          <t>Silver</t>
        </is>
      </c>
      <c r="P94" s="4" t="n">
        <v>93</v>
      </c>
      <c r="Q94" s="17" t="inlineStr">
        <is>
          <t>https://docs.overturemaps.org/getting-data/</t>
        </is>
      </c>
      <c r="R94" s="4" t="inlineStr">
        <is>
          <t>global_overture_maps</t>
        </is>
      </c>
    </row>
    <row r="95">
      <c r="A95" s="4" t="inlineStr">
        <is>
          <t>Smart Location Database (SLD)</t>
        </is>
      </c>
      <c r="B95" s="4" t="inlineStr">
        <is>
          <t>EPA</t>
        </is>
      </c>
      <c r="C95" s="4" t="inlineStr">
        <is>
          <t>built_environment</t>
        </is>
      </c>
      <c r="D95" s="4" t="inlineStr">
        <is>
          <t>US (every census block group in the United States)</t>
        </is>
      </c>
      <c r="E95" s="4" t="inlineStr">
        <is>
          <t>block_group</t>
        </is>
      </c>
      <c r="F95" s="4" t="inlineStr">
        <is>
          <t>2019 Census block group boundaries; V3 released Jan 2021 (data years of inputs not stated on the record)</t>
        </is>
      </c>
      <c r="G95" s="4" t="n">
        <v>2021</v>
      </c>
      <c r="H95" s="4" t="inlineStr">
        <is>
          <t>open</t>
        </is>
      </c>
      <c r="I95" s="4" t="inlineStr">
        <is>
          <t>CC0 1.0 (License field links to https://creativecommons.org/publicdomain/zero/1.0/)</t>
        </is>
      </c>
      <c r="J95" s="4" t="inlineStr">
        <is>
          <t>open_download</t>
        </is>
      </c>
      <c r="K95" s="4" t="inlineStr">
        <is>
          <t>zip (contents not described); csv; ArcGIS MapServer REST</t>
        </is>
      </c>
      <c r="L95" s="4" t="inlineStr">
        <is>
          <t>Joins today</t>
        </is>
      </c>
      <c r="M95" s="4" t="n">
        <v>3</v>
      </c>
      <c r="N95" s="4" t="inlineStr"/>
      <c r="O95" s="19" t="inlineStr">
        <is>
          <t>Silver</t>
        </is>
      </c>
      <c r="P95" s="4" t="n">
        <v>96</v>
      </c>
      <c r="Q95" s="17" t="inlineStr">
        <is>
          <t>https://catalog.data.gov/dataset/smart-location-database</t>
        </is>
      </c>
      <c r="R95" s="4" t="inlineStr">
        <is>
          <t>us_epa_smart_location_database</t>
        </is>
      </c>
    </row>
    <row r="96">
      <c r="A96" s="4" t="inlineStr">
        <is>
          <t>VIIRS/NPP Lunar BRDF-Adjusted Nighttime Lights Yearly L3 Global 15 arc second (VNP46A4)</t>
        </is>
      </c>
      <c r="B96" s="4" t="inlineStr">
        <is>
          <t>NASA</t>
        </is>
      </c>
      <c r="C96" s="4" t="inlineStr">
        <is>
          <t>built_environment</t>
        </is>
      </c>
      <c r="D96" s="4" t="inlineStr">
        <is>
          <t>global</t>
        </is>
      </c>
      <c r="E96" s="4" t="inlineStr">
        <is>
          <t>grid_15arcsec</t>
        </is>
      </c>
      <c r="F96" s="4" t="inlineStr">
        <is>
          <t>annual from 2012-01-01; end date not stated (availability chart did not load)</t>
        </is>
      </c>
      <c r="G96" s="4" t="n">
        <v>2023</v>
      </c>
      <c r="H96" s="4" t="inlineStr">
        <is>
          <t>public_domain_us_federal</t>
        </is>
      </c>
      <c r="I96" s="4" t="inlineStr"/>
      <c r="J96" s="4" t="inlineStr">
        <is>
          <t>registration</t>
        </is>
      </c>
      <c r="K96" s="4" t="inlineStr">
        <is>
          <t>HDF5 (HDF-EOS5, .h5)</t>
        </is>
      </c>
      <c r="L96" s="4" t="inlineStr">
        <is>
          <t>Needs raster support</t>
        </is>
      </c>
      <c r="M96" s="4" t="n">
        <v>3</v>
      </c>
      <c r="N96" s="4" t="inlineStr">
        <is>
          <t>egom_2012_viirs_vnp46a4;egom_2013_viirs_vnp46a4;egom_2014_viirs_vnp46a4;egom_2015_viirs_vnp46a4;egom_2016_viirs_vnp46a4;egom_2017_viirs_vnp46a4;egom_2018_viirs_vnp46a4;egom_2019_viirs_vnp46a4;egom_2020_viirs_vnp46a4;egom_2021_viirs_vnp46a4;egom_2022_viirs_vnp46a4;egom_2023_viirs_vnp46a4;egom_2024_viirs_vnp46a4;mdc_2012_viirs_vnp46a4;mdc_2013_viirs_vnp46a4;mdc_2014_viirs_vnp46a4;mdc_2015_viirs_vnp46a4;mdc_2016_viirs_vnp46a4;mdc_2017_viirs_vnp46a4;mdc_2018_viirs_vnp46a4;mdc_2019_viirs_vnp46a4;mdc_2020_viirs_vnp46a4;mdc_2023_viirs_vnp46a4</t>
        </is>
      </c>
      <c r="O96" s="19" t="inlineStr">
        <is>
          <t>Silver</t>
        </is>
      </c>
      <c r="P96" s="4" t="n">
        <v>87</v>
      </c>
      <c r="Q96" s="17" t="inlineStr">
        <is>
          <t>https://ladsweb.modaps.eosdis.nasa.gov/missions-and-measurements/products/VNP46A4/</t>
        </is>
      </c>
      <c r="R96" s="4" t="inlineStr">
        <is>
          <t>global_nasa_viirs_vnp46a4</t>
        </is>
      </c>
    </row>
    <row r="97">
      <c r="A97" s="4" t="inlineStr">
        <is>
          <t>Annual National Land Cover Database (Annual NLCD)</t>
        </is>
      </c>
      <c r="B97" s="4" t="inlineStr">
        <is>
          <t>USGS</t>
        </is>
      </c>
      <c r="C97" s="4" t="inlineStr">
        <is>
          <t>built_environment</t>
        </is>
      </c>
      <c r="D97" s="4" t="inlineStr">
        <is>
          <t>US (conterminous United States)</t>
        </is>
      </c>
      <c r="E97" s="4" t="inlineStr">
        <is>
          <t>grid_30m</t>
        </is>
      </c>
      <c r="F97" s="4" t="inlineStr">
        <is>
          <t>1985-2025 annual</t>
        </is>
      </c>
      <c r="G97" s="4" t="n">
        <v>2025</v>
      </c>
      <c r="H97" s="4" t="inlineStr">
        <is>
          <t>open</t>
        </is>
      </c>
      <c r="I97" s="4" t="inlineStr">
        <is>
          <t>public domain; CC0 1.0 Universal (no use constraints)</t>
        </is>
      </c>
      <c r="J97" s="4" t="inlineStr">
        <is>
          <t>open_download</t>
        </is>
      </c>
      <c r="K97" s="4" t="inlineStr">
        <is>
          <t>raster (format not named); WMS</t>
        </is>
      </c>
      <c r="L97" s="4" t="inlineStr">
        <is>
          <t>Needs raster support</t>
        </is>
      </c>
      <c r="M97" s="4" t="n">
        <v>2</v>
      </c>
      <c r="N97" s="4" t="inlineStr">
        <is>
          <t>mdc_2021_nlcd_impervious_surfaces;mdc_2021_nlcd_land_cover</t>
        </is>
      </c>
      <c r="O97" s="19" t="inlineStr">
        <is>
          <t>Silver</t>
        </is>
      </c>
      <c r="P97" s="4" t="n">
        <v>89</v>
      </c>
      <c r="Q97" s="17" t="inlineStr">
        <is>
          <t>https://www.mrlc.gov/data</t>
        </is>
      </c>
      <c r="R97" s="4" t="inlineStr">
        <is>
          <t>us_usgs_nlcd_annual</t>
        </is>
      </c>
    </row>
    <row r="98">
      <c r="A98" s="4" t="inlineStr">
        <is>
          <t>C-CAP Regional Land Cover and Change</t>
        </is>
      </c>
      <c r="B98" s="4" t="inlineStr">
        <is>
          <t>NOAA</t>
        </is>
      </c>
      <c r="C98" s="4" t="inlineStr">
        <is>
          <t>built_environment</t>
        </is>
      </c>
      <c r="D98" s="4" t="inlineStr">
        <is>
          <t>US coasts (coastal states) incl. Hawaii and Puerto Rico</t>
        </is>
      </c>
      <c r="E98" s="4" t="inlineStr">
        <is>
          <t>grid_30m</t>
        </is>
      </c>
      <c r="F98" s="4" t="inlineStr">
        <is>
          <t>1975-2021 (epochs 1975, 1985, 1992, 1996, 2001, 2006, 2010, 2016, 2021; HI 1992/2001/2005; PR 2010)</t>
        </is>
      </c>
      <c r="G98" s="4" t="n">
        <v>2021</v>
      </c>
      <c r="H98" s="4" t="inlineStr">
        <is>
          <t>public_domain_us_federal</t>
        </is>
      </c>
      <c r="I98" s="4" t="inlineStr"/>
      <c r="J98" s="4" t="inlineStr">
        <is>
          <t>open_download</t>
        </is>
      </c>
      <c r="K98" s="4" t="inlineStr">
        <is>
          <t>raster (format not named); shp (mapping boundary); xlsx (change data); ArcGIS ImageServer</t>
        </is>
      </c>
      <c r="L98" s="4" t="inlineStr">
        <is>
          <t>Needs raster support</t>
        </is>
      </c>
      <c r="M98" s="4" t="n">
        <v>2</v>
      </c>
      <c r="N98" s="4" t="inlineStr"/>
      <c r="O98" s="13" t="inlineStr">
        <is>
          <t>Gold</t>
        </is>
      </c>
      <c r="P98" s="4" t="n">
        <v>93</v>
      </c>
      <c r="Q98" s="17" t="inlineStr">
        <is>
          <t>https://coast.noaa.gov/digitalcoast/data/ccapregional.html</t>
        </is>
      </c>
      <c r="R98" s="4" t="inlineStr">
        <is>
          <t>us_noaa_ccap_land_cover</t>
        </is>
      </c>
    </row>
    <row r="99">
      <c r="A99" s="4" t="inlineStr">
        <is>
          <t>County Business Patterns</t>
        </is>
      </c>
      <c r="B99" s="4" t="inlineStr">
        <is>
          <t>U.S. Census Bureau</t>
        </is>
      </c>
      <c r="C99" s="4" t="inlineStr">
        <is>
          <t>built_environment</t>
        </is>
      </c>
      <c r="D99" s="4" t="inlineStr">
        <is>
          <t>US (U.S., state, county, metro/micro areas, CSA, congressional district, ZIP Code); Puerto Rico and Island Areas also covered</t>
        </is>
      </c>
      <c r="E99" s="4" t="inlineStr">
        <is>
          <t>zip</t>
        </is>
      </c>
      <c r="F99" s="4" t="inlineStr">
        <is>
          <t>1986-2023 annual (datasets 'from 1986 to the current reference year'; tables on data.census.gov from 2012); Latest Data: 2023</t>
        </is>
      </c>
      <c r="G99" s="4" t="n">
        <v>2023</v>
      </c>
      <c r="H99" s="4" t="inlineStr">
        <is>
          <t>public_domain_us_federal</t>
        </is>
      </c>
      <c r="I99" s="4" t="inlineStr"/>
      <c r="J99" s="4" t="inlineStr">
        <is>
          <t>open_download</t>
        </is>
      </c>
      <c r="K99" s="4" t="inlineStr">
        <is>
          <t>csv</t>
        </is>
      </c>
      <c r="L99" s="4" t="inlineStr">
        <is>
          <t>Joins today</t>
        </is>
      </c>
      <c r="M99" s="4" t="n">
        <v>2</v>
      </c>
      <c r="N99" s="4" t="inlineStr"/>
      <c r="O99" s="13" t="inlineStr">
        <is>
          <t>Gold</t>
        </is>
      </c>
      <c r="P99" s="4" t="n">
        <v>93</v>
      </c>
      <c r="Q99" s="17" t="inlineStr">
        <is>
          <t>https://www.census.gov/programs-surveys/cbp.html</t>
        </is>
      </c>
      <c r="R99" s="4" t="inlineStr">
        <is>
          <t>us_census_cbp</t>
        </is>
      </c>
    </row>
    <row r="100">
      <c r="A100" s="4" t="inlineStr">
        <is>
          <t>Derived map of global electricity transmission and distribution lines (Global Electrification Database)</t>
        </is>
      </c>
      <c r="B100" s="4" t="inlineStr">
        <is>
          <t>World Bank</t>
        </is>
      </c>
      <c r="C100" s="4" t="inlineStr">
        <is>
          <t>built_environment</t>
        </is>
      </c>
      <c r="D100" s="4" t="inlineStr">
        <is>
          <t>global</t>
        </is>
      </c>
      <c r="E100" s="4" t="inlineStr">
        <is>
          <t>line</t>
        </is>
      </c>
      <c r="F100" s="4" t="inlineStr"/>
      <c r="G100" s="4" t="inlineStr"/>
      <c r="H100" s="4" t="inlineStr">
        <is>
          <t>open</t>
        </is>
      </c>
      <c r="I100" s="4" t="inlineStr">
        <is>
          <t>CC BY 4.0</t>
        </is>
      </c>
      <c r="J100" s="4" t="inlineStr">
        <is>
          <t>open_download</t>
        </is>
      </c>
      <c r="K100" s="4" t="inlineStr">
        <is>
          <t>gpkg; tif; ArcGIS Feature Service</t>
        </is>
      </c>
      <c r="L100" s="4" t="inlineStr">
        <is>
          <t>Needs raster support</t>
        </is>
      </c>
      <c r="M100" s="4" t="n">
        <v>2</v>
      </c>
      <c r="N100" s="4" t="inlineStr"/>
      <c r="O100" s="19" t="inlineStr">
        <is>
          <t>Silver</t>
        </is>
      </c>
      <c r="P100" s="4" t="n">
        <v>92</v>
      </c>
      <c r="Q100" s="17" t="inlineStr">
        <is>
          <t>https://datacatalog.worldbank.org/search/dataset/0038055/Global-Electrification-Database-from-Tracking-SDG7-The-Energy-Progress-Report</t>
        </is>
      </c>
      <c r="R100" s="4" t="inlineStr">
        <is>
          <t>global_worldbank_global_electrification_grid_map</t>
        </is>
      </c>
    </row>
    <row r="101">
      <c r="A101" s="4" t="inlineStr">
        <is>
          <t>European Settlement Map (ESM) 2015 R2019 (2 m / 10 m built-up)</t>
        </is>
      </c>
      <c r="B101" s="4" t="inlineStr">
        <is>
          <t>European Commission Joint Research Centre (JRC)</t>
        </is>
      </c>
      <c r="C101" s="4" t="inlineStr">
        <is>
          <t>built_environment</t>
        </is>
      </c>
      <c r="D101" s="4" t="inlineStr">
        <is>
          <t>Europe (ESM 2015 listed as a European product; country list / EEA39 not stated)</t>
        </is>
      </c>
      <c r="E101" s="4" t="inlineStr">
        <is>
          <t>grid_2m</t>
        </is>
      </c>
      <c r="F101" s="4" t="inlineStr">
        <is>
          <t>2015 (single epoch), release R2019</t>
        </is>
      </c>
      <c r="G101" s="4" t="n">
        <v>2015</v>
      </c>
      <c r="H101" s="4" t="inlineStr">
        <is>
          <t>attribution</t>
        </is>
      </c>
      <c r="I101" s="4" t="inlineStr">
        <is>
          <t>reuse authorised with proper acknowledgment of the source (© European Union, 1995-2025 copyright line); no licence name given on the datasets page</t>
        </is>
      </c>
      <c r="J101" s="4" t="inlineStr">
        <is>
          <t>open_download</t>
        </is>
      </c>
      <c r="K101" s="4" t="inlineStr">
        <is>
          <t>geotiff</t>
        </is>
      </c>
      <c r="L101" s="4" t="inlineStr">
        <is>
          <t>Needs raster support</t>
        </is>
      </c>
      <c r="M101" s="4" t="n">
        <v>2</v>
      </c>
      <c r="N101" s="4" t="inlineStr"/>
      <c r="O101" s="13" t="inlineStr">
        <is>
          <t>Gold</t>
        </is>
      </c>
      <c r="P101" s="4" t="n">
        <v>92</v>
      </c>
      <c r="Q101" s="17" t="inlineStr">
        <is>
          <t>https://human-settlement.emergency.copernicus.eu/datasets.php</t>
        </is>
      </c>
      <c r="R101" s="4" t="inlineStr">
        <is>
          <t>eu_jrc_european_settlement_map</t>
        </is>
      </c>
    </row>
    <row r="102">
      <c r="A102" s="4" t="inlineStr">
        <is>
          <t>Florida Managed Areas (FLMA) / state and national parks (FNAI GIS data)</t>
        </is>
      </c>
      <c r="B102" s="4" t="inlineStr">
        <is>
          <t>Florida Natural Areas Inventory (FNAI)</t>
        </is>
      </c>
      <c r="C102" s="4" t="inlineStr">
        <is>
          <t>built_environment</t>
        </is>
      </c>
      <c r="D102" s="4" t="inlineStr">
        <is>
          <t>Florida (statewide; bounding box -87.52 to -79.88, 24.25 to 31.03)</t>
        </is>
      </c>
      <c r="E102" s="4" t="inlineStr">
        <is>
          <t>polygon</t>
        </is>
      </c>
      <c r="F102" s="4" t="inlineStr">
        <is>
          <t>current snapshot: Florida Conservation Lands, September 2026 edition (created 2026-09-30, published 2026-10-02); next update 2026-12-31</t>
        </is>
      </c>
      <c r="G102" s="4" t="n">
        <v>2026</v>
      </c>
      <c r="H102" s="4" t="inlineStr">
        <is>
          <t>attribution</t>
        </is>
      </c>
      <c r="I102" s="4" t="inlineStr">
        <is>
          <t>custom terms: 'FNAI must be cited as the source of these data in all reports and products'; data provided as-is without warranty; no formal licence named</t>
        </is>
      </c>
      <c r="J102" s="4" t="inlineStr">
        <is>
          <t>open_download</t>
        </is>
      </c>
      <c r="K102" s="4" t="inlineStr">
        <is>
          <t>gdb (zipped file geodatabase feature class); kmz</t>
        </is>
      </c>
      <c r="L102" s="4" t="inlineStr">
        <is>
          <t>Joins today</t>
        </is>
      </c>
      <c r="M102" s="4" t="n">
        <v>2</v>
      </c>
      <c r="N102" s="4" t="inlineStr">
        <is>
          <t>fl_2026_flma;mdc_2026_flma</t>
        </is>
      </c>
      <c r="O102" s="13" t="inlineStr">
        <is>
          <t>Gold</t>
        </is>
      </c>
      <c r="P102" s="4" t="n">
        <v>95</v>
      </c>
      <c r="Q102" s="17" t="inlineStr">
        <is>
          <t>https://www.fnai.org/publications/gis-data</t>
        </is>
      </c>
      <c r="R102" s="4" t="inlineStr">
        <is>
          <t>us_fnai_florida_managed_areas</t>
        </is>
      </c>
    </row>
    <row r="103">
      <c r="A103" s="4" t="inlineStr">
        <is>
          <t>Florida US Highways</t>
        </is>
      </c>
      <c r="B103" s="4" t="inlineStr">
        <is>
          <t>Florida Department of Transportation</t>
        </is>
      </c>
      <c r="C103" s="4" t="inlineStr">
        <is>
          <t>built_environment</t>
        </is>
      </c>
      <c r="D103" s="4" t="inlineStr">
        <is>
          <t>Florida, US (extent lon -87.10 to -80.01, lat 24.43 to 31.15)</t>
        </is>
      </c>
      <c r="E103" s="4" t="inlineStr">
        <is>
          <t>line</t>
        </is>
      </c>
      <c r="F103" s="4" t="inlineStr">
        <is>
          <t>ongoing: created 2017-07-21, modified 2026-10-26, 'updated every Saturday'</t>
        </is>
      </c>
      <c r="G103" s="4" t="n">
        <v>2026</v>
      </c>
      <c r="H103" s="4" t="inlineStr">
        <is>
          <t>unknown</t>
        </is>
      </c>
      <c r="I103" s="4" t="inlineStr">
        <is>
          <t>custom: FDOT no-warranty / liability disclaimer in licenseInfo (license: 'custom'); item flagged openData: true</t>
        </is>
      </c>
      <c r="J103" s="4" t="inlineStr">
        <is>
          <t>open_download</t>
        </is>
      </c>
      <c r="K103" s="4" t="inlineStr">
        <is>
          <t>shapefile; geojson; gpkg; filegdb; csv; kml; parquet; sqlite; excel (Hub export); source shapefile zip on ftp.fdot.gov</t>
        </is>
      </c>
      <c r="L103" s="4" t="inlineStr">
        <is>
          <t>Unknown</t>
        </is>
      </c>
      <c r="M103" s="4" t="n">
        <v>2</v>
      </c>
      <c r="N103" s="4" t="inlineStr"/>
      <c r="O103" s="19" t="inlineStr">
        <is>
          <t>Silver</t>
        </is>
      </c>
      <c r="P103" s="4" t="n">
        <v>80</v>
      </c>
      <c r="Q103" s="17" t="inlineStr">
        <is>
          <t>https://gis-fdot.opendata.arcgis.com/datasets/fdot::us-routes-tda/about</t>
        </is>
      </c>
      <c r="R103" s="4" t="inlineStr">
        <is>
          <t>us_fl_us_highways</t>
        </is>
      </c>
    </row>
    <row r="104">
      <c r="A104" s="4" t="inlineStr">
        <is>
          <t>GHSL GHS-BUILT-S built-up surface grid (R2023A); related GHS-BUILT-V volume, GHS-BUILT-H height, GHS-BUILT-C characteristics, GHS-AGE</t>
        </is>
      </c>
      <c r="B104" s="4" t="inlineStr">
        <is>
          <t>European Commission Joint Research Centre (JRC)</t>
        </is>
      </c>
      <c r="C104" s="4" t="inlineStr">
        <is>
          <t>built_environment</t>
        </is>
      </c>
      <c r="D104" s="4" t="inlineStr">
        <is>
          <t>global</t>
        </is>
      </c>
      <c r="E104" s="4" t="inlineStr">
        <is>
          <t>grid_10m</t>
        </is>
      </c>
      <c r="F104" s="4" t="inlineStr">
        <is>
          <t>1975-2030 (BUILT-S, BUILT-V); 2018 (BUILT-H, BUILT-C); 1975-2020 at 5- and 10-year intervals (GHS-AGE)</t>
        </is>
      </c>
      <c r="G104" s="4" t="n">
        <v>2030</v>
      </c>
      <c r="H104" s="4" t="inlineStr">
        <is>
          <t>open</t>
        </is>
      </c>
      <c r="I104" s="4" t="inlineStr">
        <is>
          <t>CC BY 4.0 ('The GHSL data are provided under the Creative Commons Attribution 4.0 International (CC BY 4.0) license'); reuse authorised with acknowledgment of source</t>
        </is>
      </c>
      <c r="J104" s="4" t="inlineStr">
        <is>
          <t>open_download</t>
        </is>
      </c>
      <c r="K104" s="4" t="inlineStr">
        <is>
          <t>geotiff</t>
        </is>
      </c>
      <c r="L104" s="4" t="inlineStr">
        <is>
          <t>Needs raster support</t>
        </is>
      </c>
      <c r="M104" s="4" t="n">
        <v>2</v>
      </c>
      <c r="N104" s="4" t="inlineStr"/>
      <c r="O104" s="13" t="inlineStr">
        <is>
          <t>Gold</t>
        </is>
      </c>
      <c r="P104" s="4" t="n">
        <v>95</v>
      </c>
      <c r="Q104" s="17" t="inlineStr">
        <is>
          <t>https://human-settlement.emergency.copernicus.eu/datasets.php</t>
        </is>
      </c>
      <c r="R104" s="4" t="inlineStr">
        <is>
          <t>global_jrc_ghsl_ghs_built_s</t>
        </is>
      </c>
    </row>
    <row r="105">
      <c r="A105" s="4" t="inlineStr">
        <is>
          <t>GHSL GHS-DUC Degree of Urbanisation Classification of administrative units (GADM 4.1), R2023A; GHS-WUP-DUC R2025A</t>
        </is>
      </c>
      <c r="B105" s="4" t="inlineStr">
        <is>
          <t>European Commission Joint Research Centre (JRC)</t>
        </is>
      </c>
      <c r="C105" s="4" t="inlineStr">
        <is>
          <t>built_environment</t>
        </is>
      </c>
      <c r="D105" s="4" t="inlineStr">
        <is>
          <t>global</t>
        </is>
      </c>
      <c r="E105" s="4" t="inlineStr">
        <is>
          <t>GADM 4.1 administrative units, levels 0-5 (GHS-DUC); grid_1km (GHS-WUP-DUC)</t>
        </is>
      </c>
      <c r="F105" s="4" t="inlineStr">
        <is>
          <t>1975-2030 5-yearly (GHS-DUC R2023A); GHS-WUP-DUC R2025A labelled '1975-2100 long-range projections' but its table lists classification files for 1975-2030 at 5-year intervals</t>
        </is>
      </c>
      <c r="G105" s="4" t="n">
        <v>2030</v>
      </c>
      <c r="H105" s="4" t="inlineStr">
        <is>
          <t>open</t>
        </is>
      </c>
      <c r="I105" s="4" t="inlineStr">
        <is>
          <t>CC BY 4.0 ('The GHSL data are provided under the Creative Commons Attribution 4.0 International (CC BY 4.0) license'); reuse authorised with acknowledgment of source</t>
        </is>
      </c>
      <c r="J105" s="4" t="inlineStr">
        <is>
          <t>open_download</t>
        </is>
      </c>
      <c r="K105" s="4" t="inlineStr">
        <is>
          <t>gpkg; csv; xlsx</t>
        </is>
      </c>
      <c r="L105" s="4" t="inlineStr">
        <is>
          <t>Needs raster support</t>
        </is>
      </c>
      <c r="M105" s="4" t="n">
        <v>2</v>
      </c>
      <c r="N105" s="4" t="inlineStr"/>
      <c r="O105" s="13" t="inlineStr">
        <is>
          <t>Gold</t>
        </is>
      </c>
      <c r="P105" s="4" t="n">
        <v>91</v>
      </c>
      <c r="Q105" s="17" t="inlineStr">
        <is>
          <t>https://human-settlement.emergency.copernicus.eu/datasets.php</t>
        </is>
      </c>
      <c r="R105" s="4" t="inlineStr">
        <is>
          <t>global_jrc_ghsl_ghs_duc</t>
        </is>
      </c>
    </row>
    <row r="106">
      <c r="A106" s="4" t="inlineStr">
        <is>
          <t>GHSL GHS-SMOD Degree of Urbanisation settlement model grid (R2023A) and GHS-WUP-DEGURBA (R2025A)</t>
        </is>
      </c>
      <c r="B106" s="4" t="inlineStr">
        <is>
          <t>European Commission Joint Research Centre (JRC)</t>
        </is>
      </c>
      <c r="C106" s="4" t="inlineStr">
        <is>
          <t>built_environment</t>
        </is>
      </c>
      <c r="D106" s="4" t="inlineStr">
        <is>
          <t>global</t>
        </is>
      </c>
      <c r="E106" s="4" t="inlineStr">
        <is>
          <t>grid_1km</t>
        </is>
      </c>
      <c r="F106" s="4" t="inlineStr">
        <is>
          <t>1975-2030 at 5-year steps (GHS-SMOD R2023A); 1975-2100 at 5-year intervals (GHS-WUP-DEGURBA R2025A)</t>
        </is>
      </c>
      <c r="G106" s="4" t="n">
        <v>2030</v>
      </c>
      <c r="H106" s="4" t="inlineStr">
        <is>
          <t>open</t>
        </is>
      </c>
      <c r="I106" s="4" t="inlineStr">
        <is>
          <t>CC BY 4.0 ('The GHSL data are provided under the Creative Commons Attribution 4.0 International (CC BY 4.0) license'); reuse authorised with acknowledgment of source</t>
        </is>
      </c>
      <c r="J106" s="4" t="inlineStr">
        <is>
          <t>open_download</t>
        </is>
      </c>
      <c r="K106" s="4" t="inlineStr">
        <is>
          <t>geotiff</t>
        </is>
      </c>
      <c r="L106" s="4" t="inlineStr">
        <is>
          <t>Needs raster support</t>
        </is>
      </c>
      <c r="M106" s="4" t="n">
        <v>2</v>
      </c>
      <c r="N106" s="4" t="inlineStr"/>
      <c r="O106" s="13" t="inlineStr">
        <is>
          <t>Gold</t>
        </is>
      </c>
      <c r="P106" s="4" t="n">
        <v>95</v>
      </c>
      <c r="Q106" s="17" t="inlineStr">
        <is>
          <t>https://human-settlement.emergency.copernicus.eu/datasets.php</t>
        </is>
      </c>
      <c r="R106" s="4" t="inlineStr">
        <is>
          <t>global_jrc_ghsl_ghs_smod</t>
        </is>
      </c>
    </row>
    <row r="107">
      <c r="A107" s="4" t="inlineStr">
        <is>
          <t>Global Man-made Impervious Surface (GMIS) Dataset From Landsat, v1 (2010)</t>
        </is>
      </c>
      <c r="B107" s="4" t="inlineStr">
        <is>
          <t>CIESIN, Columbia University</t>
        </is>
      </c>
      <c r="C107" s="4" t="inlineStr">
        <is>
          <t>built_environment</t>
        </is>
      </c>
      <c r="D107" s="4" t="inlineStr">
        <is>
          <t>global except Antarctica and some small islands (bbox N 82.79, S -58.35, E 180, W -180)</t>
        </is>
      </c>
      <c r="E107" s="4" t="inlineStr">
        <is>
          <t>grid_30m</t>
        </is>
      </c>
      <c r="F107" s="4" t="inlineStr">
        <is>
          <t>2010-01-01 to 2010-12-31 (single year)</t>
        </is>
      </c>
      <c r="G107" s="4" t="n">
        <v>2010</v>
      </c>
      <c r="H107" s="4" t="inlineStr">
        <is>
          <t>open</t>
        </is>
      </c>
      <c r="I107" s="4" t="inlineStr">
        <is>
          <t>openly shared without restriction, in accordance with the EOSDIS Data Use and Citation Guidance (guidance: NASA-led mission data licensed CC0 unless marked otherwise; non-NASA data subject to the sponsoring organization's licence)</t>
        </is>
      </c>
      <c r="J107" s="4" t="inlineStr">
        <is>
          <t>registration</t>
        </is>
      </c>
      <c r="K107" s="4" t="inlineStr">
        <is>
          <t>GeoTIFF; PDF; PNG; WMS</t>
        </is>
      </c>
      <c r="L107" s="4" t="inlineStr">
        <is>
          <t>Needs raster support</t>
        </is>
      </c>
      <c r="M107" s="4" t="n">
        <v>2</v>
      </c>
      <c r="N107" s="4" t="inlineStr"/>
      <c r="O107" s="19" t="inlineStr">
        <is>
          <t>Silver</t>
        </is>
      </c>
      <c r="P107" s="4" t="n">
        <v>96</v>
      </c>
      <c r="Q107" s="17" t="inlineStr">
        <is>
          <t>https://www.earthdata.nasa.gov/data/catalog/sedac-ciesin-sedac-ulandsat-gmis-v1-1.0</t>
        </is>
      </c>
      <c r="R107" s="4" t="inlineStr">
        <is>
          <t>global_sedac_gmis_v1</t>
        </is>
      </c>
    </row>
    <row r="108">
      <c r="A108" s="4" t="inlineStr">
        <is>
          <t>Global Roads Open Access Data Set, Version 1 (gROADSv1)</t>
        </is>
      </c>
      <c r="B108" s="4" t="inlineStr">
        <is>
          <t>CIESIN, Columbia University</t>
        </is>
      </c>
      <c r="C108" s="4" t="inlineStr">
        <is>
          <t>built_environment</t>
        </is>
      </c>
      <c r="D108" s="4" t="inlineStr">
        <is>
          <t>global (N 90, S -55, E 180, W -180; regions Oceania, Africa, Asia, Europe, North America, South America)</t>
        </is>
      </c>
      <c r="E108" s="4" t="inlineStr">
        <is>
          <t>line</t>
        </is>
      </c>
      <c r="F108" s="4" t="inlineStr">
        <is>
          <t>1980-01-01 to 2010-12-31 (road network dates vary by country, 1980s to 2010; most countries have no confirmed date)</t>
        </is>
      </c>
      <c r="G108" s="4" t="n">
        <v>2010</v>
      </c>
      <c r="H108" s="4" t="inlineStr">
        <is>
          <t>open</t>
        </is>
      </c>
      <c r="I108" s="4" t="inlineStr">
        <is>
          <t>openly shared, without restriction, in accordance with the EOSDIS Data Use and Citation Guidance (readme has use constraints for a small number of countries)</t>
        </is>
      </c>
      <c r="J108" s="4" t="inlineStr">
        <is>
          <t>registration</t>
        </is>
      </c>
      <c r="K108" s="4" t="inlineStr">
        <is>
          <t>shp; gdb; pdf; png</t>
        </is>
      </c>
      <c r="L108" s="4" t="inlineStr">
        <is>
          <t>Needs a count/distance step</t>
        </is>
      </c>
      <c r="M108" s="4" t="n">
        <v>2</v>
      </c>
      <c r="N108" s="4" t="inlineStr"/>
      <c r="O108" s="19" t="inlineStr">
        <is>
          <t>Silver</t>
        </is>
      </c>
      <c r="P108" s="4" t="n">
        <v>96</v>
      </c>
      <c r="Q108" s="17" t="inlineStr">
        <is>
          <t>https://www.earthdata.nasa.gov/data/catalog/sedac-ciesin-sedac-groads-v1-1.0</t>
        </is>
      </c>
      <c r="R108" s="4" t="inlineStr">
        <is>
          <t>global_sedac_groads_v1</t>
        </is>
      </c>
    </row>
    <row r="109">
      <c r="A109" s="4" t="inlineStr">
        <is>
          <t>High Resolution Layer Imperviousness (Imperviousness Density, Imperviousness Change, Built-up)</t>
        </is>
      </c>
      <c r="B109" s="4" t="inlineStr">
        <is>
          <t>European Environment Agency (EEA)</t>
        </is>
      </c>
      <c r="C109" s="4" t="inlineStr">
        <is>
          <t>built_environment</t>
        </is>
      </c>
      <c r="D109" s="4" t="inlineStr">
        <is>
          <t>over entire Europe (no country list)</t>
        </is>
      </c>
      <c r="E109" s="4" t="inlineStr">
        <is>
          <t>grid_10m</t>
        </is>
      </c>
      <c r="F109" s="4" t="inlineStr">
        <is>
          <t>2006;2009;2012;2015;2018 (3-yearly); annual from 2018 in new HRL</t>
        </is>
      </c>
      <c r="G109" s="4" t="n">
        <v>2018</v>
      </c>
      <c r="H109" s="4" t="inlineStr">
        <is>
          <t>unknown</t>
        </is>
      </c>
      <c r="I109" s="4" t="inlineStr"/>
      <c r="J109" s="4" t="inlineStr">
        <is>
          <t>registration</t>
        </is>
      </c>
      <c r="K109" s="4" t="inlineStr">
        <is>
          <t>geotiff</t>
        </is>
      </c>
      <c r="L109" s="4" t="inlineStr">
        <is>
          <t>Needs raster support</t>
        </is>
      </c>
      <c r="M109" s="4" t="n">
        <v>2</v>
      </c>
      <c r="N109" s="4" t="inlineStr"/>
      <c r="O109" s="19" t="inlineStr">
        <is>
          <t>Silver</t>
        </is>
      </c>
      <c r="P109" s="4" t="n">
        <v>94</v>
      </c>
      <c r="Q109" s="17" t="inlineStr">
        <is>
          <t>https://land.copernicus.eu/en/products/high-resolution-layer-imperviousness</t>
        </is>
      </c>
      <c r="R109" s="4" t="inlineStr">
        <is>
          <t>eu_copernicus_hrl_imperviousness</t>
        </is>
      </c>
    </row>
    <row r="110">
      <c r="A110" s="4" t="inlineStr">
        <is>
          <t>Highway Performance Monitoring System (HPMS) Public Release</t>
        </is>
      </c>
      <c r="B110" s="4" t="inlineStr">
        <is>
          <t>U.S. Department of Transportation</t>
        </is>
      </c>
      <c r="C110" s="4" t="inlineStr">
        <is>
          <t>built_environment</t>
        </is>
      </c>
      <c r="D110" s="4" t="inlineStr">
        <is>
          <t>US (50 states, DC, PR)</t>
        </is>
      </c>
      <c r="E110" s="4" t="inlineStr">
        <is>
          <t>line</t>
        </is>
      </c>
      <c r="F110" s="4" t="inlineStr">
        <is>
          <t>2018 (only public release year on the shapefiles page); annual data years described (states submit every June following the data year; public by September)</t>
        </is>
      </c>
      <c r="G110" s="4" t="n">
        <v>2018</v>
      </c>
      <c r="H110" s="4" t="inlineStr">
        <is>
          <t>public_domain_us_federal</t>
        </is>
      </c>
      <c r="I110" s="4" t="inlineStr"/>
      <c r="J110" s="4" t="inlineStr">
        <is>
          <t>open_download</t>
        </is>
      </c>
      <c r="K110" s="4" t="inlineStr">
        <is>
          <t>shp (zip, by state); arcgis_rest (FeatureServer per state, e.g. Alabama_2018_PR)</t>
        </is>
      </c>
      <c r="L110" s="4" t="inlineStr">
        <is>
          <t>Needs a count/distance step</t>
        </is>
      </c>
      <c r="M110" s="4" t="n">
        <v>2</v>
      </c>
      <c r="N110" s="4" t="inlineStr"/>
      <c r="O110" s="19" t="inlineStr">
        <is>
          <t>Silver</t>
        </is>
      </c>
      <c r="P110" s="4" t="n">
        <v>89</v>
      </c>
      <c r="Q110" s="17" t="inlineStr">
        <is>
          <t>https://www.fhwa.dot.gov/policyinformation/hpms.cfm</t>
        </is>
      </c>
      <c r="R110" s="4" t="inlineStr">
        <is>
          <t>us_fhwa_hpms</t>
        </is>
      </c>
    </row>
    <row r="111">
      <c r="A111" s="4" t="inlineStr">
        <is>
          <t>LCMAP (Land Change Monitoring, Assessment, and Projection) - legacy</t>
        </is>
      </c>
      <c r="B111" s="4" t="inlineStr">
        <is>
          <t>USGS</t>
        </is>
      </c>
      <c r="C111" s="4" t="inlineStr">
        <is>
          <t>built_environment</t>
        </is>
      </c>
      <c r="D111" s="4" t="inlineStr">
        <is>
          <t>conterminous United States (CONUS) and Hawaii</t>
        </is>
      </c>
      <c r="E111" s="4" t="inlineStr">
        <is>
          <t>grid_30m</t>
        </is>
      </c>
      <c r="F111" s="4" t="inlineStr">
        <is>
          <t>CONUS Collection 1.3: 1985-2021 annual; Hawaii 1.0: 2000-2020 annual</t>
        </is>
      </c>
      <c r="G111" s="4" t="n">
        <v>2021</v>
      </c>
      <c r="H111" s="4" t="inlineStr">
        <is>
          <t>public_domain_us_federal</t>
        </is>
      </c>
      <c r="I111" s="4" t="inlineStr"/>
      <c r="J111" s="4" t="inlineStr">
        <is>
          <t>open_download</t>
        </is>
      </c>
      <c r="K111" s="4" t="inlineStr">
        <is>
          <t>geotiff (mosaics); tar (tile bundles); xml (metadata)</t>
        </is>
      </c>
      <c r="L111" s="4" t="inlineStr">
        <is>
          <t>Needs raster support</t>
        </is>
      </c>
      <c r="M111" s="4" t="n">
        <v>2</v>
      </c>
      <c r="N111" s="4" t="inlineStr"/>
      <c r="O111" s="19" t="inlineStr">
        <is>
          <t>Silver</t>
        </is>
      </c>
      <c r="P111" s="4" t="n">
        <v>93</v>
      </c>
      <c r="Q111" s="17" t="inlineStr">
        <is>
          <t>https://www.usgs.gov/special-topics/lcmap</t>
        </is>
      </c>
      <c r="R111" s="4" t="inlineStr">
        <is>
          <t>us_usgs_lcmap</t>
        </is>
      </c>
    </row>
    <row r="112">
      <c r="A112" s="4" t="inlineStr">
        <is>
          <t>Microsoft GlobalMLBuildingFootprints: worldwide building footprints derived from satellite imagery (with height estimates)</t>
        </is>
      </c>
      <c r="B112" s="4" t="inlineStr">
        <is>
          <t>Microsoft</t>
        </is>
      </c>
      <c r="C112" s="4" t="inlineStr">
        <is>
          <t>built_environment</t>
        </is>
      </c>
      <c r="D112" s="4" t="inlineStr">
        <is>
          <t>global (225 regions; 30,340 tiles; 1.4B buildings per intro, 999M per FAQ)</t>
        </is>
      </c>
      <c r="E112" s="4" t="inlineStr">
        <is>
          <t>polygon</t>
        </is>
      </c>
      <c r="F112" s="4" t="inlineStr">
        <is>
          <t>imagery 2014-2024 per intro (FAQ says 2014-2021; the 2026-02-03 release cites 2021-2025); dated releases 2022-07-05 through 2026-08-13 (ongoing)</t>
        </is>
      </c>
      <c r="G112" s="4" t="n">
        <v>2026</v>
      </c>
      <c r="H112" s="4" t="inlineStr">
        <is>
          <t>open</t>
        </is>
      </c>
      <c r="I112" s="4" t="inlineStr">
        <is>
          <t>CDLA Permissive 2.0</t>
        </is>
      </c>
      <c r="J112" s="4" t="inlineStr">
        <is>
          <t>open_download</t>
        </is>
      </c>
      <c r="K112" s="4" t="inlineStr">
        <is>
          <t>geojson (line-delimited geojsonl inside .csv.gz files); Planetary Computer collection (format not stated in README)</t>
        </is>
      </c>
      <c r="L112" s="4" t="inlineStr">
        <is>
          <t>Joins today</t>
        </is>
      </c>
      <c r="M112" s="4" t="n">
        <v>2</v>
      </c>
      <c r="N112" s="4" t="inlineStr"/>
      <c r="O112" s="13" t="inlineStr">
        <is>
          <t>Gold</t>
        </is>
      </c>
      <c r="P112" s="4" t="n">
        <v>98</v>
      </c>
      <c r="Q112" s="17" t="inlineStr">
        <is>
          <t>https://github.com/microsoft/GlobalMLBuildingFootprints</t>
        </is>
      </c>
      <c r="R112" s="4" t="inlineStr">
        <is>
          <t>global_microsoft_building_footprints</t>
        </is>
      </c>
    </row>
    <row r="113">
      <c r="A113" s="4" t="inlineStr">
        <is>
          <t>National Agriculture Imagery Program (NAIP)</t>
        </is>
      </c>
      <c r="B113" s="4" t="inlineStr">
        <is>
          <t>USDA</t>
        </is>
      </c>
      <c r="C113" s="4" t="inlineStr">
        <is>
          <t>built_environment</t>
        </is>
      </c>
      <c r="D113" s="4" t="inlineStr">
        <is>
          <t>continental U.S. (data.gov spatial bbox is global -180,-90,180,90)</t>
        </is>
      </c>
      <c r="E113" s="4" t="inlineStr">
        <is>
          <t>grid_0.3m (30-100 cm imagery)</t>
        </is>
      </c>
      <c r="F113" s="4" t="inlineStr">
        <is>
          <t>AWS: 2010 through 2023 for most products; data.gov temporal field 1970-01-01/2022-01-17</t>
        </is>
      </c>
      <c r="G113" s="4" t="n">
        <v>2023</v>
      </c>
      <c r="H113" s="4" t="inlineStr">
        <is>
          <t>open</t>
        </is>
      </c>
      <c r="I113" s="4" t="inlineStr">
        <is>
          <t>Public Domain with Attribution (AWS registry); data.gov record: no license field, access level public</t>
        </is>
      </c>
      <c r="J113" s="4" t="inlineStr">
        <is>
          <t>open_download</t>
        </is>
      </c>
      <c r="K113" s="4" t="inlineStr">
        <is>
          <t>geotiff (naip-source); cog (naip-analytic, naip-visualization); mrf (naip-analytic)</t>
        </is>
      </c>
      <c r="L113" s="4" t="inlineStr">
        <is>
          <t>Needs raster support</t>
        </is>
      </c>
      <c r="M113" s="4" t="n">
        <v>2</v>
      </c>
      <c r="N113" s="4" t="inlineStr"/>
      <c r="O113" s="19" t="inlineStr">
        <is>
          <t>Silver</t>
        </is>
      </c>
      <c r="P113" s="4" t="n">
        <v>93</v>
      </c>
      <c r="Q113" s="17" t="inlineStr">
        <is>
          <t>https://catalog.data.gov/dataset/national-agriculture-imagery-program-naip</t>
        </is>
      </c>
      <c r="R113" s="4" t="inlineStr">
        <is>
          <t>us_usda_naip</t>
        </is>
      </c>
    </row>
    <row r="114">
      <c r="A114" s="4" t="inlineStr">
        <is>
          <t>NRC List of Power Reactor Units (operating commercial reactors)</t>
        </is>
      </c>
      <c r="B114" s="4" t="inlineStr">
        <is>
          <t>US Nuclear Regulatory Commission</t>
        </is>
      </c>
      <c r="C114" s="4" t="inlineStr">
        <is>
          <t>built_environment</t>
        </is>
      </c>
      <c r="D114" s="4" t="inlineStr">
        <is>
          <t>US (units in 28 states per the Location column)</t>
        </is>
      </c>
      <c r="E114" s="4" t="inlineStr">
        <is>
          <t>point (approximate; text location such as '6 miles WNW of Russellville, AR'; no coordinates)</t>
        </is>
      </c>
      <c r="F114" s="4" t="inlineStr">
        <is>
          <t>current snapshot of 95 operating units; 'Page Last Reviewed/Updated Monday, September 14, 2026'</t>
        </is>
      </c>
      <c r="G114" s="4" t="n">
        <v>2026</v>
      </c>
      <c r="H114" s="4" t="inlineStr">
        <is>
          <t>open</t>
        </is>
      </c>
      <c r="I114" s="4" t="inlineStr">
        <is>
          <t>public domain (US Government work): NRC website 'is not subject to copyright', 'no restrictions on use'; credit appreciated but not required</t>
        </is>
      </c>
      <c r="J114" s="4" t="inlineStr">
        <is>
          <t>open_download (HTML table on the page only; no file download)</t>
        </is>
      </c>
      <c r="K114" s="4" t="inlineStr">
        <is>
          <t>html table</t>
        </is>
      </c>
      <c r="L114" s="4" t="inlineStr">
        <is>
          <t>Needs a count/distance step</t>
        </is>
      </c>
      <c r="M114" s="4" t="n">
        <v>2</v>
      </c>
      <c r="N114" s="4" t="inlineStr"/>
      <c r="O114" s="19" t="inlineStr">
        <is>
          <t>Silver</t>
        </is>
      </c>
      <c r="P114" s="4" t="n">
        <v>76</v>
      </c>
      <c r="Q114" s="17" t="inlineStr">
        <is>
          <t>https://www.nrc.gov/reactors/operating/list-power-reactor-units.html</t>
        </is>
      </c>
      <c r="R114" s="4" t="inlineStr">
        <is>
          <t>us_nrc_power_reactor_units</t>
        </is>
      </c>
    </row>
    <row r="115">
      <c r="A115" s="4" t="inlineStr">
        <is>
          <t>Open Buildings</t>
        </is>
      </c>
      <c r="B115" s="4" t="inlineStr">
        <is>
          <t>Google Research</t>
        </is>
      </c>
      <c r="C115" s="4" t="inlineStr">
        <is>
          <t>built_environment</t>
        </is>
      </c>
      <c r="D115" s="4" t="inlineStr">
        <is>
          <t>Africa, South Asia, South-East Asia, Latin America and the Caribbean; 58M km2 inference area; 1.8 billion buildings (v3); conflict zones excluded</t>
        </is>
      </c>
      <c r="E115" s="4" t="inlineStr">
        <is>
          <t>polygon (v3 footprints); grid_4m effective resolution, rasters provided at 50 cm (Temporal)</t>
        </is>
      </c>
      <c r="F115" s="4" t="inlineStr">
        <is>
          <t>v1 inference April 2021; v2 August 2022; v3 May 2023 (imagery age varies by location); Temporal dataset annual 2016-2023</t>
        </is>
      </c>
      <c r="G115" s="4" t="n">
        <v>2023</v>
      </c>
      <c r="H115" s="4" t="inlineStr">
        <is>
          <t>open</t>
        </is>
      </c>
      <c r="I115" s="4" t="inlineStr">
        <is>
          <t>CC BY 4.0 or ODbL v1.0 (either, at the user's choice); Temporal dataset also CC BY 4.0 / ODbL v1.0</t>
        </is>
      </c>
      <c r="J115" s="4" t="inlineStr">
        <is>
          <t>open_download</t>
        </is>
      </c>
      <c r="K115" s="4" t="inlineStr">
        <is>
          <t>csv (S2 level-4 sharded, WKT geometry + lat/lon); earth engine asset / image collection; raster via Google Cloud Storage (format not named)</t>
        </is>
      </c>
      <c r="L115" s="4" t="inlineStr">
        <is>
          <t>Needs raster support</t>
        </is>
      </c>
      <c r="M115" s="4" t="n">
        <v>2</v>
      </c>
      <c r="N115" s="4" t="inlineStr"/>
      <c r="O115" s="13" t="inlineStr">
        <is>
          <t>Gold</t>
        </is>
      </c>
      <c r="P115" s="4" t="n">
        <v>98</v>
      </c>
      <c r="Q115" s="17" t="inlineStr">
        <is>
          <t>https://sites.research.google/gr/open-buildings/</t>
        </is>
      </c>
      <c r="R115" s="4" t="inlineStr">
        <is>
          <t>global_google_open_buildings</t>
        </is>
      </c>
    </row>
    <row r="116">
      <c r="A116" s="4" t="inlineStr">
        <is>
          <t>OpenStreetMap</t>
        </is>
      </c>
      <c r="B116" s="4" t="inlineStr">
        <is>
          <t>OpenStreetMap Foundation</t>
        </is>
      </c>
      <c r="C116" s="4" t="inlineStr">
        <is>
          <t>built_environment</t>
        </is>
      </c>
      <c r="D116" s="4" t="inlineStr">
        <is>
          <t>global ('a map of the world')</t>
        </is>
      </c>
      <c r="E116" s="4" t="inlineStr">
        <is>
          <t>point</t>
        </is>
      </c>
      <c r="F116" s="4" t="inlineStr"/>
      <c r="G116" s="4" t="inlineStr"/>
      <c r="H116" s="4" t="inlineStr">
        <is>
          <t>open</t>
        </is>
      </c>
      <c r="I116" s="4" t="inlineStr">
        <is>
          <t>ODbL (Open Data Commons Open Database License); version not stated in the text (legal-code link is odbl/1-0); documentation CC BY-SA 2.0</t>
        </is>
      </c>
      <c r="J116" s="4" t="inlineStr">
        <is>
          <t>open_download</t>
        </is>
      </c>
      <c r="K116" s="4" t="inlineStr">
        <is>
          <t>pbf;osm;shp</t>
        </is>
      </c>
      <c r="L116" s="4" t="inlineStr">
        <is>
          <t>Needs a count/distance step</t>
        </is>
      </c>
      <c r="M116" s="4" t="n">
        <v>2</v>
      </c>
      <c r="N116" s="4" t="inlineStr">
        <is>
          <t>hh_glaciares_osm;hh_red_vial_osm;hh_rios_arroyos_osm;hh_rutas_pie_osm;tt_ferry_routes;tt_populated_places;tt_regions;tt_roads;tz_populated_places_osm;tz_regions_osm</t>
        </is>
      </c>
      <c r="O116" s="19" t="inlineStr">
        <is>
          <t>Silver</t>
        </is>
      </c>
      <c r="P116" s="4" t="n">
        <v>96</v>
      </c>
      <c r="Q116" s="17" t="inlineStr">
        <is>
          <t>https://www.openstreetmap.org/</t>
        </is>
      </c>
      <c r="R116" s="4" t="inlineStr">
        <is>
          <t>global_openstreetmap</t>
        </is>
      </c>
    </row>
    <row r="117">
      <c r="A117" s="4" t="inlineStr">
        <is>
          <t>OpenStreetMap US extracts (Geofabrik)</t>
        </is>
      </c>
      <c r="B117" s="4" t="inlineStr">
        <is>
          <t>Geofabrik GmbH</t>
        </is>
      </c>
      <c r="C117" s="4" t="inlineStr">
        <is>
          <t>built_environment</t>
        </is>
      </c>
      <c r="D117" s="4" t="inlineStr">
        <is>
          <t>US: 50 states, DC, Puerto Rico, US Virgin Islands (53 sub-regions)</t>
        </is>
      </c>
      <c r="E117" s="4" t="inlineStr">
        <is>
          <t>point</t>
        </is>
      </c>
      <c r="F117" s="4" t="inlineStr">
        <is>
          <t>current snapshot (us-latest.osm.pbf contains all OSM data up to 2026-10-27T21:23:59Z); dated snapshots listed 2026-10-22 to 2026-10-27</t>
        </is>
      </c>
      <c r="G117" s="4" t="n">
        <v>2026</v>
      </c>
      <c r="H117" s="4" t="inlineStr">
        <is>
          <t>open</t>
        </is>
      </c>
      <c r="I117" s="4" t="inlineStr">
        <is>
          <t>ODbL 1.0</t>
        </is>
      </c>
      <c r="J117" s="4" t="inlineStr">
        <is>
          <t>open_download</t>
        </is>
      </c>
      <c r="K117" s="4" t="inlineStr">
        <is>
          <t>osm.pbf; gpkg.zip (per state, some unavailable e.g. California); shp.zip (sub-regions only, not national); osc.gz diffs; kml/poly boundary</t>
        </is>
      </c>
      <c r="L117" s="4" t="inlineStr">
        <is>
          <t>Needs a count/distance step</t>
        </is>
      </c>
      <c r="M117" s="4" t="n">
        <v>2</v>
      </c>
      <c r="N117" s="4" t="inlineStr"/>
      <c r="O117" s="19" t="inlineStr">
        <is>
          <t>Silver</t>
        </is>
      </c>
      <c r="P117" s="4" t="n">
        <v>97</v>
      </c>
      <c r="Q117" s="17" t="inlineStr">
        <is>
          <t>https://download.geofabrik.de/north-america/us.html</t>
        </is>
      </c>
      <c r="R117" s="4" t="inlineStr">
        <is>
          <t>global_geofabrik_osm_extracts</t>
        </is>
      </c>
    </row>
    <row r="118">
      <c r="A118" s="4" t="inlineStr">
        <is>
          <t>Protected Areas Database of the United States (PAD-US)</t>
        </is>
      </c>
      <c r="B118" s="4" t="inlineStr">
        <is>
          <t>USGS</t>
        </is>
      </c>
      <c r="C118" s="4" t="inlineStr">
        <is>
          <t>built_environment</t>
        </is>
      </c>
      <c r="D118" s="4" t="inlineStr">
        <is>
          <t>US terrestrial and marine protected areas ('all Federal and most State and local lands'); downloads by 56 state/territory boundaries</t>
        </is>
      </c>
      <c r="E118" s="4" t="inlineStr">
        <is>
          <t>polygon</t>
        </is>
      </c>
      <c r="F118" s="4" t="inlineStr">
        <is>
          <t>snapshot versions; PAD-US 4.1 is current (citation year 2024); per-record GIS Source Date; no data years stated</t>
        </is>
      </c>
      <c r="G118" s="4" t="n">
        <v>2024</v>
      </c>
      <c r="H118" s="4" t="inlineStr">
        <is>
          <t>public_domain_us_federal</t>
        </is>
      </c>
      <c r="I118" s="4" t="inlineStr"/>
      <c r="J118" s="4" t="inlineStr">
        <is>
          <t>open_download</t>
        </is>
      </c>
      <c r="K118" s="4" t="inlineStr">
        <is>
          <t>gdb; shp (overview: 'geodatabase or shapefile options'); kmz (state downloads); raster analysis file; wms</t>
        </is>
      </c>
      <c r="L118" s="4" t="inlineStr">
        <is>
          <t>Joins today</t>
        </is>
      </c>
      <c r="M118" s="4" t="n">
        <v>2</v>
      </c>
      <c r="N118" s="4" t="inlineStr"/>
      <c r="O118" s="19" t="inlineStr">
        <is>
          <t>Silver</t>
        </is>
      </c>
      <c r="P118" s="4" t="n">
        <v>94</v>
      </c>
      <c r="Q118" s="17" t="inlineStr">
        <is>
          <t>https://www.usgs.gov/programs/gap-analysis-project/science/pad-us-data-overview</t>
        </is>
      </c>
      <c r="R118" s="4" t="inlineStr">
        <is>
          <t>us_usgs_padus</t>
        </is>
      </c>
    </row>
    <row r="119">
      <c r="A119" s="4" t="inlineStr">
        <is>
          <t>Transitland</t>
        </is>
      </c>
      <c r="B119" s="4" t="inlineStr">
        <is>
          <t>Interline Technologies</t>
        </is>
      </c>
      <c r="C119" s="4" t="inlineStr">
        <is>
          <t>built_environment</t>
        </is>
      </c>
      <c r="D119" s="4" t="inlineStr">
        <is>
          <t>global ('routes and stops around the world'); Datasets: 600,000+ US stops, 180,000+ Canadian stops; Routing Platform transit itineraries for the entire United States</t>
        </is>
      </c>
      <c r="E119" s="4" t="inlineStr">
        <is>
          <t>point</t>
        </is>
      </c>
      <c r="F119" s="4" t="inlineStr">
        <is>
          <t>ongoing ('Continuously Expanding' archive of versioned GTFS snapshots); start year not stated</t>
        </is>
      </c>
      <c r="G119" s="4" t="n">
        <v>2026</v>
      </c>
      <c r="H119" s="4" t="inlineStr">
        <is>
          <t>non-commercial</t>
        </is>
      </c>
      <c r="I119" s="4" t="inlineStr">
        <is>
          <t>no data licence stated; Datasets 'free for non-commercial use' (beta); APIs via Interline account plans (free monthly quota / Pay As You Go / paid; Hobbyist-Academic and Enterprise by form)</t>
        </is>
      </c>
      <c r="J119" s="4" t="inlineStr">
        <is>
          <t>api_key</t>
        </is>
      </c>
      <c r="K119" s="4" t="inlineStr">
        <is>
          <t>csv; geojsonl (Datasets); REST API (OpenAPI); GraphQL API; Mapbox Vector Tiles; GTFS / GTFS Realtime feed archive</t>
        </is>
      </c>
      <c r="L119" s="4" t="inlineStr">
        <is>
          <t>Needs a count/distance step</t>
        </is>
      </c>
      <c r="M119" s="4" t="n">
        <v>2</v>
      </c>
      <c r="N119" s="4" t="inlineStr"/>
      <c r="O119" s="19" t="inlineStr">
        <is>
          <t>Silver</t>
        </is>
      </c>
      <c r="P119" s="4" t="n">
        <v>83</v>
      </c>
      <c r="Q119" s="17" t="inlineStr">
        <is>
          <t>https://www.transit.land/</t>
        </is>
      </c>
      <c r="R119" s="4" t="inlineStr">
        <is>
          <t>global_interline_transitland</t>
        </is>
      </c>
    </row>
    <row r="120">
      <c r="A120" s="4" t="inlineStr">
        <is>
          <t>Treepedia Green View Index (GVI)</t>
        </is>
      </c>
      <c r="B120" s="4" t="inlineStr">
        <is>
          <t>MIT Senseable City Lab</t>
        </is>
      </c>
      <c r="C120" s="4" t="inlineStr">
        <is>
          <t>built_environment</t>
        </is>
      </c>
      <c r="D120" s="4" t="inlineStr">
        <is>
          <t>Cambridge (MA) sample only on the repo page; results for other cities said to be on senseable.mit.edu/treepedia, which was not reachable</t>
        </is>
      </c>
      <c r="E120" s="4" t="inlineStr">
        <is>
          <t>point</t>
        </is>
      </c>
      <c r="F120" s="4" t="inlineStr"/>
      <c r="G120" s="4" t="inlineStr"/>
      <c r="H120" s="4" t="inlineStr">
        <is>
          <t>open</t>
        </is>
      </c>
      <c r="I120" s="4" t="inlineStr">
        <is>
          <t>BSD-2-Clause (code repository licence; no separate data licence stated)</t>
        </is>
      </c>
      <c r="J120" s="4" t="inlineStr">
        <is>
          <t>open_download</t>
        </is>
      </c>
      <c r="K120" s="4" t="inlineStr">
        <is>
          <t>shp; text files (GVI output)</t>
        </is>
      </c>
      <c r="L120" s="4" t="inlineStr">
        <is>
          <t>Needs raster support</t>
        </is>
      </c>
      <c r="M120" s="4" t="n">
        <v>2</v>
      </c>
      <c r="N120" s="4" t="inlineStr"/>
      <c r="O120" s="19" t="inlineStr">
        <is>
          <t>Silver</t>
        </is>
      </c>
      <c r="P120" s="4" t="n">
        <v>92</v>
      </c>
      <c r="Q120" s="17" t="inlineStr">
        <is>
          <t>https://github.com/mittrees/Treepedia_Public</t>
        </is>
      </c>
      <c r="R120" s="4" t="inlineStr">
        <is>
          <t>global_mit_treepedia_gvi</t>
        </is>
      </c>
    </row>
    <row r="121">
      <c r="A121" s="4" t="inlineStr">
        <is>
          <t>World Settlement Footprint (WSF) 2019; related WSF 2015, WSF Evolution (1985-2015), WSF 3D</t>
        </is>
      </c>
      <c r="B121" s="4" t="inlineStr">
        <is>
          <t>DLR (German Aerospace Center)</t>
        </is>
      </c>
      <c r="C121" s="4" t="inlineStr">
        <is>
          <t>built_environment</t>
        </is>
      </c>
      <c r="D121" s="4" t="inlineStr">
        <is>
          <t>global</t>
        </is>
      </c>
      <c r="E121" s="4" t="inlineStr">
        <is>
          <t>grid_10m</t>
        </is>
      </c>
      <c r="F121" s="4" t="inlineStr">
        <is>
          <t>2019 (single year; derived from 2019 Sentinel-1/-2 imagery)</t>
        </is>
      </c>
      <c r="G121" s="4" t="n">
        <v>2019</v>
      </c>
      <c r="H121" s="4" t="inlineStr">
        <is>
          <t>open</t>
        </is>
      </c>
      <c r="I121" s="4" t="inlineStr">
        <is>
          <t>CC BY 4.0</t>
        </is>
      </c>
      <c r="J121" s="4" t="inlineStr">
        <is>
          <t>open_download</t>
        </is>
      </c>
      <c r="K121" s="4" t="inlineStr">
        <is>
          <t>geotiff; wms; stac</t>
        </is>
      </c>
      <c r="L121" s="4" t="inlineStr">
        <is>
          <t>Needs raster support</t>
        </is>
      </c>
      <c r="M121" s="4" t="n">
        <v>2</v>
      </c>
      <c r="N121" s="4" t="inlineStr"/>
      <c r="O121" s="13" t="inlineStr">
        <is>
          <t>Gold</t>
        </is>
      </c>
      <c r="P121" s="4" t="n">
        <v>92</v>
      </c>
      <c r="Q121" s="17" t="inlineStr">
        <is>
          <t>https://geoservice.dlr.de/web/datasets/wsf_2019</t>
        </is>
      </c>
      <c r="R121" s="4" t="inlineStr">
        <is>
          <t>global_dlr_wsf_2019</t>
        </is>
      </c>
    </row>
    <row r="122">
      <c r="A122" s="4" t="inlineStr">
        <is>
          <t>Canadian Climate Normals</t>
        </is>
      </c>
      <c r="B122" s="4" t="inlineStr">
        <is>
          <t>Environment and Climate Change Canada</t>
        </is>
      </c>
      <c r="C122" s="4" t="inlineStr">
        <is>
          <t>climate_hazard</t>
        </is>
      </c>
      <c r="D122" s="4" t="inlineStr">
        <is>
          <t>Canada (Canada-wide or by province/territory)</t>
        </is>
      </c>
      <c r="E122" s="4" t="inlineStr">
        <is>
          <t>point</t>
        </is>
      </c>
      <c r="F122" s="4" t="inlineStr">
        <is>
          <t>Normals periods 1931-1960, 1941-1970, 1951-1980, 1961-1990, 1971-2000, 1981-2010, 1991-2020</t>
        </is>
      </c>
      <c r="G122" s="4" t="n">
        <v>2020</v>
      </c>
      <c r="H122" s="4" t="inlineStr">
        <is>
          <t>non-commercial</t>
        </is>
      </c>
      <c r="I122" s="4" t="inlineStr">
        <is>
          <t>custom terms (Canada.ca Terms and conditions, site-wide): reproduction permitted for non-commercial purposes with title/source indicated; commercial redistribution requires prior written permission</t>
        </is>
      </c>
      <c r="J122" s="4" t="inlineStr">
        <is>
          <t>open_download</t>
        </is>
      </c>
      <c r="K122" s="4" t="inlineStr">
        <is>
          <t>csv (zipped bulk download); geojson (1981-2010 subset via Canadian Centre for Climate Services); pdf (older volumes, calculation information)</t>
        </is>
      </c>
      <c r="L122" s="4" t="inlineStr">
        <is>
          <t>Needs a count/distance step</t>
        </is>
      </c>
      <c r="M122" s="4" t="n">
        <v>3</v>
      </c>
      <c r="N122" s="4" t="inlineStr"/>
      <c r="O122" s="19" t="inlineStr">
        <is>
          <t>Silver</t>
        </is>
      </c>
      <c r="P122" s="4" t="n">
        <v>84</v>
      </c>
      <c r="Q122" s="17" t="inlineStr">
        <is>
          <t>https://climate.weather.gc.ca/climate_normals/index_e.html</t>
        </is>
      </c>
      <c r="R122" s="4" t="inlineStr">
        <is>
          <t>ca_eccc_climate_normals</t>
        </is>
      </c>
    </row>
    <row r="123">
      <c r="A123" s="4" t="inlineStr">
        <is>
          <t>CERRA sub-daily regional reanalysis data for Europe on single levels from 1984 to present</t>
        </is>
      </c>
      <c r="B123" s="4" t="inlineStr">
        <is>
          <t>ECMWF / SMHI, Meteo-France, NMA Romania</t>
        </is>
      </c>
      <c r="C123" s="4" t="inlineStr">
        <is>
          <t>climate_hazard</t>
        </is>
      </c>
      <c r="D123" s="4" t="inlineStr">
        <is>
          <t>Europe; model domain from northern Africa beyond the northern tip of Scandinavia, Atlantic to the Ural Mountains</t>
        </is>
      </c>
      <c r="E123" s="4" t="inlineStr">
        <is>
          <t>grid_5.5km</t>
        </is>
      </c>
      <c r="F123" s="4" t="inlineStr">
        <is>
          <t>September 1984 to present; 3-hourly analyses (6-hourly ensemble), hourly forecasts (range 1-6), 3-hourly (range 6-30)</t>
        </is>
      </c>
      <c r="G123" s="4" t="n">
        <v>2026</v>
      </c>
      <c r="H123" s="4" t="inlineStr">
        <is>
          <t>open</t>
        </is>
      </c>
      <c r="I123" s="4" t="inlineStr">
        <is>
          <t>CC-BY licence</t>
        </is>
      </c>
      <c r="J123" s="4" t="inlineStr">
        <is>
          <t>registration</t>
        </is>
      </c>
      <c r="K123" s="4" t="inlineStr">
        <is>
          <t>grib2</t>
        </is>
      </c>
      <c r="L123" s="4" t="inlineStr">
        <is>
          <t>Needs raster support</t>
        </is>
      </c>
      <c r="M123" s="4" t="n">
        <v>3</v>
      </c>
      <c r="N123" s="4" t="inlineStr"/>
      <c r="O123" s="19" t="inlineStr">
        <is>
          <t>Silver</t>
        </is>
      </c>
      <c r="P123" s="4" t="n">
        <v>100</v>
      </c>
      <c r="Q123" s="17" t="inlineStr">
        <is>
          <t>https://cds.climate.copernicus.eu/datasets/reanalysis-cerra-single-levels?tab=overview</t>
        </is>
      </c>
      <c r="R123" s="4" t="inlineStr">
        <is>
          <t>eu_copernicus_cerra</t>
        </is>
      </c>
    </row>
    <row r="124">
      <c r="A124" s="4" t="inlineStr">
        <is>
          <t>CMIP6 climate projections (Climate Data Store catalogue entry)</t>
        </is>
      </c>
      <c r="B124" s="4" t="inlineStr">
        <is>
          <t>CMIP6 participating modelling institutes (WCRP); catalogue by C3S/ECMWF</t>
        </is>
      </c>
      <c r="C124" s="4" t="inlineStr">
        <is>
          <t>climate_hazard</t>
        </is>
      </c>
      <c r="D124" s="4" t="inlineStr">
        <is>
          <t>global</t>
        </is>
      </c>
      <c r="E124" s="4" t="inlineStr">
        <is>
          <t>grid_250km</t>
        </is>
      </c>
      <c r="F124" s="4" t="inlineStr">
        <is>
          <t>historical 1850–2014; SSP scenarios 2015–2100; monthly, daily and fixed</t>
        </is>
      </c>
      <c r="G124" s="4" t="n">
        <v>2026</v>
      </c>
      <c r="H124" s="4" t="inlineStr">
        <is>
          <t>unknown</t>
        </is>
      </c>
      <c r="I124" s="4" t="inlineStr">
        <is>
          <t>CMIP6 - Data Access - Terms of Use</t>
        </is>
      </c>
      <c r="J124" s="4" t="inlineStr">
        <is>
          <t>registration</t>
        </is>
      </c>
      <c r="K124" s="4" t="inlineStr">
        <is>
          <t>netcdf (NetCDF4)</t>
        </is>
      </c>
      <c r="L124" s="4" t="inlineStr">
        <is>
          <t>Needs raster support</t>
        </is>
      </c>
      <c r="M124" s="4" t="n">
        <v>3</v>
      </c>
      <c r="N124" s="4" t="inlineStr"/>
      <c r="O124" s="19" t="inlineStr">
        <is>
          <t>Silver</t>
        </is>
      </c>
      <c r="P124" s="4" t="n">
        <v>91</v>
      </c>
      <c r="Q124" s="17" t="inlineStr">
        <is>
          <t>https://cds.climate.copernicus.eu/datasets/projections-cmip6?tab=overview</t>
        </is>
      </c>
      <c r="R124" s="4" t="inlineStr">
        <is>
          <t>global_copernicus_cmip6_cds</t>
        </is>
      </c>
    </row>
    <row r="125">
      <c r="A125" s="4" t="inlineStr">
        <is>
          <t>E-OBS daily gridded meteorological data for Europe from 1950 to present derived from in-situ observations</t>
        </is>
      </c>
      <c r="B125" s="4" t="inlineStr">
        <is>
          <t>ECA&amp;D / KNMI (Royal Netherlands Meteorological Institute)</t>
        </is>
      </c>
      <c r="C125" s="4" t="inlineStr">
        <is>
          <t>climate_hazard</t>
        </is>
      </c>
      <c r="D125" s="4" t="inlineStr">
        <is>
          <t>Europe, land only (25N-71.5N, 25W-45E)</t>
        </is>
      </c>
      <c r="E125" s="4" t="inlineStr">
        <is>
          <t>grid_0.1deg</t>
        </is>
      </c>
      <c r="F125" s="4" t="inlineStr">
        <is>
          <t>1950-present daily; v33.0e covers 1950-01-01 to 2025-12-31; running-year gridded files released monthly (separate pre-1950 set 1920-1949)</t>
        </is>
      </c>
      <c r="G125" s="4" t="n">
        <v>2026</v>
      </c>
      <c r="H125" s="4" t="inlineStr">
        <is>
          <t>non-commercial</t>
        </is>
      </c>
      <c r="I125" s="4" t="inlineStr">
        <is>
          <t>ECA&amp;D/E-OBS data policy: strictly non-commercial research and non-commercial education only; results to be published in the open literature; acknowledgement and citation (Cornes et al. 2018) required. CDS page names it only as 'E-OBS product licence'.</t>
        </is>
      </c>
      <c r="J125" s="4" t="inlineStr">
        <is>
          <t>open_download</t>
        </is>
      </c>
      <c r="K125" s="4" t="inlineStr">
        <is>
          <t>netcdf4</t>
        </is>
      </c>
      <c r="L125" s="4" t="inlineStr">
        <is>
          <t>Needs raster support</t>
        </is>
      </c>
      <c r="M125" s="4" t="n">
        <v>3</v>
      </c>
      <c r="N125" s="4" t="inlineStr"/>
      <c r="O125" s="19" t="inlineStr">
        <is>
          <t>Silver</t>
        </is>
      </c>
      <c r="P125" s="4" t="n">
        <v>93</v>
      </c>
      <c r="Q125" s="17" t="inlineStr">
        <is>
          <t>https://cds.climate.copernicus.eu/datasets/insitu-gridded-observations-europe?tab=overview</t>
        </is>
      </c>
      <c r="R125" s="4" t="inlineStr">
        <is>
          <t>eu_copernicus_eobs</t>
        </is>
      </c>
    </row>
    <row r="126">
      <c r="A126" s="4" t="inlineStr">
        <is>
          <t>ERA5 hourly data on single levels from 1940 to present</t>
        </is>
      </c>
      <c r="B126" s="4" t="inlineStr">
        <is>
          <t>ECMWF</t>
        </is>
      </c>
      <c r="C126" s="4" t="inlineStr">
        <is>
          <t>climate_hazard</t>
        </is>
      </c>
      <c r="D126" s="4" t="inlineStr">
        <is>
          <t>global</t>
        </is>
      </c>
      <c r="E126" s="4" t="inlineStr">
        <is>
          <t>grid_0.25deg</t>
        </is>
      </c>
      <c r="F126" s="4" t="inlineStr">
        <is>
          <t>1940-present hourly ('Data is available from 1940 onwards')</t>
        </is>
      </c>
      <c r="G126" s="4" t="n">
        <v>2026</v>
      </c>
      <c r="H126" s="4" t="inlineStr">
        <is>
          <t>open</t>
        </is>
      </c>
      <c r="I126" s="4" t="inlineStr">
        <is>
          <t>CC-BY licence</t>
        </is>
      </c>
      <c r="J126" s="4" t="inlineStr">
        <is>
          <t>registration</t>
        </is>
      </c>
      <c r="K126" s="4" t="inlineStr">
        <is>
          <t>grib</t>
        </is>
      </c>
      <c r="L126" s="4" t="inlineStr">
        <is>
          <t>Needs raster support</t>
        </is>
      </c>
      <c r="M126" s="4" t="n">
        <v>3</v>
      </c>
      <c r="N126" s="4" t="inlineStr"/>
      <c r="O126" s="19" t="inlineStr">
        <is>
          <t>Silver</t>
        </is>
      </c>
      <c r="P126" s="4" t="n">
        <v>100</v>
      </c>
      <c r="Q126" s="17" t="inlineStr">
        <is>
          <t>https://cds.climate.copernicus.eu/datasets/reanalysis-era5-single-levels?tab=overview</t>
        </is>
      </c>
      <c r="R126" s="4" t="inlineStr">
        <is>
          <t>global_copernicus_era5_single_levels</t>
        </is>
      </c>
    </row>
    <row r="127">
      <c r="A127" s="4" t="inlineStr">
        <is>
          <t>ERA5-Land hourly data from 1950 to present</t>
        </is>
      </c>
      <c r="B127" s="4" t="inlineStr">
        <is>
          <t>Copernicus Climate Change Service (C3S)</t>
        </is>
      </c>
      <c r="C127" s="4" t="inlineStr">
        <is>
          <t>climate_hazard</t>
        </is>
      </c>
      <c r="D127" s="4" t="inlineStr">
        <is>
          <t>global</t>
        </is>
      </c>
      <c r="E127" s="4" t="inlineStr">
        <is>
          <t>grid_0.1deg</t>
        </is>
      </c>
      <c r="F127" s="4" t="inlineStr">
        <is>
          <t>1950-present hourly ('January 1950 to present')</t>
        </is>
      </c>
      <c r="G127" s="4" t="n">
        <v>2026</v>
      </c>
      <c r="H127" s="4" t="inlineStr">
        <is>
          <t>open</t>
        </is>
      </c>
      <c r="I127" s="4" t="inlineStr">
        <is>
          <t>CC-BY licence</t>
        </is>
      </c>
      <c r="J127" s="4" t="inlineStr">
        <is>
          <t>registration</t>
        </is>
      </c>
      <c r="K127" s="4" t="inlineStr">
        <is>
          <t>grib</t>
        </is>
      </c>
      <c r="L127" s="4" t="inlineStr">
        <is>
          <t>Needs raster support</t>
        </is>
      </c>
      <c r="M127" s="4" t="n">
        <v>3</v>
      </c>
      <c r="N127" s="4" t="inlineStr">
        <is>
          <t>hh_dem_copernicus;tz_1984_copernicus_avg_temp</t>
        </is>
      </c>
      <c r="O127" s="19" t="inlineStr">
        <is>
          <t>Silver</t>
        </is>
      </c>
      <c r="P127" s="4" t="n">
        <v>100</v>
      </c>
      <c r="Q127" s="17" t="inlineStr">
        <is>
          <t>https://cds.climate.copernicus.eu/datasets/reanalysis-era5-land</t>
        </is>
      </c>
      <c r="R127" s="4" t="inlineStr">
        <is>
          <t>global_copernicus_era5_land</t>
        </is>
      </c>
    </row>
    <row r="128">
      <c r="A128" s="4" t="inlineStr">
        <is>
          <t>gridMET (METDATA)</t>
        </is>
      </c>
      <c r="B128" s="4" t="inlineStr">
        <is>
          <t>University of Idaho</t>
        </is>
      </c>
      <c r="C128" s="4" t="inlineStr">
        <is>
          <t>climate_hazard</t>
        </is>
      </c>
      <c r="D128" s="4" t="inlineStr">
        <is>
          <t>US (contiguous); southern British Columbia only in real-time products</t>
        </is>
      </c>
      <c r="E128" s="4" t="inlineStr">
        <is>
          <t>grid_4km</t>
        </is>
      </c>
      <c r="F128" s="4" t="inlineStr">
        <is>
          <t>1979 to 'yesterday', daily; operational data from 2013 onward; last 60 days preliminary</t>
        </is>
      </c>
      <c r="G128" s="4" t="n">
        <v>2026</v>
      </c>
      <c r="H128" s="4" t="inlineStr">
        <is>
          <t>open</t>
        </is>
      </c>
      <c r="I128" s="4" t="inlineStr">
        <is>
          <t>CC0 1.0 Universal (public domain dedication)</t>
        </is>
      </c>
      <c r="J128" s="4" t="inlineStr">
        <is>
          <t>open_download</t>
        </is>
      </c>
      <c r="K128" s="4" t="inlineStr">
        <is>
          <t>netcdf4; zarr (USGS Geo Data Portal); OPeNDAP (THREDDS)</t>
        </is>
      </c>
      <c r="L128" s="4" t="inlineStr">
        <is>
          <t>Needs raster support</t>
        </is>
      </c>
      <c r="M128" s="4" t="n">
        <v>3</v>
      </c>
      <c r="N128" s="4" t="inlineStr"/>
      <c r="O128" s="13" t="inlineStr">
        <is>
          <t>Gold</t>
        </is>
      </c>
      <c r="P128" s="4" t="n">
        <v>98</v>
      </c>
      <c r="Q128" s="17" t="inlineStr">
        <is>
          <t>https://www.climatologylab.org/gridmet.html</t>
        </is>
      </c>
      <c r="R128" s="4" t="inlineStr">
        <is>
          <t>us_climatologylab_gridmet</t>
        </is>
      </c>
    </row>
    <row r="129">
      <c r="A129" s="4" t="inlineStr">
        <is>
          <t>Hazard Mapping System (HMS) Fire and Smoke Product</t>
        </is>
      </c>
      <c r="B129" s="4" t="inlineStr">
        <is>
          <t>NOAA</t>
        </is>
      </c>
      <c r="C129" s="4" t="inlineStr">
        <is>
          <t>climate_hazard</t>
        </is>
      </c>
      <c r="D129" s="4" t="inlineStr">
        <is>
          <t>North America, Hawaii, and the Caribbean</t>
        </is>
      </c>
      <c r="E129" s="4" t="inlineStr">
        <is>
          <t>point</t>
        </is>
      </c>
      <c r="F129" s="4" t="inlineStr">
        <is>
          <t>2002-present daily ('first implemented in 2002'; current analysis 2026-10-21; smoke statistics selectable back to 2006)</t>
        </is>
      </c>
      <c r="G129" s="4" t="n">
        <v>2026</v>
      </c>
      <c r="H129" s="4" t="inlineStr">
        <is>
          <t>public_domain_us_federal</t>
        </is>
      </c>
      <c r="I129" s="4" t="inlineStr"/>
      <c r="J129" s="4" t="inlineStr">
        <is>
          <t>open_download</t>
        </is>
      </c>
      <c r="K129" s="4" t="inlineStr">
        <is>
          <t>shp (zip); kml; ascii txt; wfs (ArcGIS)</t>
        </is>
      </c>
      <c r="L129" s="4" t="inlineStr">
        <is>
          <t>Needs a count/distance step</t>
        </is>
      </c>
      <c r="M129" s="4" t="n">
        <v>3</v>
      </c>
      <c r="N129" s="4" t="inlineStr"/>
      <c r="O129" s="13" t="inlineStr">
        <is>
          <t>Gold</t>
        </is>
      </c>
      <c r="P129" s="4" t="n">
        <v>98</v>
      </c>
      <c r="Q129" s="17" t="inlineStr">
        <is>
          <t>https://www.ospo.noaa.gov/products/land/hms.html</t>
        </is>
      </c>
      <c r="R129" s="4" t="inlineStr">
        <is>
          <t>us_noaa_hms_smoke_fire</t>
        </is>
      </c>
    </row>
    <row r="130">
      <c r="A130" s="4" t="inlineStr">
        <is>
          <t>ISIMIP (Inter-Sectoral Impact Model Intercomparison Project) simulation rounds ISIMIP2a/2b/3a/3b input and output data</t>
        </is>
      </c>
      <c r="B130" s="4" t="inlineStr">
        <is>
          <t>Potsdam Institute for Climate Impact Research (PIK)</t>
        </is>
      </c>
      <c r="C130" s="4" t="inlineStr">
        <is>
          <t>climate_hazard</t>
        </is>
      </c>
      <c r="D130" s="4" t="inlineStr">
        <is>
          <t>global sectors plus regional sectors (e.g. Baltic Sea, North Sea, Mediterranean, Hawaii; regional rivers)</t>
        </is>
      </c>
      <c r="E130" s="4" t="inlineStr">
        <is>
          <t>grid_0.25deg (15arcmin experiment labels; 60arcmin for most global sectors)</t>
        </is>
      </c>
      <c r="F130" s="4" t="inlineStr">
        <is>
          <t>historical 1850/1901-2014/2019; projections 2015-2100 (ssp126, ssp370, ssp585); ISIMIP2b rcp26-rcp85</t>
        </is>
      </c>
      <c r="G130" s="4" t="inlineStr">
        <is>
          <t>current</t>
        </is>
      </c>
      <c r="H130" s="4" t="inlineStr">
        <is>
          <t>unknown</t>
        </is>
      </c>
      <c r="I130" s="4" t="inlineStr">
        <is>
          <t>CC BY 4.0 (site content only; dataset licence not stated)</t>
        </is>
      </c>
      <c r="J130" s="4" t="inlineStr">
        <is>
          <t>open_download</t>
        </is>
      </c>
      <c r="K130" s="4" t="inlineStr">
        <is>
          <t>netcdf</t>
        </is>
      </c>
      <c r="L130" s="4" t="inlineStr">
        <is>
          <t>Needs raster support</t>
        </is>
      </c>
      <c r="M130" s="4" t="n">
        <v>3</v>
      </c>
      <c r="N130" s="4" t="inlineStr"/>
      <c r="O130" s="19" t="inlineStr">
        <is>
          <t>Silver</t>
        </is>
      </c>
      <c r="P130" s="4" t="n">
        <v>79</v>
      </c>
      <c r="Q130" s="17" t="inlineStr">
        <is>
          <t>https://www.isimip.org/outputdata/</t>
        </is>
      </c>
      <c r="R130" s="4" t="inlineStr">
        <is>
          <t>global_isimip_output_data</t>
        </is>
      </c>
    </row>
    <row r="131">
      <c r="A131" s="4" t="inlineStr">
        <is>
          <t>Lancet Countdown on Health and Climate Change data explorer</t>
        </is>
      </c>
      <c r="B131" s="4" t="inlineStr">
        <is>
          <t>Lancet Countdown</t>
        </is>
      </c>
      <c r="C131" s="4" t="inlineStr">
        <is>
          <t>climate_hazard</t>
        </is>
      </c>
      <c r="D131" s="4" t="inlineStr">
        <is>
          <t>global (country, regional and income-group level; e.g. 193 WHO member states)</t>
        </is>
      </c>
      <c r="E131" s="4" t="inlineStr">
        <is>
          <t>country</t>
        </is>
      </c>
      <c r="F131" s="4" t="inlineStr">
        <is>
          <t>indicator series to 2024 (e.g. 1.3.1 1951-2024; 2.3.1 1990-2021) against baselines 1951-1960, 1961-1990, 1981-2010, 1986-2005, 1990-1999; most indicators last updated October 2025 (2025 Report)</t>
        </is>
      </c>
      <c r="G131" s="4" t="n">
        <v>2024</v>
      </c>
      <c r="H131" s="4" t="inlineStr">
        <is>
          <t>non-commercial</t>
        </is>
      </c>
      <c r="I131" s="4" t="inlineStr">
        <is>
          <t>CC BY-NC-SA 4.0 (Creative Commons Attribution-NonCommercial-ShareAlike)</t>
        </is>
      </c>
      <c r="J131" s="4" t="inlineStr">
        <is>
          <t>open_download</t>
        </is>
      </c>
      <c r="K131" s="4" t="inlineStr">
        <is>
          <t>xlsx</t>
        </is>
      </c>
      <c r="L131" s="4" t="inlineStr">
        <is>
          <t>Joins today</t>
        </is>
      </c>
      <c r="M131" s="4" t="n">
        <v>3</v>
      </c>
      <c r="N131" s="4" t="inlineStr"/>
      <c r="O131" s="19" t="inlineStr">
        <is>
          <t>Silver</t>
        </is>
      </c>
      <c r="P131" s="4" t="n">
        <v>82</v>
      </c>
      <c r="Q131" s="17" t="inlineStr">
        <is>
          <t>https://lancetcountdown.org/explore-our-data/</t>
        </is>
      </c>
      <c r="R131" s="4" t="inlineStr">
        <is>
          <t>global_lancet_countdown_indicators</t>
        </is>
      </c>
    </row>
    <row r="132">
      <c r="A132" s="4" t="inlineStr">
        <is>
          <t>MERRA-2: Modern-Era Retrospective analysis for Research and Applications, Version 2</t>
        </is>
      </c>
      <c r="B132" s="4" t="inlineStr">
        <is>
          <t>NASA</t>
        </is>
      </c>
      <c r="C132" s="4" t="inlineStr">
        <is>
          <t>climate_hazard</t>
        </is>
      </c>
      <c r="D132" s="4" t="inlineStr">
        <is>
          <t>global</t>
        </is>
      </c>
      <c r="E132" s="4" t="inlineStr">
        <is>
          <t>grid_0.5deg (page: 'about 50 km in the latitudinal direction')</t>
        </is>
      </c>
      <c r="F132" s="4" t="inlineStr">
        <is>
          <t>beginning in 1980 (no end year stated)</t>
        </is>
      </c>
      <c r="G132" s="4" t="inlineStr">
        <is>
          <t>current</t>
        </is>
      </c>
      <c r="H132" s="4" t="inlineStr">
        <is>
          <t>public_domain_us_federal</t>
        </is>
      </c>
      <c r="I132" s="4" t="inlineStr"/>
      <c r="J132" s="4" t="inlineStr">
        <is>
          <t>registration</t>
        </is>
      </c>
      <c r="K132" s="4" t="inlineStr">
        <is>
          <t>netcdf</t>
        </is>
      </c>
      <c r="L132" s="4" t="inlineStr">
        <is>
          <t>Needs raster support</t>
        </is>
      </c>
      <c r="M132" s="4" t="n">
        <v>3</v>
      </c>
      <c r="N132" s="4" t="inlineStr"/>
      <c r="O132" s="19" t="inlineStr">
        <is>
          <t>Silver</t>
        </is>
      </c>
      <c r="P132" s="4" t="n">
        <v>92</v>
      </c>
      <c r="Q132" s="17" t="inlineStr">
        <is>
          <t>https://gmao.gsfc.nasa.gov/gmao-products/merra-2/</t>
        </is>
      </c>
      <c r="R132" s="4" t="inlineStr">
        <is>
          <t>global_nasa_merra2</t>
        </is>
      </c>
    </row>
    <row r="133">
      <c r="A133" s="4" t="inlineStr">
        <is>
          <t>Miami-Dade derived raster layers (surface temperature, average LST 2013-2022, NDVI, distance to water, distance to parks)</t>
        </is>
      </c>
      <c r="B133" s="4" t="inlineStr">
        <is>
          <t>University of Miami GDSC</t>
        </is>
      </c>
      <c r="C133" s="4" t="inlineStr">
        <is>
          <t>climate_hazard</t>
        </is>
      </c>
      <c r="D133" s="4" t="inlineStr">
        <is>
          <t>Miami-Dade County, Florida (bbox W -80.7, E -80.12, S 25.1, N 25.98)</t>
        </is>
      </c>
      <c r="E133" s="4" t="inlineStr">
        <is>
          <t>grid_30m</t>
        </is>
      </c>
      <c r="F133" s="4" t="inlineStr">
        <is>
          <t>2013-2022 (ten-year LST climatology; published 2024)</t>
        </is>
      </c>
      <c r="G133" s="4" t="n">
        <v>2022</v>
      </c>
      <c r="H133" s="4" t="inlineStr">
        <is>
          <t>attribution</t>
        </is>
      </c>
      <c r="I133" s="4" t="inlineStr">
        <is>
          <t>Open Data Commons Attribution (ODC-By) v1.0</t>
        </is>
      </c>
      <c r="J133" s="4" t="inlineStr">
        <is>
          <t>open_download</t>
        </is>
      </c>
      <c r="K133" s="4" t="inlineStr">
        <is>
          <t>tif (inside a zip archive)</t>
        </is>
      </c>
      <c r="L133" s="4" t="inlineStr">
        <is>
          <t>Needs raster support</t>
        </is>
      </c>
      <c r="M133" s="4" t="n">
        <v>3</v>
      </c>
      <c r="N133" s="4" t="inlineStr">
        <is>
          <t>mdc_2013_2022_lst_30m;mdc_2021_hylo</t>
        </is>
      </c>
      <c r="O133" s="19" t="inlineStr">
        <is>
          <t>Silver</t>
        </is>
      </c>
      <c r="P133" s="4" t="n">
        <v>85</v>
      </c>
      <c r="Q133" s="17" t="inlineStr">
        <is>
          <t>https://scholarship.miami.edu/esploro/outputs/991032051519802976</t>
        </is>
      </c>
      <c r="R133" s="4" t="inlineStr">
        <is>
          <t>us_um_gdsc_mdc_derived_layers</t>
        </is>
      </c>
    </row>
    <row r="134">
      <c r="A134" s="4" t="inlineStr">
        <is>
          <t>National Risk Index (NRI)</t>
        </is>
      </c>
      <c r="B134" s="4" t="inlineStr">
        <is>
          <t>FEMA</t>
        </is>
      </c>
      <c r="C134" s="4" t="inlineStr">
        <is>
          <t>climate_hazard</t>
        </is>
      </c>
      <c r="D134" s="4" t="inlineStr">
        <is>
          <t>US incl. DC, PR, AS, GU, CNMI, USVI</t>
        </is>
      </c>
      <c r="E134" s="4" t="inlineStr">
        <is>
          <t>tract</t>
        </is>
      </c>
      <c r="F134" s="4" t="inlineStr">
        <is>
          <t>static index; dataset last updated 2025-07-01 (data.gov); v1.20 data update</t>
        </is>
      </c>
      <c r="G134" s="4" t="n">
        <v>2025</v>
      </c>
      <c r="H134" s="4" t="inlineStr">
        <is>
          <t>open</t>
        </is>
      </c>
      <c r="I134" s="4" t="inlineStr">
        <is>
          <t>U.S. Government Works (data.gov license field: https://www.usa.gov/government-works)</t>
        </is>
      </c>
      <c r="J134" s="4" t="inlineStr">
        <is>
          <t>open_download</t>
        </is>
      </c>
      <c r="K134" s="4" t="inlineStr">
        <is>
          <t>csv; shp; gdb; arcgis_rest</t>
        </is>
      </c>
      <c r="L134" s="4" t="inlineStr">
        <is>
          <t>Joins today</t>
        </is>
      </c>
      <c r="M134" s="4" t="n">
        <v>3</v>
      </c>
      <c r="N134" s="4" t="inlineStr"/>
      <c r="O134" s="19" t="inlineStr">
        <is>
          <t>Silver</t>
        </is>
      </c>
      <c r="P134" s="4" t="n">
        <v>93</v>
      </c>
      <c r="Q134" s="17" t="inlineStr">
        <is>
          <t>https://hazards.fema.gov/nri/</t>
        </is>
      </c>
      <c r="R134" s="4" t="inlineStr">
        <is>
          <t>us_fema_national_risk_index</t>
        </is>
      </c>
    </row>
    <row r="135">
      <c r="A135" s="4" t="inlineStr">
        <is>
          <t>Natural Disaster Hotspots: Global Multihazard Frequency and Distribution / Mortality Risks / Proportional Economic Loss (CHRR, v1.0)</t>
        </is>
      </c>
      <c r="B135" s="4" t="inlineStr">
        <is>
          <t>Columbia University Center for Hazards and Risk Research (CHRR), CIESIN, World Bank</t>
        </is>
      </c>
      <c r="C135" s="4" t="inlineStr">
        <is>
          <t>climate_hazard</t>
        </is>
      </c>
      <c r="D135" s="4" t="inlineStr">
        <is>
          <t>global (bbox N 85, S -58, E 180, W -180)</t>
        </is>
      </c>
      <c r="E135" s="4" t="inlineStr">
        <is>
          <t>grid_2.5arcmin (0.0417 x 0.0417 decimal degrees)</t>
        </is>
      </c>
      <c r="F135" s="4" t="inlineStr">
        <is>
          <t>2000 (single year, 2000-01-01 to 2000-12-31); published 2005-12-31</t>
        </is>
      </c>
      <c r="G135" s="4" t="n">
        <v>2000</v>
      </c>
      <c r="H135" s="4" t="inlineStr">
        <is>
          <t>open</t>
        </is>
      </c>
      <c r="I135" s="4" t="inlineStr">
        <is>
          <t>openly shared, without restriction, in accordance with the EOSDIS Data Use and Citation Guidance</t>
        </is>
      </c>
      <c r="J135" s="4" t="inlineStr">
        <is>
          <t>registration</t>
        </is>
      </c>
      <c r="K135" s="4" t="inlineStr">
        <is>
          <t>ASCII; DBF; PDF; PNG</t>
        </is>
      </c>
      <c r="L135" s="4" t="inlineStr">
        <is>
          <t>Needs raster support</t>
        </is>
      </c>
      <c r="M135" s="4" t="n">
        <v>3</v>
      </c>
      <c r="N135" s="4" t="inlineStr"/>
      <c r="O135" s="19" t="inlineStr">
        <is>
          <t>Silver</t>
        </is>
      </c>
      <c r="P135" s="4" t="n">
        <v>91</v>
      </c>
      <c r="Q135" s="17" t="inlineStr">
        <is>
          <t>https://www.earthdata.nasa.gov/data/catalog/sedac-ciesin-chrr-ndh-multi-hfd-1.0</t>
        </is>
      </c>
      <c r="R135" s="4" t="inlineStr">
        <is>
          <t>global_sedac_ndh_multihazard</t>
        </is>
      </c>
    </row>
    <row r="136">
      <c r="A136" s="4" t="inlineStr">
        <is>
          <t>NIHHIS Urban Heat Island Mapping Campaigns (Heat Watch)</t>
        </is>
      </c>
      <c r="B136" s="4" t="inlineStr">
        <is>
          <t>NOAA</t>
        </is>
      </c>
      <c r="C136" s="4" t="inlineStr">
        <is>
          <t>climate_hazard</t>
        </is>
      </c>
      <c r="D136" s="4" t="inlineStr">
        <is>
          <t>US ('a number of cities across the United States'; no cities named)</t>
        </is>
      </c>
      <c r="E136" s="4" t="inlineStr">
        <is>
          <t>point</t>
        </is>
      </c>
      <c r="F136" s="4" t="inlineStr">
        <is>
          <t>one-day summer campaigns, 2017-present (years not listed on page)</t>
        </is>
      </c>
      <c r="G136" s="4" t="inlineStr">
        <is>
          <t>current</t>
        </is>
      </c>
      <c r="H136" s="4" t="inlineStr">
        <is>
          <t>public_domain_us_federal</t>
        </is>
      </c>
      <c r="I136" s="4" t="inlineStr"/>
      <c r="J136" s="4" t="inlineStr">
        <is>
          <t>open_download</t>
        </is>
      </c>
      <c r="K136" s="4" t="inlineStr">
        <is>
          <t>csv; geotiff; shp; arcgis_rest (NOAA GeoPlatform)</t>
        </is>
      </c>
      <c r="L136" s="4" t="inlineStr">
        <is>
          <t>Needs raster support</t>
        </is>
      </c>
      <c r="M136" s="4" t="n">
        <v>3</v>
      </c>
      <c r="N136" s="4" t="inlineStr"/>
      <c r="O136" s="19" t="inlineStr">
        <is>
          <t>Silver</t>
        </is>
      </c>
      <c r="P136" s="4" t="n">
        <v>79</v>
      </c>
      <c r="Q136" s="17" t="inlineStr">
        <is>
          <t>https://toolkit.climate.gov/tool/heat-watch-campaigns</t>
        </is>
      </c>
      <c r="R136" s="4" t="inlineStr">
        <is>
          <t>us_noaa_nihhis_uhi_mapping_campaigns</t>
        </is>
      </c>
    </row>
    <row r="137">
      <c r="A137" s="4" t="inlineStr">
        <is>
          <t>NWS HeatRisk</t>
        </is>
      </c>
      <c r="B137" s="4" t="inlineStr">
        <is>
          <t>NOAA</t>
        </is>
      </c>
      <c r="C137" s="4" t="inlineStr">
        <is>
          <t>climate_hazard</t>
        </is>
      </c>
      <c r="D137" s="4" t="inlineStr">
        <is>
          <t>US; separate Alaska version linked; CONUS not named explicitly</t>
        </is>
      </c>
      <c r="E137" s="4" t="inlineStr">
        <is>
          <t>grid_</t>
        </is>
      </c>
      <c r="F137" s="4" t="inlineStr">
        <is>
          <t>ongoing 7-day forecast (latest forecast; dated archive exists, extent not stated); no years stated</t>
        </is>
      </c>
      <c r="G137" s="4" t="n">
        <v>2026</v>
      </c>
      <c r="H137" s="4" t="inlineStr">
        <is>
          <t>public_domain_us_federal</t>
        </is>
      </c>
      <c r="I137" s="4" t="inlineStr"/>
      <c r="J137" s="4" t="inlineStr">
        <is>
          <t>open_download</t>
        </is>
      </c>
      <c r="K137" s="4" t="inlineStr">
        <is>
          <t>kml; geotiff; arcgis_rest ImageServer; WMS/WMTS; WCS</t>
        </is>
      </c>
      <c r="L137" s="4" t="inlineStr">
        <is>
          <t>Needs raster support</t>
        </is>
      </c>
      <c r="M137" s="4" t="n">
        <v>3</v>
      </c>
      <c r="N137" s="4" t="inlineStr"/>
      <c r="O137" s="19" t="inlineStr">
        <is>
          <t>Silver</t>
        </is>
      </c>
      <c r="P137" s="4" t="n">
        <v>91</v>
      </c>
      <c r="Q137" s="17" t="inlineStr">
        <is>
          <t>https://www.wpc.ncep.noaa.gov/heatrisk/</t>
        </is>
      </c>
      <c r="R137" s="4" t="inlineStr">
        <is>
          <t>us_nws_heatrisk</t>
        </is>
      </c>
    </row>
    <row r="138">
      <c r="A138" s="4" t="inlineStr">
        <is>
          <t>ThinkHazard! multi-hazard classification by administrative unit</t>
        </is>
      </c>
      <c r="B138" s="4" t="inlineStr">
        <is>
          <t>Global Facility for Disaster Reduction and Recovery (GFDRR), World Bank</t>
        </is>
      </c>
      <c r="C138" s="4" t="inlineStr">
        <is>
          <t>climate_hazard</t>
        </is>
      </c>
      <c r="D138" s="4" t="inlineStr">
        <is>
          <t>global (hazard levels for every ADM2 unit in the world)</t>
        </is>
      </c>
      <c r="E138" s="4" t="inlineStr">
        <is>
          <t>admin2</t>
        </is>
      </c>
      <c r="F138" s="4" t="inlineStr">
        <is>
          <t>data last published 2020-06-30; underlying hazard layers dated 2005-2017 (GAR13/GAR15, Muis 2016, Davies 2017, SSBN v2)</t>
        </is>
      </c>
      <c r="G138" s="4" t="n">
        <v>2020</v>
      </c>
      <c r="H138" s="4" t="inlineStr">
        <is>
          <t>attribution</t>
        </is>
      </c>
      <c r="I138" s="4" t="inlineStr">
        <is>
          <t>CC BY (classified hazard levels); CC BY-SA (text content); GPL v3 (software); original hazard data under their own terms in layer metadata</t>
        </is>
      </c>
      <c r="J138" s="4" t="inlineStr">
        <is>
          <t>api</t>
        </is>
      </c>
      <c r="K138" s="4" t="inlineStr">
        <is>
          <t>json (REST API); pdf (reports)</t>
        </is>
      </c>
      <c r="L138" s="4" t="inlineStr">
        <is>
          <t>Joins today</t>
        </is>
      </c>
      <c r="M138" s="4" t="n">
        <v>3</v>
      </c>
      <c r="N138" s="4" t="inlineStr"/>
      <c r="O138" s="19" t="inlineStr">
        <is>
          <t>Silver</t>
        </is>
      </c>
      <c r="P138" s="4" t="n">
        <v>88</v>
      </c>
      <c r="Q138" s="17" t="inlineStr">
        <is>
          <t>https://thinkhazard.org/en/about</t>
        </is>
      </c>
      <c r="R138" s="4" t="inlineStr">
        <is>
          <t>global_gfdrr_thinkhazard</t>
        </is>
      </c>
    </row>
    <row r="139">
      <c r="A139" s="4" t="inlineStr">
        <is>
          <t>U.S. Climate Normals</t>
        </is>
      </c>
      <c r="B139" s="4" t="inlineStr">
        <is>
          <t>NOAA</t>
        </is>
      </c>
      <c r="C139" s="4" t="inlineStr">
        <is>
          <t>climate_hazard</t>
        </is>
      </c>
      <c r="D139" s="4" t="inlineStr">
        <is>
          <t>US station normals (about 15,000 stations, states and territories); gridded and ENSO normals contiguous US</t>
        </is>
      </c>
      <c r="E139" s="4" t="inlineStr">
        <is>
          <t>grid_4km</t>
        </is>
      </c>
      <c r="F139" s="4" t="inlineStr">
        <is>
          <t>1991-2020 (official 30-year normals; metadata record Jan 1991 - Dec 2020); 2006-2020 15-year normals; 1981-2010 previous; 1901-2000 gridded 20th Century Baseline; ENSO normals 1950-2020</t>
        </is>
      </c>
      <c r="G139" s="4" t="n">
        <v>2020</v>
      </c>
      <c r="H139" s="4" t="inlineStr">
        <is>
          <t>public_domain_us_federal</t>
        </is>
      </c>
      <c r="I139" s="4" t="inlineStr">
        <is>
          <t>no licence named; 'In most cases, electronic downloads of the data are free'; citation requested; 'Users assume responsibility to determine the usability of these data'</t>
        </is>
      </c>
      <c r="J139" s="4" t="inlineStr">
        <is>
          <t>open_download</t>
        </is>
      </c>
      <c r="K139" s="4" t="inlineStr">
        <is>
          <t>csv; netcdf; xlsx (comparison files)</t>
        </is>
      </c>
      <c r="L139" s="4" t="inlineStr">
        <is>
          <t>Needs raster support</t>
        </is>
      </c>
      <c r="M139" s="4" t="n">
        <v>3</v>
      </c>
      <c r="N139" s="4" t="inlineStr"/>
      <c r="O139" s="13" t="inlineStr">
        <is>
          <t>Gold</t>
        </is>
      </c>
      <c r="P139" s="4" t="n">
        <v>94</v>
      </c>
      <c r="Q139" s="17" t="inlineStr">
        <is>
          <t>https://www.ncei.noaa.gov/products/land-based-station/us-climate-normals</t>
        </is>
      </c>
      <c r="R139" s="4" t="inlineStr">
        <is>
          <t>us_noaa_us_climate_normals</t>
        </is>
      </c>
    </row>
    <row r="140">
      <c r="A140" s="4" t="inlineStr">
        <is>
          <t>Agroclimatic indicators from 1951 to 2099 derived from climate projections</t>
        </is>
      </c>
      <c r="B140" s="4" t="inlineStr">
        <is>
          <t>Copernicus Climate Change Service (C3S)</t>
        </is>
      </c>
      <c r="C140" s="4" t="inlineStr">
        <is>
          <t>climate_hazard</t>
        </is>
      </c>
      <c r="D140" s="4" t="inlineStr">
        <is>
          <t>global</t>
        </is>
      </c>
      <c r="E140" s="4" t="inlineStr">
        <is>
          <t>grid_0.5deg</t>
        </is>
      </c>
      <c r="F140" s="4" t="inlineStr">
        <is>
          <t>1951-2099 (historical run to 2005, RCP projections after); 10-day, seasonal or annual depending on variable</t>
        </is>
      </c>
      <c r="G140" s="4" t="n">
        <v>2099</v>
      </c>
      <c r="H140" s="4" t="inlineStr">
        <is>
          <t>open</t>
        </is>
      </c>
      <c r="I140" s="4" t="inlineStr">
        <is>
          <t>CC-BY licence (as labelled on the page; version not given)</t>
        </is>
      </c>
      <c r="J140" s="4" t="inlineStr">
        <is>
          <t>registration</t>
        </is>
      </c>
      <c r="K140" s="4" t="inlineStr">
        <is>
          <t>netcdf (NetCDF-4)</t>
        </is>
      </c>
      <c r="L140" s="4" t="inlineStr">
        <is>
          <t>Needs raster support</t>
        </is>
      </c>
      <c r="M140" s="4" t="n">
        <v>2</v>
      </c>
      <c r="N140" s="4" t="inlineStr"/>
      <c r="O140" s="19" t="inlineStr">
        <is>
          <t>Silver</t>
        </is>
      </c>
      <c r="P140" s="4" t="n">
        <v>96</v>
      </c>
      <c r="Q140" s="17" t="inlineStr">
        <is>
          <t>https://cds.climate.copernicus.eu/datasets/sis-agroclimatic-indicators?tab=overview</t>
        </is>
      </c>
      <c r="R140" s="4" t="inlineStr">
        <is>
          <t>global_copernicus_agroclimatic_indicators</t>
        </is>
      </c>
    </row>
    <row r="141">
      <c r="A141" s="4" t="inlineStr">
        <is>
          <t>EM-DAT: The International Disaster Database</t>
        </is>
      </c>
      <c r="B141" s="4" t="inlineStr">
        <is>
          <t>Centre for Research on the Epidemiology of Disasters (CRED), UCLouvain</t>
        </is>
      </c>
      <c r="C141" s="4" t="inlineStr">
        <is>
          <t>climate_hazard</t>
        </is>
      </c>
      <c r="D141" s="4" t="inlineStr">
        <is>
          <t>worldwide</t>
        </is>
      </c>
      <c r="E141" s="4" t="inlineStr">
        <is>
          <t>country</t>
        </is>
      </c>
      <c r="F141" s="4" t="inlineStr">
        <is>
          <t>1900 to the present day (systematic monitoring since 1988)</t>
        </is>
      </c>
      <c r="G141" s="4" t="n">
        <v>2026</v>
      </c>
      <c r="H141" s="4" t="inlineStr">
        <is>
          <t>non-commercial</t>
        </is>
      </c>
      <c r="I141" s="4" t="inlineStr">
        <is>
          <t>custom terms: open access for non-commercial use (EM-DAT terms of use)</t>
        </is>
      </c>
      <c r="J141" s="4" t="inlineStr">
        <is>
          <t>registration</t>
        </is>
      </c>
      <c r="K141" s="4" t="inlineStr">
        <is>
          <t>xlsx (export); api (beta)</t>
        </is>
      </c>
      <c r="L141" s="4" t="inlineStr">
        <is>
          <t>Needs a count/distance step</t>
        </is>
      </c>
      <c r="M141" s="4" t="n">
        <v>2</v>
      </c>
      <c r="N141" s="4" t="inlineStr"/>
      <c r="O141" s="19" t="inlineStr">
        <is>
          <t>Silver</t>
        </is>
      </c>
      <c r="P141" s="4" t="n">
        <v>81</v>
      </c>
      <c r="Q141" s="17" t="inlineStr">
        <is>
          <t>https://www.emdat.be/</t>
        </is>
      </c>
      <c r="R141" s="4" t="inlineStr">
        <is>
          <t>global_cred_emdat</t>
        </is>
      </c>
    </row>
    <row r="142">
      <c r="A142" s="4" t="inlineStr">
        <is>
          <t>European Drought Observatory (EDO) and Global Drought Observatory (GDO) drought indicators</t>
        </is>
      </c>
      <c r="B142" s="4" t="inlineStr">
        <is>
          <t>European Commission JRC</t>
        </is>
      </c>
      <c r="C142" s="4" t="inlineStr">
        <is>
          <t>climate_hazard</t>
        </is>
      </c>
      <c r="D142" s="4" t="inlineStr">
        <is>
          <t>EDO (European) and GDO (Global) named only</t>
        </is>
      </c>
      <c r="E142" s="4" t="inlineStr">
        <is>
          <t>grid_5km</t>
        </is>
      </c>
      <c r="F142" s="4" t="inlineStr">
        <is>
          <t>1995-present 10-daily/monthly (varies by indicator)</t>
        </is>
      </c>
      <c r="G142" s="4" t="inlineStr">
        <is>
          <t>current</t>
        </is>
      </c>
      <c r="H142" s="4" t="inlineStr">
        <is>
          <t>attribution</t>
        </is>
      </c>
      <c r="I142" s="4" t="inlineStr">
        <is>
          <t>CEMS EDO/GDO terms and conditions: free access for reproduction, distribution, communication and adaptation, with required attribution 'Generated using Copernicus Emergency Management Service information [Year]'; some data restricted (registration, specific users)</t>
        </is>
      </c>
      <c r="J142" s="4" t="inlineStr">
        <is>
          <t>open_download</t>
        </is>
      </c>
      <c r="K142" s="4" t="inlineStr">
        <is>
          <t>netcdf; geotiff; wms</t>
        </is>
      </c>
      <c r="L142" s="4" t="inlineStr">
        <is>
          <t>Needs raster support</t>
        </is>
      </c>
      <c r="M142" s="4" t="n">
        <v>2</v>
      </c>
      <c r="N142" s="4" t="inlineStr"/>
      <c r="O142" s="19" t="inlineStr">
        <is>
          <t>Silver</t>
        </is>
      </c>
      <c r="P142" s="4" t="n">
        <v>86</v>
      </c>
      <c r="Q142" s="17" t="inlineStr">
        <is>
          <t>https://drought.emergency.copernicus.eu/tumbo/edo/download/</t>
        </is>
      </c>
      <c r="R142" s="4" t="inlineStr">
        <is>
          <t>eu_copernicus_edo_gdo_drought</t>
        </is>
      </c>
    </row>
    <row r="143">
      <c r="A143" s="4" t="inlineStr">
        <is>
          <t>European Forest Fire Information System (EFFIS) burnt areas, active fires, fire danger forecast</t>
        </is>
      </c>
      <c r="B143" s="4" t="inlineStr">
        <is>
          <t>European Commission JRC</t>
        </is>
      </c>
      <c r="C143" s="4" t="inlineStr">
        <is>
          <t>climate_hazard</t>
        </is>
      </c>
      <c r="D143" s="4" t="inlineStr">
        <is>
          <t>Europe, Middle East and North Africa (from the 2024 report title only)</t>
        </is>
      </c>
      <c r="E143" s="4" t="inlineStr">
        <is>
          <t>polygon</t>
        </is>
      </c>
      <c r="F143" s="4" t="inlineStr">
        <is>
          <t>Burnt areas: real-time updated database (rolling last 1/7/30 days and fire season); fire severity 2018-2025 annual; country totals report 2024</t>
        </is>
      </c>
      <c r="G143" s="4" t="n">
        <v>2026</v>
      </c>
      <c r="H143" s="4" t="inlineStr">
        <is>
          <t>open</t>
        </is>
      </c>
      <c r="I143" s="4" t="inlineStr">
        <is>
          <t>CC BY 4.0 (EU-owned content, under the Commission Decision of 12 December 2011 on reuse of Commission documents)</t>
        </is>
      </c>
      <c r="J143" s="4" t="inlineStr">
        <is>
          <t>open_download</t>
        </is>
      </c>
      <c r="K143" s="4" t="inlineStr">
        <is>
          <t>shp (zipped); spatialite (zipped); geotiff (fire severity); png; xlsx (country totals); wms/wfs</t>
        </is>
      </c>
      <c r="L143" s="4" t="inlineStr">
        <is>
          <t>Needs raster support</t>
        </is>
      </c>
      <c r="M143" s="4" t="n">
        <v>2</v>
      </c>
      <c r="N143" s="4" t="inlineStr"/>
      <c r="O143" s="19" t="inlineStr">
        <is>
          <t>Silver</t>
        </is>
      </c>
      <c r="P143" s="4" t="n">
        <v>85</v>
      </c>
      <c r="Q143" s="17" t="inlineStr">
        <is>
          <t>https://forest-fire.emergency.copernicus.eu/applications/data-and-services</t>
        </is>
      </c>
      <c r="R143" s="4" t="inlineStr">
        <is>
          <t>eu_copernicus_effis</t>
        </is>
      </c>
    </row>
    <row r="144">
      <c r="A144" s="4" t="inlineStr">
        <is>
          <t>FIRMS: Fire Information for Resource Management System active fire / thermal anomaly detections (MODIS, VIIRS)</t>
        </is>
      </c>
      <c r="B144" s="4" t="inlineStr">
        <is>
          <t>NASA</t>
        </is>
      </c>
      <c r="C144" s="4" t="inlineStr">
        <is>
          <t>climate_hazard</t>
        </is>
      </c>
      <c r="D144" s="4" t="inlineStr">
        <is>
          <t>global (MODIS, VIIRS); US &amp; Canada real-time subset</t>
        </is>
      </c>
      <c r="E144" s="4" t="inlineStr">
        <is>
          <t>point (375 m VIIRS pixel; ~1 km MODIS pixel)</t>
        </is>
      </c>
      <c r="F144" s="4" t="inlineStr">
        <is>
          <t>MODIS Terra Nov 2000-present, Aqua Jul 2002-present; VIIRS 375 m S-NPP 20 Jan 2012-present, NOAA-20 1 Jan 2020-present, NOAA-21 17 Jan 2024-present; NRT within ~3 h</t>
        </is>
      </c>
      <c r="G144" s="4" t="n">
        <v>2026</v>
      </c>
      <c r="H144" s="4" t="inlineStr">
        <is>
          <t>open</t>
        </is>
      </c>
      <c r="I144" s="4" t="inlineStr">
        <is>
          <t>No named licence; FAQ: NASA 'promotes full and open sharing of data'; acknowledgement 'NASA FIRMS' / 'We acknowledge the use of imagery from the NASA LANCE FIRMS' requested; LANCE Disclaimer applies</t>
        </is>
      </c>
      <c r="J144" s="4" t="inlineStr">
        <is>
          <t>registration</t>
        </is>
      </c>
      <c r="K144" s="4" t="inlineStr">
        <is>
          <t>shp; kml; csv; txt; kmz; wms</t>
        </is>
      </c>
      <c r="L144" s="4" t="inlineStr">
        <is>
          <t>Needs raster support</t>
        </is>
      </c>
      <c r="M144" s="4" t="n">
        <v>2</v>
      </c>
      <c r="N144" s="4" t="inlineStr"/>
      <c r="O144" s="19" t="inlineStr">
        <is>
          <t>Silver</t>
        </is>
      </c>
      <c r="P144" s="4" t="n">
        <v>93</v>
      </c>
      <c r="Q144" s="17" t="inlineStr">
        <is>
          <t>https://firms.modaps.eosdis.nasa.gov/</t>
        </is>
      </c>
      <c r="R144" s="4" t="inlineStr">
        <is>
          <t>global_nasa_firms_active_fires</t>
        </is>
      </c>
    </row>
    <row r="145">
      <c r="A145" s="4" t="inlineStr">
        <is>
          <t>Flood Insurance Rate Maps (FIRM) and FIRM Databases via Map Service Center</t>
        </is>
      </c>
      <c r="B145" s="4" t="inlineStr">
        <is>
          <t>FEMA</t>
        </is>
      </c>
      <c r="C145" s="4" t="inlineStr">
        <is>
          <t>climate_hazard</t>
        </is>
      </c>
      <c r="D145" s="4" t="inlineStr">
        <is>
          <t>US, parts of the country where maps have been digitized (NFHL)</t>
        </is>
      </c>
      <c r="E145" s="4" t="inlineStr">
        <is>
          <t>polygon</t>
        </is>
      </c>
      <c r="F145" s="4" t="inlineStr">
        <is>
          <t>ongoing (NFHL described as continuously updated; effective, preliminary, pending and historic products; no years stated)</t>
        </is>
      </c>
      <c r="G145" s="4" t="n">
        <v>2026</v>
      </c>
      <c r="H145" s="4" t="inlineStr">
        <is>
          <t>public_domain_us_federal</t>
        </is>
      </c>
      <c r="I145" s="4" t="inlineStr"/>
      <c r="J145" s="4" t="inlineStr">
        <is>
          <t>open_download</t>
        </is>
      </c>
      <c r="K145" s="4" t="inlineStr">
        <is>
          <t>shp; pdf</t>
        </is>
      </c>
      <c r="L145" s="4" t="inlineStr">
        <is>
          <t>Needs raster support</t>
        </is>
      </c>
      <c r="M145" s="4" t="n">
        <v>2</v>
      </c>
      <c r="N145" s="4" t="inlineStr"/>
      <c r="O145" s="19" t="inlineStr">
        <is>
          <t>Silver</t>
        </is>
      </c>
      <c r="P145" s="4" t="n">
        <v>85</v>
      </c>
      <c r="Q145" s="17" t="inlineStr">
        <is>
          <t>https://msc.fema.gov/portal/home</t>
        </is>
      </c>
      <c r="R145" s="4" t="inlineStr">
        <is>
          <t>us_fema_firm_flood_insurance_rate_maps</t>
        </is>
      </c>
    </row>
    <row r="146">
      <c r="A146" s="4" t="inlineStr">
        <is>
          <t>GEM Global Earthquake Model: Global Seismic Hazard Map, Global Exposure Model, Global Seismic Risk Map (2018, 2023 versions)</t>
        </is>
      </c>
      <c r="B146" s="4" t="inlineStr">
        <is>
          <t>GEM Foundation</t>
        </is>
      </c>
      <c r="C146" s="4" t="inlineStr">
        <is>
          <t>climate_hazard</t>
        </is>
      </c>
      <c r="D146" s="4" t="inlineStr">
        <is>
          <t>global (215 countries and territories, exposure model)</t>
        </is>
      </c>
      <c r="E146" s="4" t="inlineStr">
        <is>
          <t>grid_0.01deg</t>
        </is>
      </c>
      <c r="F146" s="4" t="inlineStr">
        <is>
          <t>release-year series: exposure model v2018.0.0, v2022.0.0, v2023.1.0 (June 2023), v2025.0.0, v2026.0.0; 2023 Global Earthquake Hazard and Risk Maps referenced</t>
        </is>
      </c>
      <c r="G146" s="4" t="n">
        <v>2026</v>
      </c>
      <c r="H146" s="4" t="inlineStr">
        <is>
          <t>non-commercial</t>
        </is>
      </c>
      <c r="I146" s="4" t="inlineStr">
        <is>
          <t>CC BY-NC-SA 4.0 (global exposure model; most regional products); varies by product (CC BY 4.0, CC BY-SA 4.0, OGL Canada 2.0, custom, AGPL v3 for software); Atlas custom subscription licence</t>
        </is>
      </c>
      <c r="J146" s="4" t="inlineStr">
        <is>
          <t>open_download</t>
        </is>
      </c>
      <c r="K146" s="4" t="inlineStr">
        <is>
          <t>csv; csv.gz; zip releases</t>
        </is>
      </c>
      <c r="L146" s="4" t="inlineStr">
        <is>
          <t>Needs raster support</t>
        </is>
      </c>
      <c r="M146" s="4" t="n">
        <v>2</v>
      </c>
      <c r="N146" s="4" t="inlineStr"/>
      <c r="O146" s="19" t="inlineStr">
        <is>
          <t>Silver</t>
        </is>
      </c>
      <c r="P146" s="4" t="n">
        <v>81</v>
      </c>
      <c r="Q146" s="17" t="inlineStr">
        <is>
          <t>https://www.globalquakemodel.org/products</t>
        </is>
      </c>
      <c r="R146" s="4" t="inlineStr">
        <is>
          <t>global_gem_openquake_hazard_risk</t>
        </is>
      </c>
    </row>
    <row r="147">
      <c r="A147" s="4" t="inlineStr">
        <is>
          <t>Global Historical Climatology Network daily (GHCNd)</t>
        </is>
      </c>
      <c r="B147" s="4" t="inlineStr">
        <is>
          <t>NOAA</t>
        </is>
      </c>
      <c r="C147" s="4" t="inlineStr">
        <is>
          <t>climate_hazard</t>
        </is>
      </c>
      <c r="D147" s="4" t="inlineStr">
        <is>
          <t>global (&gt;100,000 stations in 180 countries and territories)</t>
        </is>
      </c>
      <c r="E147" s="4" t="inlineStr">
        <is>
          <t>point</t>
        </is>
      </c>
      <c r="F147" s="4" t="inlineStr">
        <is>
          <t>earliest records 1832/1833 to present, daily (station records vary from under a year to over 175 years)</t>
        </is>
      </c>
      <c r="G147" s="4" t="n">
        <v>2026</v>
      </c>
      <c r="H147" s="4" t="inlineStr">
        <is>
          <t>public_domain_us_federal</t>
        </is>
      </c>
      <c r="I147" s="4" t="inlineStr"/>
      <c r="J147" s="4" t="inlineStr">
        <is>
          <t>open_download</t>
        </is>
      </c>
      <c r="K147" s="4" t="inlineStr">
        <is>
          <t>csv (by_station, by_year, superghcnd); ASCII .dly; tar.gz</t>
        </is>
      </c>
      <c r="L147" s="4" t="inlineStr">
        <is>
          <t>Needs a count/distance step</t>
        </is>
      </c>
      <c r="M147" s="4" t="n">
        <v>2</v>
      </c>
      <c r="N147" s="4" t="inlineStr"/>
      <c r="O147" s="13" t="inlineStr">
        <is>
          <t>Gold</t>
        </is>
      </c>
      <c r="P147" s="4" t="n">
        <v>98</v>
      </c>
      <c r="Q147" s="17" t="inlineStr">
        <is>
          <t>https://www.ncei.noaa.gov/products/land-based-station/global-historical-climatology-network-daily</t>
        </is>
      </c>
      <c r="R147" s="4" t="inlineStr">
        <is>
          <t>global_noaa_ghcn_daily</t>
        </is>
      </c>
    </row>
    <row r="148">
      <c r="A148" s="4" t="inlineStr">
        <is>
          <t>LANDFIRE (Landscape Fire and Resource Management Planning Tools)</t>
        </is>
      </c>
      <c r="B148" s="4" t="inlineStr">
        <is>
          <t>USDA Forest Service and U.S. Department of the Interior</t>
        </is>
      </c>
      <c r="C148" s="4" t="inlineStr">
        <is>
          <t>climate_hazard</t>
        </is>
      </c>
      <c r="D148" s="4" t="inlineStr">
        <is>
          <t>CONUS, Alaska, Hawaii, Puerto Rico and U.S. Virgin Islands (PRVI), Other Insular Areas</t>
        </is>
      </c>
      <c r="E148" s="4" t="inlineStr">
        <is>
          <t>grid_30m</t>
        </is>
      </c>
      <c r="F148" s="4" t="inlineStr">
        <is>
          <t>Version vintages LF c2001 (archived), LF 2016, LF 2020 (archived), LF 2022, LF 2023, LF 2024, LF 2025; LF 2025 Update delivered in releases R1-R7 scheduled 01/2026-12/2026</t>
        </is>
      </c>
      <c r="G148" s="4" t="n">
        <v>2025</v>
      </c>
      <c r="H148" s="4" t="inlineStr">
        <is>
          <t>public_domain_us_federal</t>
        </is>
      </c>
      <c r="I148" s="4" t="inlineStr"/>
      <c r="J148" s="4" t="inlineStr">
        <is>
          <t>open_download</t>
        </is>
      </c>
      <c r="K148" s="4" t="inlineStr">
        <is>
          <t>raster (format not named on pages read); shp (mapzone boundaries); WCS/WMS; LFPS REST API</t>
        </is>
      </c>
      <c r="L148" s="4" t="inlineStr">
        <is>
          <t>Needs raster support</t>
        </is>
      </c>
      <c r="M148" s="4" t="n">
        <v>2</v>
      </c>
      <c r="N148" s="4" t="inlineStr"/>
      <c r="O148" s="13" t="inlineStr">
        <is>
          <t>Gold</t>
        </is>
      </c>
      <c r="P148" s="4" t="n">
        <v>95</v>
      </c>
      <c r="Q148" s="17" t="inlineStr">
        <is>
          <t>https://landfire.gov/</t>
        </is>
      </c>
      <c r="R148" s="4" t="inlineStr">
        <is>
          <t>us_landfire</t>
        </is>
      </c>
    </row>
    <row r="149">
      <c r="A149" s="4" t="inlineStr">
        <is>
          <t>Low Elevation Coastal Zone (LECZ) Urban-Rural Population and Land Area Estimates, Version 3</t>
        </is>
      </c>
      <c r="B149" s="4" t="inlineStr">
        <is>
          <t>CIESIN, Columbia University</t>
        </is>
      </c>
      <c r="C149" s="4" t="inlineStr">
        <is>
          <t>climate_hazard</t>
        </is>
      </c>
      <c r="D149" s="4" t="inlineStr">
        <is>
          <t>global (234 countries and other recognized territories; extent N85 S-58 E180 W-180)</t>
        </is>
      </c>
      <c r="E149" s="4" t="inlineStr">
        <is>
          <t>grid_30arcsec (0.00083 deg, ~1 km)</t>
        </is>
      </c>
      <c r="F149" s="4" t="inlineStr">
        <is>
          <t>1990, 2000, 2015 (three epochs)</t>
        </is>
      </c>
      <c r="G149" s="4" t="n">
        <v>2015</v>
      </c>
      <c r="H149" s="4" t="inlineStr">
        <is>
          <t>open</t>
        </is>
      </c>
      <c r="I149" s="4" t="inlineStr">
        <is>
          <t>openly shared, without restriction, in accordance with the EOSDIS Data Use and Citation Guidance (no named licence)</t>
        </is>
      </c>
      <c r="J149" s="4" t="inlineStr">
        <is>
          <t>registration</t>
        </is>
      </c>
      <c r="K149" s="4" t="inlineStr">
        <is>
          <t>geotiff; xlsx; pdf; png</t>
        </is>
      </c>
      <c r="L149" s="4" t="inlineStr">
        <is>
          <t>Needs raster support</t>
        </is>
      </c>
      <c r="M149" s="4" t="n">
        <v>2</v>
      </c>
      <c r="N149" s="4" t="inlineStr"/>
      <c r="O149" s="19" t="inlineStr">
        <is>
          <t>Silver</t>
        </is>
      </c>
      <c r="P149" s="4" t="n">
        <v>92</v>
      </c>
      <c r="Q149" s="17" t="inlineStr">
        <is>
          <t>https://www.earthdata.nasa.gov/data/catalog/esdis-ciesin-sedac-lecz-urplaev3-3.00</t>
        </is>
      </c>
      <c r="R149" s="4" t="inlineStr">
        <is>
          <t>global_sedac_lecz_v3</t>
        </is>
      </c>
    </row>
    <row r="150">
      <c r="A150" s="4" t="inlineStr">
        <is>
          <t>MACA (Multivariate Adaptive Constructed Analogs) downscaled CMIP5 projections</t>
        </is>
      </c>
      <c r="B150" s="4" t="inlineStr">
        <is>
          <t>University of Idaho</t>
        </is>
      </c>
      <c r="C150" s="4" t="inlineStr">
        <is>
          <t>climate_hazard</t>
        </is>
      </c>
      <c r="D150" s="4" t="inlineStr">
        <is>
          <t>CONUS-plus; LIVNEH adds the Canadian portion of the Columbia River Basin</t>
        </is>
      </c>
      <c r="E150" s="4" t="inlineStr">
        <is>
          <t>grid_4km (1/24 degree, METDATA); grid_6km (1/16 degree, LIVNEH)</t>
        </is>
      </c>
      <c r="F150" s="4" t="inlineStr">
        <is>
          <t>1950-2005 historical (model years); future period under RCP4.5 and RCP8.5 (end year not stated on the page); training data Livneh 1950-2011, gridMET 1979-2012</t>
        </is>
      </c>
      <c r="G150" s="4" t="inlineStr">
        <is>
          <t>current</t>
        </is>
      </c>
      <c r="H150" s="4" t="inlineStr">
        <is>
          <t>open</t>
        </is>
      </c>
      <c r="I150" s="4" t="inlineStr">
        <is>
          <t>CC0 1.0 Universal ('unless otherwise noted, the MACA datasets are made available with a Creative Commons CC0 1.0 Universal dedication'); US Government funded, public domain in the US</t>
        </is>
      </c>
      <c r="J150" s="4" t="inlineStr">
        <is>
          <t>open_download</t>
        </is>
      </c>
      <c r="K150" s="4" t="inlineStr">
        <is>
          <t>netcdf (netCDF4); csv (point); zarr (USGS Geo Data Portal); OPeNDAP/THREDDS</t>
        </is>
      </c>
      <c r="L150" s="4" t="inlineStr">
        <is>
          <t>Needs raster support</t>
        </is>
      </c>
      <c r="M150" s="4" t="n">
        <v>2</v>
      </c>
      <c r="N150" s="4" t="inlineStr"/>
      <c r="O150" s="19" t="inlineStr">
        <is>
          <t>Silver</t>
        </is>
      </c>
      <c r="P150" s="4" t="n">
        <v>94</v>
      </c>
      <c r="Q150" s="17" t="inlineStr">
        <is>
          <t>https://www.climatologylab.org/maca.html</t>
        </is>
      </c>
      <c r="R150" s="4" t="inlineStr">
        <is>
          <t>us_uidaho_maca</t>
        </is>
      </c>
    </row>
    <row r="151">
      <c r="A151" s="4" t="inlineStr">
        <is>
          <t>MODIS/Terra+Aqua Burned Area Monthly L3 Global 500m SIN Grid V061 (MCD64A1)</t>
        </is>
      </c>
      <c r="B151" s="4" t="inlineStr">
        <is>
          <t>NASA</t>
        </is>
      </c>
      <c r="C151" s="4" t="inlineStr">
        <is>
          <t>climate_hazard</t>
        </is>
      </c>
      <c r="D151" s="4" t="inlineStr">
        <is>
          <t>global (N90 S-90 E180 W-180)</t>
        </is>
      </c>
      <c r="E151" s="4" t="inlineStr">
        <is>
          <t>grid_500m (MODIS Sinusoidal Tiling System)</t>
        </is>
      </c>
      <c r="F151" s="4" t="inlineStr">
        <is>
          <t>2000-11-01 to Present (ongoing); temporal resolution 1 month</t>
        </is>
      </c>
      <c r="G151" s="4" t="n">
        <v>2026</v>
      </c>
      <c r="H151" s="4" t="inlineStr">
        <is>
          <t>open</t>
        </is>
      </c>
      <c r="I151" s="4" t="inlineStr">
        <is>
          <t>openly shared, without restriction, in accordance with the EOSDIS Data Use and Citation Guidance (no named licence)</t>
        </is>
      </c>
      <c r="J151" s="4" t="inlineStr">
        <is>
          <t>registration</t>
        </is>
      </c>
      <c r="K151" s="4" t="inlineStr">
        <is>
          <t>hdf (HDF-EOS2)</t>
        </is>
      </c>
      <c r="L151" s="4" t="inlineStr">
        <is>
          <t>Needs raster support</t>
        </is>
      </c>
      <c r="M151" s="4" t="n">
        <v>2</v>
      </c>
      <c r="N151" s="4" t="inlineStr"/>
      <c r="O151" s="19" t="inlineStr">
        <is>
          <t>Silver</t>
        </is>
      </c>
      <c r="P151" s="4" t="n">
        <v>100</v>
      </c>
      <c r="Q151" s="17" t="inlineStr">
        <is>
          <t>https://www.earthdata.nasa.gov/data/catalog/lpcloud-mcd64a1-061</t>
        </is>
      </c>
      <c r="R151" s="4" t="inlineStr">
        <is>
          <t>global_nasa_mcd64a1_burned_area</t>
        </is>
      </c>
    </row>
    <row r="152">
      <c r="A152" s="4" t="inlineStr">
        <is>
          <t>Monitoring Trends in Burn Severity (MTBS)</t>
        </is>
      </c>
      <c r="B152" s="4" t="inlineStr">
        <is>
          <t>USGS and USDA Forest Service</t>
        </is>
      </c>
      <c r="C152" s="4" t="inlineStr">
        <is>
          <t>climate_hazard</t>
        </is>
      </c>
      <c r="D152" s="4" t="inlineStr">
        <is>
          <t>continental U.S., Alaska, Hawaii and Puerto Rico</t>
        </is>
      </c>
      <c r="E152" s="4" t="inlineStr">
        <is>
          <t>grid_30m</t>
        </is>
      </c>
      <c r="F152" s="4" t="inlineStr">
        <is>
          <t>1984 to present (fires &gt;=1,000 acres western US, &gt;=500 acres eastern US)</t>
        </is>
      </c>
      <c r="G152" s="4" t="n">
        <v>2026</v>
      </c>
      <c r="H152" s="4" t="inlineStr">
        <is>
          <t>public_domain_us_federal</t>
        </is>
      </c>
      <c r="I152" s="4" t="inlineStr"/>
      <c r="J152" s="4" t="inlineStr">
        <is>
          <t>open_download</t>
        </is>
      </c>
      <c r="K152" s="4" t="inlineStr">
        <is>
          <t>geotiff; shp; web map services</t>
        </is>
      </c>
      <c r="L152" s="4" t="inlineStr">
        <is>
          <t>Needs raster support</t>
        </is>
      </c>
      <c r="M152" s="4" t="n">
        <v>2</v>
      </c>
      <c r="N152" s="4" t="inlineStr"/>
      <c r="O152" s="19" t="inlineStr">
        <is>
          <t>Silver</t>
        </is>
      </c>
      <c r="P152" s="4" t="n">
        <v>89</v>
      </c>
      <c r="Q152" s="17" t="inlineStr">
        <is>
          <t>https://www.mtbs.gov/</t>
        </is>
      </c>
      <c r="R152" s="4" t="inlineStr">
        <is>
          <t>us_mtbs</t>
        </is>
      </c>
    </row>
    <row r="153">
      <c r="A153" s="4" t="inlineStr">
        <is>
          <t>NASA POWER (Prediction Of Worldwide Energy Resources) meteorology and solar data</t>
        </is>
      </c>
      <c r="B153" s="4" t="inlineStr">
        <is>
          <t>NASA</t>
        </is>
      </c>
      <c r="C153" s="4" t="inlineStr">
        <is>
          <t>climate_hazard</t>
        </is>
      </c>
      <c r="D153" s="4" t="inlineStr">
        <is>
          <t>worldwide ("worldwide users" only)</t>
        </is>
      </c>
      <c r="E153" s="4" t="inlineStr">
        <is>
          <t>grid_0.5deg</t>
        </is>
      </c>
      <c r="F153" s="4" t="inlineStr">
        <is>
          <t>1981-present daily, hourly, monthly, climatology</t>
        </is>
      </c>
      <c r="G153" s="4" t="inlineStr">
        <is>
          <t>current</t>
        </is>
      </c>
      <c r="H153" s="4" t="inlineStr">
        <is>
          <t>public_domain_us_federal</t>
        </is>
      </c>
      <c r="I153" s="4" t="inlineStr"/>
      <c r="J153" s="4" t="inlineStr">
        <is>
          <t>api</t>
        </is>
      </c>
      <c r="K153" s="4" t="inlineStr">
        <is>
          <t>api (json, csv, netcdf, ascii); zarr/netcdf on AWS</t>
        </is>
      </c>
      <c r="L153" s="4" t="inlineStr">
        <is>
          <t>Needs raster support</t>
        </is>
      </c>
      <c r="M153" s="4" t="n">
        <v>2</v>
      </c>
      <c r="N153" s="4" t="inlineStr"/>
      <c r="O153" s="19" t="inlineStr">
        <is>
          <t>Silver</t>
        </is>
      </c>
      <c r="P153" s="4" t="n">
        <v>96</v>
      </c>
      <c r="Q153" s="17" t="inlineStr">
        <is>
          <t>https://power.larc.nasa.gov/</t>
        </is>
      </c>
      <c r="R153" s="4" t="inlineStr">
        <is>
          <t>global_nasa_power</t>
        </is>
      </c>
    </row>
    <row r="154">
      <c r="A154" s="4" t="inlineStr">
        <is>
          <t>National Flood Hazard Layer (NFHL)</t>
        </is>
      </c>
      <c r="B154" s="4" t="inlineStr">
        <is>
          <t>FEMA</t>
        </is>
      </c>
      <c r="C154" s="4" t="inlineStr">
        <is>
          <t>climate_hazard</t>
        </is>
      </c>
      <c r="D154" s="4" t="inlineStr">
        <is>
          <t>US; NFHL digital data covers over 90% of the U.S. population</t>
        </is>
      </c>
      <c r="E154" s="4" t="inlineStr">
        <is>
          <t>polygon</t>
        </is>
      </c>
      <c r="F154" s="4" t="inlineStr">
        <is>
          <t>current effective flood hazard data; 'New and revised data is being added continuously'; page last updated 2025-04-03</t>
        </is>
      </c>
      <c r="G154" s="4" t="n">
        <v>2026</v>
      </c>
      <c r="H154" s="4" t="inlineStr">
        <is>
          <t>public_domain_us_federal</t>
        </is>
      </c>
      <c r="I154" s="4" t="inlineStr"/>
      <c r="J154" s="4" t="inlineStr">
        <is>
          <t>open_download</t>
        </is>
      </c>
      <c r="K154" s="4" t="inlineStr">
        <is>
          <t>shp; kmz; wms</t>
        </is>
      </c>
      <c r="L154" s="4" t="inlineStr">
        <is>
          <t>Joins today</t>
        </is>
      </c>
      <c r="M154" s="4" t="n">
        <v>2</v>
      </c>
      <c r="N154" s="4" t="inlineStr"/>
      <c r="O154" s="19" t="inlineStr">
        <is>
          <t>Silver</t>
        </is>
      </c>
      <c r="P154" s="4" t="n">
        <v>88</v>
      </c>
      <c r="Q154" s="17" t="inlineStr">
        <is>
          <t>https://www.fema.gov/flood-maps/national-flood-hazard-layer</t>
        </is>
      </c>
      <c r="R154" s="4" t="inlineStr">
        <is>
          <t>us_fema_nfhl</t>
        </is>
      </c>
    </row>
    <row r="155">
      <c r="A155" s="4" t="inlineStr">
        <is>
          <t>National Seismic Hazard Model (NSHM)</t>
        </is>
      </c>
      <c r="B155" s="4" t="inlineStr">
        <is>
          <t>USGS</t>
        </is>
      </c>
      <c r="C155" s="4" t="inlineStr">
        <is>
          <t>climate_hazard</t>
        </is>
      </c>
      <c r="D155" s="4" t="inlineStr">
        <is>
          <t>CONUS, Alaska, Hawaii (2023 50-State); Puerto Rico and USVI (2003); Guam/CNMI and American Samoa (2012)</t>
        </is>
      </c>
      <c r="E155" s="4" t="inlineStr">
        <is>
          <t>grid_0.02deg (stated for Hawaii 2021 only; other regions not stated)</t>
        </is>
      </c>
      <c r="F155" s="4" t="inlineStr">
        <is>
          <t>time-independent model; 2023 50-State release (CONUS 2023, Alaska 2023, Hawaii 2021; PRVI 2003, update planned 2025; Guam/CNMI and American Samoa 2012, planned 2027)</t>
        </is>
      </c>
      <c r="G155" s="4" t="n">
        <v>2023</v>
      </c>
      <c r="H155" s="4" t="inlineStr">
        <is>
          <t>unknown</t>
        </is>
      </c>
      <c r="I155" s="4" t="inlineStr">
        <is>
          <t>public domain (only the hazard map image is labelled 'Sources/Usage: Public Domain'; no dataset-level statement)</t>
        </is>
      </c>
      <c r="J155" s="4" t="inlineStr">
        <is>
          <t>open_download</t>
        </is>
      </c>
      <c r="K155" s="4" t="inlineStr">
        <is>
          <t>csv/gridded hazard curves; geotiff (data releases); api (nshmp-haz tools)</t>
        </is>
      </c>
      <c r="L155" s="4" t="inlineStr">
        <is>
          <t>Needs raster support</t>
        </is>
      </c>
      <c r="M155" s="4" t="n">
        <v>2</v>
      </c>
      <c r="N155" s="4" t="inlineStr"/>
      <c r="O155" s="19" t="inlineStr">
        <is>
          <t>Silver</t>
        </is>
      </c>
      <c r="P155" s="4" t="n">
        <v>74</v>
      </c>
      <c r="Q155" s="17" t="inlineStr">
        <is>
          <t>https://www.usgs.gov/programs/earthquake-hazards/science/national-seismic-hazard-model</t>
        </is>
      </c>
      <c r="R155" s="4" t="inlineStr">
        <is>
          <t>us_usgs_national_seismic_hazard_model</t>
        </is>
      </c>
    </row>
    <row r="156">
      <c r="A156" s="4" t="inlineStr">
        <is>
          <t>nClimGrid (nClimGrid-Daily and nClimGrid-Monthly)</t>
        </is>
      </c>
      <c r="B156" s="4" t="inlineStr">
        <is>
          <t>NOAA</t>
        </is>
      </c>
      <c r="C156" s="4" t="inlineStr">
        <is>
          <t>climate_hazard</t>
        </is>
      </c>
      <c r="D156" s="4" t="inlineStr">
        <is>
          <t>CONUS (approx. 24N-49N, 67W-125W)</t>
        </is>
      </c>
      <c r="E156" s="4" t="inlineStr">
        <is>
          <t>grid_4km (1/24 degree, 0.0417 deg); area averages for tract, county, climate division, state, HUC, WFO</t>
        </is>
      </c>
      <c r="F156" s="4" t="inlineStr">
        <is>
          <t>January 1, 1951 to present (daily)</t>
        </is>
      </c>
      <c r="G156" s="4" t="n">
        <v>2026</v>
      </c>
      <c r="H156" s="4" t="inlineStr">
        <is>
          <t>public_domain_us_federal</t>
        </is>
      </c>
      <c r="I156" s="4" t="inlineStr"/>
      <c r="J156" s="4" t="inlineStr">
        <is>
          <t>open_download</t>
        </is>
      </c>
      <c r="K156" s="4" t="inlineStr">
        <is>
          <t>netcdf; csv</t>
        </is>
      </c>
      <c r="L156" s="4" t="inlineStr">
        <is>
          <t>Needs raster support</t>
        </is>
      </c>
      <c r="M156" s="4" t="n">
        <v>2</v>
      </c>
      <c r="N156" s="4" t="inlineStr"/>
      <c r="O156" s="13" t="inlineStr">
        <is>
          <t>Gold</t>
        </is>
      </c>
      <c r="P156" s="4" t="n">
        <v>93</v>
      </c>
      <c r="Q156" s="17" t="inlineStr">
        <is>
          <t>https://www.ncei.noaa.gov/products/land-based-station/nclimgrid-daily</t>
        </is>
      </c>
      <c r="R156" s="4" t="inlineStr">
        <is>
          <t>us_noaa_nclimgrid</t>
        </is>
      </c>
    </row>
    <row r="157">
      <c r="A157" s="4" t="inlineStr">
        <is>
          <t>NOAA Atlas 14 Precipitation Frequency Data Server (PFDS)</t>
        </is>
      </c>
      <c r="B157" s="4" t="inlineStr">
        <is>
          <t>NOAA</t>
        </is>
      </c>
      <c r="C157" s="4" t="inlineStr">
        <is>
          <t>climate_hazard</t>
        </is>
      </c>
      <c r="D157" s="4" t="inlineStr">
        <is>
          <t>50 states and DC, Puerto Rico, US Virgin Islands, selected Pacific islands</t>
        </is>
      </c>
      <c r="E157" s="4" t="inlineStr">
        <is>
          <t>grid (ASCII grids; resolution not stated) and point lookup via interactive map</t>
        </is>
      </c>
      <c r="F157" s="4" t="inlineStr">
        <is>
          <t>design values (stationary); page last modified Aug 2025</t>
        </is>
      </c>
      <c r="G157" s="4" t="n">
        <v>2025</v>
      </c>
      <c r="H157" s="4" t="inlineStr">
        <is>
          <t>public_domain_us_federal</t>
        </is>
      </c>
      <c r="I157" s="4" t="inlineStr"/>
      <c r="J157" s="4" t="inlineStr">
        <is>
          <t>open_download</t>
        </is>
      </c>
      <c r="K157" s="4" t="inlineStr">
        <is>
          <t>ascii grid</t>
        </is>
      </c>
      <c r="L157" s="4" t="inlineStr">
        <is>
          <t>Needs raster support</t>
        </is>
      </c>
      <c r="M157" s="4" t="n">
        <v>2</v>
      </c>
      <c r="N157" s="4" t="inlineStr"/>
      <c r="O157" s="19" t="inlineStr">
        <is>
          <t>Silver</t>
        </is>
      </c>
      <c r="P157" s="4" t="n">
        <v>91</v>
      </c>
      <c r="Q157" s="17" t="inlineStr">
        <is>
          <t>https://hdsc.nws.noaa.gov/pfds/</t>
        </is>
      </c>
      <c r="R157" s="4" t="inlineStr">
        <is>
          <t>us_noaa_atlas14_precip_frequency</t>
        </is>
      </c>
    </row>
    <row r="158">
      <c r="A158" s="4" t="inlineStr">
        <is>
          <t>NOAA NCEI / WDS Global Historical Tsunami Database (events and runups, 2100 BC to present)</t>
        </is>
      </c>
      <c r="B158" s="4" t="inlineStr">
        <is>
          <t>NOAA National Centers for Environmental Information (NCEI)</t>
        </is>
      </c>
      <c r="C158" s="4" t="inlineStr">
        <is>
          <t>climate_hazard</t>
        </is>
      </c>
      <c r="D158" s="4" t="inlineStr">
        <is>
          <t>global (Atlantic, Indian and Pacific Oceans, Mediterranean and Caribbean Seas)</t>
        </is>
      </c>
      <c r="E158" s="4" t="inlineStr">
        <is>
          <t>point</t>
        </is>
      </c>
      <c r="F158" s="4" t="inlineStr">
        <is>
          <t>2000 B.C. to the present (page says 2000 B.C., row says 2100 BC); event count stated 'as of 2019'</t>
        </is>
      </c>
      <c r="G158" s="4" t="n">
        <v>2026</v>
      </c>
      <c r="H158" s="4" t="inlineStr">
        <is>
          <t>public_domain_us_federal</t>
        </is>
      </c>
      <c r="I158" s="4" t="inlineStr"/>
      <c r="J158" s="4" t="inlineStr">
        <is>
          <t>open_download</t>
        </is>
      </c>
      <c r="K158" s="4" t="inlineStr">
        <is>
          <t>csv; tsv; kml; api (json)</t>
        </is>
      </c>
      <c r="L158" s="4" t="inlineStr">
        <is>
          <t>Needs a count/distance step</t>
        </is>
      </c>
      <c r="M158" s="4" t="n">
        <v>2</v>
      </c>
      <c r="N158" s="4" t="inlineStr"/>
      <c r="O158" s="19" t="inlineStr">
        <is>
          <t>Silver</t>
        </is>
      </c>
      <c r="P158" s="4" t="n">
        <v>94</v>
      </c>
      <c r="Q158" s="17" t="inlineStr">
        <is>
          <t>https://www.ncei.noaa.gov/products/natural-hazards/tsunamis-earthquakes-volcanoes/tsunamis</t>
        </is>
      </c>
      <c r="R158" s="4" t="inlineStr">
        <is>
          <t>global_noaa_ncei_tsunami_database</t>
        </is>
      </c>
    </row>
    <row r="159">
      <c r="A159" s="4" t="inlineStr">
        <is>
          <t>OpenFEMA Disaster Declarations Summaries (v2)</t>
        </is>
      </c>
      <c r="B159" s="4" t="inlineStr">
        <is>
          <t>FEMA</t>
        </is>
      </c>
      <c r="C159" s="4" t="inlineStr">
        <is>
          <t>climate_hazard</t>
        </is>
      </c>
      <c r="D159" s="4" t="inlineStr">
        <is>
          <t>US: all federally declared disasters; fipsStateCode covers states, DC, territories, outlying areas and freely associated states; tribal nations listed within states</t>
        </is>
      </c>
      <c r="E159" s="4" t="inlineStr">
        <is>
          <t>county</t>
        </is>
      </c>
      <c r="F159" s="4" t="inlineStr">
        <is>
          <t>1953-present (county-level detail unavailable before 1964); last data refresh 2026-10-22</t>
        </is>
      </c>
      <c r="G159" s="4" t="n">
        <v>2026</v>
      </c>
      <c r="H159" s="4" t="inlineStr">
        <is>
          <t>attribution</t>
        </is>
      </c>
      <c r="I159" s="4" t="inlineStr">
        <is>
          <t>OpenFEMA Terms and Conditions: attribution statement required ('This product uses the Federal Emergency Management Agency's OpenFEMA API, but is not endorsed by FEMA'); cite endpoint, version and access date; data used 'solely for statistical research or as a reporting record'; no reidentification; no public domain or CC statement</t>
        </is>
      </c>
      <c r="J159" s="4" t="inlineStr">
        <is>
          <t>open_download</t>
        </is>
      </c>
      <c r="K159" s="4" t="inlineStr">
        <is>
          <t>csv; json; jsona; jsonl; parquet; api</t>
        </is>
      </c>
      <c r="L159" s="4" t="inlineStr">
        <is>
          <t>Joins today</t>
        </is>
      </c>
      <c r="M159" s="4" t="n">
        <v>2</v>
      </c>
      <c r="N159" s="4" t="inlineStr"/>
      <c r="O159" s="19" t="inlineStr">
        <is>
          <t>Silver</t>
        </is>
      </c>
      <c r="P159" s="4" t="n">
        <v>91</v>
      </c>
      <c r="Q159" s="17" t="inlineStr">
        <is>
          <t>https://www.fema.gov/openfema-data-page/disaster-declarations-summaries-v2</t>
        </is>
      </c>
      <c r="R159" s="4" t="inlineStr">
        <is>
          <t>us_fema_openfema_disaster_declarations</t>
        </is>
      </c>
    </row>
    <row r="160">
      <c r="A160" s="4" t="inlineStr">
        <is>
          <t>Sea Level Rise Viewer Data Download</t>
        </is>
      </c>
      <c r="B160" s="4" t="inlineStr">
        <is>
          <t>NOAA</t>
        </is>
      </c>
      <c r="C160" s="4" t="inlineStr">
        <is>
          <t>climate_hazard</t>
        </is>
      </c>
      <c r="D160" s="4" t="inlineStr">
        <is>
          <t>Coastal contiguous U.S. (excludes Great Lakes), AK, HI, and territories (Guam and CNMI named)</t>
        </is>
      </c>
      <c r="E160" s="4" t="inlineStr">
        <is>
          <t>raster (resolution not stated); also inundation polygons/vectors</t>
        </is>
      </c>
      <c r="F160" s="4" t="inlineStr">
        <is>
          <t>data years not stated; index page 'Last Modified: Fri Apr 24 10:38:08 2026'</t>
        </is>
      </c>
      <c r="G160" s="4" t="n">
        <v>2026</v>
      </c>
      <c r="H160" s="4" t="inlineStr">
        <is>
          <t>public_domain_us_federal</t>
        </is>
      </c>
      <c r="I160" s="4" t="inlineStr"/>
      <c r="J160" s="4" t="inlineStr">
        <is>
          <t>open_download</t>
        </is>
      </c>
      <c r="K160" s="4" t="inlineStr">
        <is>
          <t>vrt (VRTs directory); raster and polygon file formats not named on pages read</t>
        </is>
      </c>
      <c r="L160" s="4" t="inlineStr">
        <is>
          <t>Needs raster support</t>
        </is>
      </c>
      <c r="M160" s="4" t="n">
        <v>2</v>
      </c>
      <c r="N160" s="4" t="inlineStr"/>
      <c r="O160" s="19" t="inlineStr">
        <is>
          <t>Silver</t>
        </is>
      </c>
      <c r="P160" s="4" t="n">
        <v>81</v>
      </c>
      <c r="Q160" s="17" t="inlineStr">
        <is>
          <t>https://coast.noaa.gov/slrdata/</t>
        </is>
      </c>
      <c r="R160" s="4" t="inlineStr">
        <is>
          <t>us_noaa_slr_viewer_data</t>
        </is>
      </c>
    </row>
    <row r="161">
      <c r="A161" s="4" t="inlineStr">
        <is>
          <t>Sea Level Trends and Extremes</t>
        </is>
      </c>
      <c r="B161" s="4" t="inlineStr">
        <is>
          <t>NOAA</t>
        </is>
      </c>
      <c r="C161" s="4" t="inlineStr">
        <is>
          <t>climate_hazard</t>
        </is>
      </c>
      <c r="D161" s="4" t="inlineStr">
        <is>
          <t>U.S. coastal states and territories</t>
        </is>
      </c>
      <c r="E161" s="4" t="inlineStr">
        <is>
          <t>point</t>
        </is>
      </c>
      <c r="F161" s="4" t="inlineStr">
        <is>
          <t>station records 'from a few decades to over a century'; no product date range stated (NTDE reference 1983-2001)</t>
        </is>
      </c>
      <c r="G161" s="4" t="inlineStr"/>
      <c r="H161" s="4" t="inlineStr">
        <is>
          <t>public_domain_us_federal</t>
        </is>
      </c>
      <c r="I161" s="4" t="inlineStr"/>
      <c r="J161" s="4" t="inlineStr">
        <is>
          <t>api</t>
        </is>
      </c>
      <c r="K161" s="4" t="inlineStr">
        <is>
          <t>csv (technical-report tables only); API output format options not listed</t>
        </is>
      </c>
      <c r="L161" s="4" t="inlineStr">
        <is>
          <t>Needs a count/distance step</t>
        </is>
      </c>
      <c r="M161" s="4" t="n">
        <v>2</v>
      </c>
      <c r="N161" s="4" t="inlineStr"/>
      <c r="O161" s="19" t="inlineStr">
        <is>
          <t>Silver</t>
        </is>
      </c>
      <c r="P161" s="4" t="n">
        <v>87</v>
      </c>
      <c r="Q161" s="17" t="inlineStr">
        <is>
          <t>https://tidesandcurrents.noaa.gov/trends-and-extremes/</t>
        </is>
      </c>
      <c r="R161" s="4" t="inlineStr">
        <is>
          <t>us_noaa_sea_level_trends</t>
        </is>
      </c>
    </row>
    <row r="162">
      <c r="A162" s="4" t="inlineStr">
        <is>
          <t>Storm Events Database</t>
        </is>
      </c>
      <c r="B162" s="4" t="inlineStr">
        <is>
          <t>NOAA</t>
        </is>
      </c>
      <c r="C162" s="4" t="inlineStr">
        <is>
          <t>climate_hazard</t>
        </is>
      </c>
      <c r="D162" s="4" t="inlineStr">
        <is>
          <t>US</t>
        </is>
      </c>
      <c r="E162" s="4" t="inlineStr">
        <is>
          <t>point</t>
        </is>
      </c>
      <c r="F162" s="4" t="inlineStr">
        <is>
          <t>1950-2026 (yearly details, fatalities and locations files)</t>
        </is>
      </c>
      <c r="G162" s="4" t="n">
        <v>2026</v>
      </c>
      <c r="H162" s="4" t="inlineStr">
        <is>
          <t>public_domain_us_federal</t>
        </is>
      </c>
      <c r="I162" s="4" t="inlineStr"/>
      <c r="J162" s="4" t="inlineStr">
        <is>
          <t>open_download</t>
        </is>
      </c>
      <c r="K162" s="4" t="inlineStr">
        <is>
          <t>csv (gzip)</t>
        </is>
      </c>
      <c r="L162" s="4" t="inlineStr">
        <is>
          <t>Needs a count/distance step</t>
        </is>
      </c>
      <c r="M162" s="4" t="n">
        <v>2</v>
      </c>
      <c r="N162" s="4" t="inlineStr"/>
      <c r="O162" s="19" t="inlineStr">
        <is>
          <t>Silver</t>
        </is>
      </c>
      <c r="P162" s="4" t="n">
        <v>89</v>
      </c>
      <c r="Q162" s="17" t="inlineStr">
        <is>
          <t>https://www.ncei.noaa.gov/stormevents/</t>
        </is>
      </c>
      <c r="R162" s="4" t="inlineStr">
        <is>
          <t>us_noaa_storm_events</t>
        </is>
      </c>
    </row>
    <row r="163">
      <c r="A163" s="4" t="inlineStr">
        <is>
          <t>U.S. Billion-Dollar Weather and Climate Disasters (Climate Central continuation)</t>
        </is>
      </c>
      <c r="B163" s="4" t="inlineStr">
        <is>
          <t>Climate Central</t>
        </is>
      </c>
      <c r="C163" s="4" t="inlineStr">
        <is>
          <t>climate_hazard</t>
        </is>
      </c>
      <c r="D163" s="4" t="inlineStr">
        <is>
          <t>US; state filter includes Puerto Rico, Guam and the Virgin Islands; also named climate regions and national summary</t>
        </is>
      </c>
      <c r="E163" s="4" t="inlineStr">
        <is>
          <t>state</t>
        </is>
      </c>
      <c r="F163" s="4" t="inlineStr">
        <is>
          <t>1980-2026 (events since 1980; stats 'As of September 2026'; CPI-adjusted to 2026 dollars); Climate Central maintains since 2025-07-28</t>
        </is>
      </c>
      <c r="G163" s="4" t="n">
        <v>2026</v>
      </c>
      <c r="H163" s="4" t="inlineStr">
        <is>
          <t>non-commercial</t>
        </is>
      </c>
      <c r="I163" s="4" t="inlineStr">
        <is>
          <t>custom terms: copyright Climate Central; non-commercial use permitted with credit and link to the page; commercial use requires written permission; modified material requires permission; 'Any bulk downloading is prohibited'; data extraction/screen scraping prohibited</t>
        </is>
      </c>
      <c r="J163" s="4" t="inlineStr">
        <is>
          <t>restricted</t>
        </is>
      </c>
      <c r="K163" s="4" t="inlineStr">
        <is>
          <t>web (interactive maps, time series); downloads not stated</t>
        </is>
      </c>
      <c r="L163" s="4" t="inlineStr">
        <is>
          <t>Joins today</t>
        </is>
      </c>
      <c r="M163" s="4" t="n">
        <v>2</v>
      </c>
      <c r="N163" s="4" t="inlineStr"/>
      <c r="O163" s="19" t="inlineStr">
        <is>
          <t>Silver</t>
        </is>
      </c>
      <c r="P163" s="4" t="n">
        <v>77</v>
      </c>
      <c r="Q163" s="17" t="inlineStr">
        <is>
          <t>https://www.climatecentral.org/billion-dollar-disasters</t>
        </is>
      </c>
      <c r="R163" s="4" t="inlineStr">
        <is>
          <t>us_climatecentral_billion_dollar_disasters</t>
        </is>
      </c>
    </row>
    <row r="164">
      <c r="A164" s="4" t="inlineStr">
        <is>
          <t>U.S. Drought Monitor (USDM) GIS Data</t>
        </is>
      </c>
      <c r="B164" s="4" t="inlineStr">
        <is>
          <t>National Drought Mitigation Center, University of Nebraska-Lincoln</t>
        </is>
      </c>
      <c r="C164" s="4" t="inlineStr">
        <is>
          <t>climate_hazard</t>
        </is>
      </c>
      <c r="D164" s="4" t="inlineStr">
        <is>
          <t>US clipped to US boundary; Excel totals include Alaska, Hawaii and Puerto Rico; separate CONUS worksheet</t>
        </is>
      </c>
      <c r="E164" s="4" t="inlineStr">
        <is>
          <t>grid_500m (gridded data); polygon (one polygon per DM class); county/state (Excel statistics)</t>
        </is>
      </c>
      <c r="F164" s="4" t="inlineStr">
        <is>
          <t>not stated; 'shapefiles prior to 2004 have been digitized from the image archive'; example 'Download all Drought Monitor shapefiles for 2012'</t>
        </is>
      </c>
      <c r="G164" s="4" t="inlineStr">
        <is>
          <t>current</t>
        </is>
      </c>
      <c r="H164" s="4" t="inlineStr">
        <is>
          <t>attribution</t>
        </is>
      </c>
      <c r="I164" s="4" t="inlineStr">
        <is>
          <t>no licence stated; citation requested ('cite the Drought Monitor by including the National Drought Mitigation Center', plus USDA and NOAA); Permission page linked, not read</t>
        </is>
      </c>
      <c r="J164" s="4" t="inlineStr">
        <is>
          <t>open_download</t>
        </is>
      </c>
      <c r="K164" s="4" t="inlineStr">
        <is>
          <t>shp; kmz/kml; gml; geojson; wms; grid; xlsx (statistics)</t>
        </is>
      </c>
      <c r="L164" s="4" t="inlineStr">
        <is>
          <t>Needs raster support</t>
        </is>
      </c>
      <c r="M164" s="4" t="n">
        <v>2</v>
      </c>
      <c r="N164" s="4" t="inlineStr"/>
      <c r="O164" s="19" t="inlineStr">
        <is>
          <t>Silver</t>
        </is>
      </c>
      <c r="P164" s="4" t="n">
        <v>84</v>
      </c>
      <c r="Q164" s="17" t="inlineStr">
        <is>
          <t>https://droughtmonitor.unl.edu/DmData/GISData.aspx</t>
        </is>
      </c>
      <c r="R164" s="4" t="inlineStr">
        <is>
          <t>us_ndmc_us_drought_monitor</t>
        </is>
      </c>
    </row>
    <row r="165">
      <c r="A165" s="4" t="inlineStr">
        <is>
          <t>USGS Flood Inundation Mapping (FIM) Program map libraries</t>
        </is>
      </c>
      <c r="B165" s="4" t="inlineStr">
        <is>
          <t>USGS</t>
        </is>
      </c>
      <c r="C165" s="4" t="inlineStr">
        <is>
          <t>climate_hazard</t>
        </is>
      </c>
      <c r="D165" s="4" t="inlineStr">
        <is>
          <t>US, selected communities ('across the country'); no count of libraries or list of states given</t>
        </is>
      </c>
      <c r="E165" s="4" t="inlineStr">
        <is>
          <t>polygon</t>
        </is>
      </c>
      <c r="F165" s="4" t="inlineStr">
        <is>
          <t>no data period stated; program page dated 2026-04-28 (status Active); libraries uploaded to the FIM Mapper as each community's library is completed</t>
        </is>
      </c>
      <c r="G165" s="4" t="n">
        <v>2026</v>
      </c>
      <c r="H165" s="4" t="inlineStr">
        <is>
          <t>public_domain_us_federal</t>
        </is>
      </c>
      <c r="I165" s="4" t="inlineStr"/>
      <c r="J165" s="4" t="inlineStr">
        <is>
          <t>open_download</t>
        </is>
      </c>
      <c r="K165" s="4" t="inlineStr">
        <is>
          <t>web map (FIM Mapper); shp via library downloads (not stated)</t>
        </is>
      </c>
      <c r="L165" s="4" t="inlineStr">
        <is>
          <t>Joins today</t>
        </is>
      </c>
      <c r="M165" s="4" t="n">
        <v>2</v>
      </c>
      <c r="N165" s="4" t="inlineStr"/>
      <c r="O165" s="19" t="inlineStr">
        <is>
          <t>Silver</t>
        </is>
      </c>
      <c r="P165" s="4" t="n">
        <v>89</v>
      </c>
      <c r="Q165" s="17" t="inlineStr">
        <is>
          <t>https://www.usgs.gov/mission-areas/water-resources/science/flood-inundation-mapping-fim-program</t>
        </is>
      </c>
      <c r="R165" s="4" t="inlineStr">
        <is>
          <t>us_usgs_flood_inundation_mapping</t>
        </is>
      </c>
    </row>
    <row r="166">
      <c r="A166" s="4" t="inlineStr">
        <is>
          <t>Wildfire Risk to Communities</t>
        </is>
      </c>
      <c r="B166" s="4" t="inlineStr">
        <is>
          <t>USDA Forest Service</t>
        </is>
      </c>
      <c r="C166" s="4" t="inlineStr">
        <is>
          <t>climate_hazard</t>
        </is>
      </c>
      <c r="D166" s="4" t="inlineStr">
        <is>
          <t>all lands in the United States (CONUS, Alaska, Hawaii, DC; state-level zips)</t>
        </is>
      </c>
      <c r="E166" s="4" t="inlineStr">
        <is>
          <t>grid_30m</t>
        </is>
      </c>
      <c r="F166" s="4" t="inlineStr">
        <is>
          <t>static: 2nd Edition published 2024; burn probability as of end of 2020 (LANDFIRE 2020 v2.2.0), fire intensity as of end of 2022; population/housing from 2021 Census; spreadsheet dated 2026-04-15</t>
        </is>
      </c>
      <c r="G166" s="4" t="n">
        <v>2024</v>
      </c>
      <c r="H166" s="4" t="inlineStr">
        <is>
          <t>open</t>
        </is>
      </c>
      <c r="I166" s="4" t="inlineStr">
        <is>
          <t>public domain (US Government work): 'These data were collected using funding from the U.S. Government and can be used without additional permissions or fees'</t>
        </is>
      </c>
      <c r="J166" s="4" t="inlineStr">
        <is>
          <t>open_download</t>
        </is>
      </c>
      <c r="K166" s="4" t="inlineStr">
        <is>
          <t>xlsx (community spreadsheet); zip archives of GIS rasters (raster format not named on pages read)</t>
        </is>
      </c>
      <c r="L166" s="4" t="inlineStr">
        <is>
          <t>Needs raster support</t>
        </is>
      </c>
      <c r="M166" s="4" t="n">
        <v>2</v>
      </c>
      <c r="N166" s="4" t="inlineStr"/>
      <c r="O166" s="13" t="inlineStr">
        <is>
          <t>Gold</t>
        </is>
      </c>
      <c r="P166" s="4" t="n">
        <v>93</v>
      </c>
      <c r="Q166" s="17" t="inlineStr">
        <is>
          <t>https://wildfirerisk.org/download/</t>
        </is>
      </c>
      <c r="R166" s="4" t="inlineStr">
        <is>
          <t>us_usfs_wildfire_risk_to_communities</t>
        </is>
      </c>
    </row>
    <row r="167">
      <c r="A167" s="4" t="inlineStr">
        <is>
          <t>Atlas of Rural and Small-Town America</t>
        </is>
      </c>
      <c r="B167" s="4" t="inlineStr">
        <is>
          <t>U.S. Department of Agriculture</t>
        </is>
      </c>
      <c r="C167" s="4" t="inlineStr">
        <is>
          <t>demographics</t>
        </is>
      </c>
      <c r="D167" s="4" t="inlineStr">
        <is>
          <t>all U.S. counties</t>
        </is>
      </c>
      <c r="E167" s="4" t="inlineStr">
        <is>
          <t>county</t>
        </is>
      </c>
      <c r="F167" s="4" t="inlineStr">
        <is>
          <t>ACS 2017-21 (5-year county data); 2020 Decennial Census; July 1, 2021 county population estimates; 2021 annual employment/unemployment; data as of April 7, 2023</t>
        </is>
      </c>
      <c r="G167" s="4" t="n">
        <v>2021</v>
      </c>
      <c r="H167" s="4" t="inlineStr">
        <is>
          <t>public_domain_us_federal</t>
        </is>
      </c>
      <c r="I167" s="4" t="inlineStr"/>
      <c r="J167" s="4" t="inlineStr">
        <is>
          <t>open_download</t>
        </is>
      </c>
      <c r="K167" s="4" t="inlineStr">
        <is>
          <t>xlsx; csv (zipped)</t>
        </is>
      </c>
      <c r="L167" s="4" t="inlineStr">
        <is>
          <t>Joins today</t>
        </is>
      </c>
      <c r="M167" s="4" t="n">
        <v>3</v>
      </c>
      <c r="N167" s="4" t="inlineStr"/>
      <c r="O167" s="13" t="inlineStr">
        <is>
          <t>Gold</t>
        </is>
      </c>
      <c r="P167" s="4" t="n">
        <v>92</v>
      </c>
      <c r="Q167" s="17" t="inlineStr">
        <is>
          <t>http://www.ers.usda.gov/data-products/atlas-of-rural-and-small-town-america</t>
        </is>
      </c>
      <c r="R167" s="4" t="inlineStr">
        <is>
          <t>us_usda_ers_atlas_rural_small_town</t>
        </is>
      </c>
    </row>
    <row r="168">
      <c r="A168" s="4" t="inlineStr">
        <is>
          <t>Longitudinal Tract Data Base (LTDB)</t>
        </is>
      </c>
      <c r="B168" s="4" t="inlineStr">
        <is>
          <t>Brown University</t>
        </is>
      </c>
      <c r="C168" s="4" t="inlineStr">
        <is>
          <t>demographics</t>
        </is>
      </c>
      <c r="D168" s="4" t="inlineStr">
        <is>
          <t>all 70,000+ census tracts (US implied, not stated)</t>
        </is>
      </c>
      <c r="E168" s="4" t="inlineStr">
        <is>
          <t>tract</t>
        </is>
      </c>
      <c r="F168" s="4" t="inlineStr">
        <is>
          <t>1970, 1980, 1990, 2000, 2010 census (full count and sample); ACS 2008-2012 and 2015-2019; 2020 race counts; harmonized series 1970-2020</t>
        </is>
      </c>
      <c r="G168" s="4" t="n">
        <v>2020</v>
      </c>
      <c r="H168" s="4" t="inlineStr">
        <is>
          <t>non-commercial</t>
        </is>
      </c>
      <c r="I168" s="4" t="inlineStr">
        <is>
          <t>custom terms: 'Data must not be redistributed without authorization'; 'Commercial use and redistribution of the microdata is strictly prohibited'; 'Scholarly publications are permitted'; copyright Spatial Structures in Social Sciences, Brown University; user must enter email and agree to conditions of use</t>
        </is>
      </c>
      <c r="J168" s="4" t="inlineStr">
        <is>
          <t>registration</t>
        </is>
      </c>
      <c r="K168" s="4" t="inlineStr">
        <is>
          <t>spreadsheet (LTDB-DP); Stata .dta (Backwards LTDB); zip (Drexel crosswalk)</t>
        </is>
      </c>
      <c r="L168" s="4" t="inlineStr">
        <is>
          <t>Joins today</t>
        </is>
      </c>
      <c r="M168" s="4" t="n">
        <v>3</v>
      </c>
      <c r="N168" s="4" t="inlineStr"/>
      <c r="O168" s="19" t="inlineStr">
        <is>
          <t>Silver</t>
        </is>
      </c>
      <c r="P168" s="4" t="n">
        <v>80</v>
      </c>
      <c r="Q168" s="17" t="inlineStr">
        <is>
          <t>https://s4.ad.brown.edu/projects/diversity/Researcher/LTDB.htm</t>
        </is>
      </c>
      <c r="R168" s="4" t="inlineStr">
        <is>
          <t>us_brown_ltdb</t>
        </is>
      </c>
    </row>
    <row r="169">
      <c r="A169" s="4" t="inlineStr">
        <is>
          <t>Our World in Data</t>
        </is>
      </c>
      <c r="B169" s="4" t="inlineStr">
        <is>
          <t>Global Change Data Lab (University of Oxford researchers)</t>
        </is>
      </c>
      <c r="C169" s="4" t="inlineStr">
        <is>
          <t>demographics</t>
        </is>
      </c>
      <c r="D169" s="4" t="inlineStr">
        <is>
          <t>global</t>
        </is>
      </c>
      <c r="E169" s="4" t="inlineStr">
        <is>
          <t>country</t>
        </is>
      </c>
      <c r="F169" s="4" t="inlineStr">
        <is>
          <t>varies by indicator</t>
        </is>
      </c>
      <c r="G169" s="4" t="inlineStr">
        <is>
          <t>current</t>
        </is>
      </c>
      <c r="H169" s="4" t="inlineStr">
        <is>
          <t>attribution</t>
        </is>
      </c>
      <c r="I169" s="4" t="inlineStr">
        <is>
          <t>CC BY (OWID-produced data and charts; the CC BY link on the FAQ points to creativecommons.org/licenses/by/4.0/); third-party source data subject to the providers' license terms</t>
        </is>
      </c>
      <c r="J169" s="4" t="inlineStr">
        <is>
          <t>api</t>
        </is>
      </c>
      <c r="K169" s="4" t="inlineStr">
        <is>
          <t>csv (chart data API direct URLs); json (metadata)</t>
        </is>
      </c>
      <c r="L169" s="4" t="inlineStr">
        <is>
          <t>Not linkable as listed</t>
        </is>
      </c>
      <c r="M169" s="4" t="n">
        <v>3</v>
      </c>
      <c r="N169" s="4" t="inlineStr"/>
      <c r="O169" s="19" t="inlineStr">
        <is>
          <t>Silver</t>
        </is>
      </c>
      <c r="P169" s="4" t="n">
        <v>96</v>
      </c>
      <c r="Q169" s="17" t="inlineStr">
        <is>
          <t>https://ourworldindata.org/about</t>
        </is>
      </c>
      <c r="R169" s="4" t="inlineStr">
        <is>
          <t>global_owid</t>
        </is>
      </c>
    </row>
    <row r="170">
      <c r="A170" s="4" t="inlineStr">
        <is>
          <t>Population Estimates Program (PEP)</t>
        </is>
      </c>
      <c r="B170" s="4" t="inlineStr">
        <is>
          <t>U.S. Census Bureau</t>
        </is>
      </c>
      <c r="C170" s="4" t="inlineStr">
        <is>
          <t>demographics</t>
        </is>
      </c>
      <c r="D170" s="4" t="inlineStr">
        <is>
          <t>United States (nation, states, metro/micro areas, counties, cities and towns) plus Puerto Rico and its municipios</t>
        </is>
      </c>
      <c r="E170" s="4" t="inlineStr">
        <is>
          <t>place (cities and towns); county; PR municipio</t>
        </is>
      </c>
      <c r="F170" s="4" t="inlineStr">
        <is>
          <t>Vintage 2025: April 1, 2020 to July 1, 2025 (2020-2025 series); older vintages on FTP2</t>
        </is>
      </c>
      <c r="G170" s="4" t="n">
        <v>2025</v>
      </c>
      <c r="H170" s="4" t="inlineStr">
        <is>
          <t>public_domain_us_federal</t>
        </is>
      </c>
      <c r="I170" s="4" t="inlineStr"/>
      <c r="J170" s="4" t="inlineStr">
        <is>
          <t>open_download</t>
        </is>
      </c>
      <c r="K170" s="4" t="inlineStr">
        <is>
          <t>xlsx; csv (tables)</t>
        </is>
      </c>
      <c r="L170" s="4" t="inlineStr">
        <is>
          <t>Joins today</t>
        </is>
      </c>
      <c r="M170" s="4" t="n">
        <v>3</v>
      </c>
      <c r="N170" s="4" t="inlineStr"/>
      <c r="O170" s="19" t="inlineStr">
        <is>
          <t>Silver</t>
        </is>
      </c>
      <c r="P170" s="4" t="n">
        <v>90</v>
      </c>
      <c r="Q170" s="17" t="inlineStr">
        <is>
          <t>https://www.census.gov/programs-surveys/popest.html</t>
        </is>
      </c>
      <c r="R170" s="4" t="inlineStr">
        <is>
          <t>us_census_popest</t>
        </is>
      </c>
    </row>
    <row r="171">
      <c r="A171" s="4" t="inlineStr">
        <is>
          <t>Zensus 2022 Gitterdaten (grid data 100 m / 1 km / 10 km)</t>
        </is>
      </c>
      <c r="B171" s="4" t="inlineStr">
        <is>
          <t>Statistisches Bundesamt (Destatis)</t>
        </is>
      </c>
      <c r="C171" s="4" t="inlineStr">
        <is>
          <t>demographics</t>
        </is>
      </c>
      <c r="D171" s="4" t="inlineStr">
        <is>
          <t>Germany ('fuer ganz Deutschland')</t>
        </is>
      </c>
      <c r="E171" s="4" t="inlineStr">
        <is>
          <t>grid_100m</t>
        </is>
      </c>
      <c r="F171" s="4" t="inlineStr">
        <is>
          <t>2022 (single census, reference date 15 May 2022)</t>
        </is>
      </c>
      <c r="G171" s="4" t="n">
        <v>2022</v>
      </c>
      <c r="H171" s="4" t="inlineStr">
        <is>
          <t>attribution</t>
        </is>
      </c>
      <c r="I171" s="4" t="inlineStr">
        <is>
          <t>grid data 'zur freien Nutzung (mit Namensnennung) als OpenData' (no licence name/URL for 2022 grid files); boundary shapefile: Datenlizenz Deutschland Namensnennung 2.0 (DL-DE/BY-2.0), attribution '(c) GeoBasis-DE / BKG 2023'</t>
        </is>
      </c>
      <c r="J171" s="4" t="inlineStr">
        <is>
          <t>open_download</t>
        </is>
      </c>
      <c r="K171" s="4" t="inlineStr">
        <is>
          <t>csv (in zip, 10 km / 1 km / 100 m grids); xlsx (Datensatzbeschreibung); shp (boundaries)</t>
        </is>
      </c>
      <c r="L171" s="4" t="inlineStr">
        <is>
          <t>Needs raster support</t>
        </is>
      </c>
      <c r="M171" s="4" t="n">
        <v>3</v>
      </c>
      <c r="N171" s="4" t="inlineStr"/>
      <c r="O171" s="13" t="inlineStr">
        <is>
          <t>Gold</t>
        </is>
      </c>
      <c r="P171" s="4" t="n">
        <v>93</v>
      </c>
      <c r="Q171" s="17" t="inlineStr">
        <is>
          <t>https://www.destatis.de/zensus2022</t>
        </is>
      </c>
      <c r="R171" s="4" t="inlineStr">
        <is>
          <t>de_destatis_zensus2022_grid</t>
        </is>
      </c>
    </row>
    <row r="172">
      <c r="A172" s="4" t="inlineStr">
        <is>
          <t>2020 Census Demographic and Housing Characteristics File (DHC)</t>
        </is>
      </c>
      <c r="B172" s="4" t="inlineStr">
        <is>
          <t>U.S. Census Bureau</t>
        </is>
      </c>
      <c r="C172" s="4" t="inlineStr">
        <is>
          <t>demographics</t>
        </is>
      </c>
      <c r="D172" s="4" t="inlineStr">
        <is>
          <t>US (50 states, DC, PR); Island Areas documented in a separate section</t>
        </is>
      </c>
      <c r="E172" s="4" t="inlineStr">
        <is>
          <t>block</t>
        </is>
      </c>
      <c r="F172" s="4" t="inlineStr">
        <is>
          <t>2020 decennial census (single reference year); more detailed DHC products announced for Aug-Sep 2024</t>
        </is>
      </c>
      <c r="G172" s="4" t="n">
        <v>2020</v>
      </c>
      <c r="H172" s="4" t="inlineStr">
        <is>
          <t>public_domain_us_federal</t>
        </is>
      </c>
      <c r="I172" s="4" t="inlineStr"/>
      <c r="J172" s="4" t="inlineStr">
        <is>
          <t>open_download (data.census.gov; xlsx on www2.census.gov); api (Census Data API; key requirement not stated on pages read)</t>
        </is>
      </c>
      <c r="K172" s="4" t="inlineStr">
        <is>
          <t>xlsx (guides and metrics); data.census.gov tables and API (export format not stated)</t>
        </is>
      </c>
      <c r="L172" s="4" t="inlineStr">
        <is>
          <t>Joins today</t>
        </is>
      </c>
      <c r="M172" s="4" t="n">
        <v>2</v>
      </c>
      <c r="N172" s="4" t="inlineStr"/>
      <c r="O172" s="13" t="inlineStr">
        <is>
          <t>Gold</t>
        </is>
      </c>
      <c r="P172" s="4" t="n">
        <v>93</v>
      </c>
      <c r="Q172" s="17" t="inlineStr">
        <is>
          <t>https://www.census.gov/data/tables/2023/dec/2020-census-dhc.html</t>
        </is>
      </c>
      <c r="R172" s="4" t="inlineStr">
        <is>
          <t>us_census_decennial_dhc</t>
        </is>
      </c>
    </row>
    <row r="173">
      <c r="A173" s="4" t="inlineStr">
        <is>
          <t>American Community Survey 1-Year Data</t>
        </is>
      </c>
      <c r="B173" s="4" t="inlineStr">
        <is>
          <t>U.S. Census Bureau</t>
        </is>
      </c>
      <c r="C173" s="4" t="inlineStr">
        <is>
          <t>demographics</t>
        </is>
      </c>
      <c r="D173" s="4" t="inlineStr">
        <is>
          <t>US (nation, all states, DC, Puerto Rico)</t>
        </is>
      </c>
      <c r="E173" s="4" t="inlineStr">
        <is>
          <t>place and county with population 65,000+ (no tract/block group/ZCTA in 1-year data)</t>
        </is>
      </c>
      <c r="F173" s="4" t="inlineStr">
        <is>
          <t>2005-2024 annual (1-year estimates)</t>
        </is>
      </c>
      <c r="G173" s="4" t="n">
        <v>2024</v>
      </c>
      <c r="H173" s="4" t="inlineStr">
        <is>
          <t>attribution</t>
        </is>
      </c>
      <c r="I173" s="4" t="inlineStr">
        <is>
          <t>Census Data API Terms of Service: free use to build services; must display 'This product uses the Census Bureau Data API but is not endorsed or certified by the Census Bureau'; no explicit public-domain or CC statement</t>
        </is>
      </c>
      <c r="J173" s="4" t="inlineStr">
        <is>
          <t>api_key (Census Data API); open_download (full datasets via FTP server, per landing page)</t>
        </is>
      </c>
      <c r="K173" s="4" t="inlineStr">
        <is>
          <t>API (JSON); variable lists HTML/XML/JSON; FTP bulk datasets (format not named on page)</t>
        </is>
      </c>
      <c r="L173" s="4" t="inlineStr">
        <is>
          <t>Joins today</t>
        </is>
      </c>
      <c r="M173" s="4" t="n">
        <v>2</v>
      </c>
      <c r="N173" s="4" t="inlineStr"/>
      <c r="O173" s="19" t="inlineStr">
        <is>
          <t>Silver</t>
        </is>
      </c>
      <c r="P173" s="4" t="n">
        <v>86</v>
      </c>
      <c r="Q173" s="17" t="inlineStr">
        <is>
          <t>https://www.census.gov/data/developers/data-sets/acs-1year.html</t>
        </is>
      </c>
      <c r="R173" s="4" t="inlineStr">
        <is>
          <t>us_census_acs_1year</t>
        </is>
      </c>
    </row>
    <row r="174">
      <c r="A174" s="4" t="inlineStr">
        <is>
          <t>American Community Survey 5-Year Data</t>
        </is>
      </c>
      <c r="B174" s="4" t="inlineStr">
        <is>
          <t>U.S. Census Bureau</t>
        </is>
      </c>
      <c r="C174" s="4" t="inlineStr">
        <is>
          <t>demographics</t>
        </is>
      </c>
      <c r="D174" s="4" t="inlineStr">
        <is>
          <t>US (nation, all states, DC, Puerto Rico)</t>
        </is>
      </c>
      <c r="E174" s="4" t="inlineStr">
        <is>
          <t>block_group</t>
        </is>
      </c>
      <c r="F174" s="4" t="inlineStr">
        <is>
          <t>2009-2024 annual releases of 5-year rolling estimates (current 2020-2024)</t>
        </is>
      </c>
      <c r="G174" s="4" t="n">
        <v>2024</v>
      </c>
      <c r="H174" s="4" t="inlineStr">
        <is>
          <t>attribution</t>
        </is>
      </c>
      <c r="I174" s="4" t="inlineStr">
        <is>
          <t>Census Data API Terms of Service: free use to build services; must display 'This product uses the Census Bureau Data API but is not endorsed or certified by the Census Bureau'; no explicit public-domain or CC statement</t>
        </is>
      </c>
      <c r="J174" s="4" t="inlineStr">
        <is>
          <t>api_key (Census Data API); open_download (full datasets via FTP server, per landing page)</t>
        </is>
      </c>
      <c r="K174" s="4" t="inlineStr">
        <is>
          <t>API (JSON); variable lists HTML/XML/JSON; FTP bulk datasets (format not named on page)</t>
        </is>
      </c>
      <c r="L174" s="4" t="inlineStr">
        <is>
          <t>Joins today</t>
        </is>
      </c>
      <c r="M174" s="4" t="n">
        <v>2</v>
      </c>
      <c r="N174" s="4" t="inlineStr">
        <is>
          <t>fl_2021_acs_5yr_tract_fsr;mdc_2019_acs_5yr_tract_dvmt;mdc_2020_2024_acs_5yr_trends_tract_dvmt;mdc_2020_acs_5yr_tract_dvmt;mdc_2021_acs_5yr_tract_dvmt;mdc_2022_acs_5yr_tract_dvmt;mdc_2023_acs_5yr_tract_dvmt;mdc_2024_acs_5yr_tract_dvmt</t>
        </is>
      </c>
      <c r="O174" s="13" t="inlineStr">
        <is>
          <t>Gold</t>
        </is>
      </c>
      <c r="P174" s="4" t="n">
        <v>93</v>
      </c>
      <c r="Q174" s="17" t="inlineStr">
        <is>
          <t>https://www.census.gov/data/developers/data-sets/acs-5year.html</t>
        </is>
      </c>
      <c r="R174" s="4" t="inlineStr">
        <is>
          <t>us_census_acs_5year</t>
        </is>
      </c>
    </row>
    <row r="175">
      <c r="A175" s="4" t="inlineStr">
        <is>
          <t>Censo de Poblacion y Vivienda (Censo 2017; Censo 2024)</t>
        </is>
      </c>
      <c r="B175" s="4" t="inlineStr">
        <is>
          <t>Instituto Nacional de Estadisticas (INE Chile)</t>
        </is>
      </c>
      <c r="C175" s="4" t="inlineStr">
        <is>
          <t>demographics</t>
        </is>
      </c>
      <c r="D175" s="4" t="inlineStr">
        <is>
          <t>Chile (implied: 16 regions in navigation; not stated explicitly)</t>
        </is>
      </c>
      <c r="E175" s="4" t="inlineStr">
        <is>
          <t>block (manzana)</t>
        </is>
      </c>
      <c r="F175" s="4" t="inlineStr">
        <is>
          <t>censuses 1918-2024 (digital publications); Censo 2017 and Censo 2024 data; Censo 2024 database published 2025-12-04, manzana-level bases and cartography 2025-12-16</t>
        </is>
      </c>
      <c r="G175" s="4" t="n">
        <v>2024</v>
      </c>
      <c r="H175" s="4" t="inlineStr">
        <is>
          <t>open</t>
        </is>
      </c>
      <c r="I175" s="4" t="inlineStr">
        <is>
          <t>CC BY-SA 4.0 (Creative Commons Reconocimiento-CompartirIgual 4.0 Internacional)</t>
        </is>
      </c>
      <c r="J175" s="4" t="inlineStr">
        <is>
          <t>open_download (ArcGIS open geodata hubs for Censo 2017; REDATAM up to 2017; 2024 REDATAM integration pending); no login stated</t>
        </is>
      </c>
      <c r="K175" s="4" t="inlineStr">
        <is>
          <t>pdf (2017 syntheses); ArcGIS hub/viewer (2017 geodata); 2024 file formats not named</t>
        </is>
      </c>
      <c r="L175" s="4" t="inlineStr">
        <is>
          <t>Joins today</t>
        </is>
      </c>
      <c r="M175" s="4" t="n">
        <v>2</v>
      </c>
      <c r="N175" s="4" t="inlineStr"/>
      <c r="O175" s="13" t="inlineStr">
        <is>
          <t>Gold</t>
        </is>
      </c>
      <c r="P175" s="4" t="n">
        <v>98</v>
      </c>
      <c r="Q175" s="17" t="inlineStr">
        <is>
          <t>https://www.ine.gob.cl/estadisticas/sociales/censos-de-poblacion-y-vivienda/censo-de-poblacion-y-vivienda</t>
        </is>
      </c>
      <c r="R175" s="4" t="inlineStr">
        <is>
          <t>cl_ine_censo</t>
        </is>
      </c>
    </row>
    <row r="176">
      <c r="A176" s="4" t="inlineStr">
        <is>
          <t>Censo Nacional de Poblacion y Vivienda 2018 (CNPV)</t>
        </is>
      </c>
      <c r="B176" s="4" t="inlineStr">
        <is>
          <t>Departamento Administrativo Nacional de Estadistica (DANE)</t>
        </is>
      </c>
      <c r="C176" s="4" t="inlineStr">
        <is>
          <t>demographics</t>
        </is>
      </c>
      <c r="D176" s="4" t="inlineStr">
        <is>
          <t>Colombia ('el territorio nacional'; 'las personas residentes en Colombia')</t>
        </is>
      </c>
      <c r="E176" s="4" t="inlineStr">
        <is>
          <t>admin2 (municipio) on landing page; manzana/MGN not mentioned</t>
        </is>
      </c>
      <c r="F176" s="4" t="inlineStr">
        <is>
          <t>2018 (single census)</t>
        </is>
      </c>
      <c r="G176" s="4" t="n">
        <v>2018</v>
      </c>
      <c r="H176" s="4" t="inlineStr">
        <is>
          <t>attribution</t>
        </is>
      </c>
      <c r="I176" s="4" t="inlineStr">
        <is>
          <t>custom terms: DANE end-user licence ('licencia de usuario final'); use, transformation and analysis permitted with citation 'Fuente: Departamento Administrativo Nacional de Estadistica: www.dane.gov.co'; no CC licence named; terms may change without notice</t>
        </is>
      </c>
      <c r="J176" s="4" t="inlineStr">
        <is>
          <t>open_download (xlsx cuadros; no login); microdata via ANDA catalogue (linked, not read)</t>
        </is>
      </c>
      <c r="K176" s="4" t="inlineStr">
        <is>
          <t>xlsx (cuadros personas/hogares/viviendas); pdf; interactive maps/graphics</t>
        </is>
      </c>
      <c r="L176" s="4" t="inlineStr">
        <is>
          <t>Joins today</t>
        </is>
      </c>
      <c r="M176" s="4" t="n">
        <v>2</v>
      </c>
      <c r="N176" s="4" t="inlineStr"/>
      <c r="O176" s="19" t="inlineStr">
        <is>
          <t>Silver</t>
        </is>
      </c>
      <c r="P176" s="4" t="n">
        <v>83</v>
      </c>
      <c r="Q176" s="17" t="inlineStr">
        <is>
          <t>https://www.dane.gov.co/index.php/estadisticas-por-tema/demografia-y-poblacion/censo-nacional-de-poblacion-y-vivenda-2018</t>
        </is>
      </c>
      <c r="R176" s="4" t="inlineStr">
        <is>
          <t>co_dane_cnpv_2018</t>
        </is>
      </c>
    </row>
    <row r="177">
      <c r="A177" s="4" t="inlineStr">
        <is>
          <t>Census 2022 Small Area Population Statistics (SAPS)</t>
        </is>
      </c>
      <c r="B177" s="4" t="inlineStr">
        <is>
          <t>Central Statistics Office (CSO)</t>
        </is>
      </c>
      <c r="C177" s="4" t="inlineStr">
        <is>
          <t>demographics</t>
        </is>
      </c>
      <c r="D177" s="4" t="inlineStr">
        <is>
          <t>Ireland (State to Small Area; 31 administrative counties)</t>
        </is>
      </c>
      <c r="E177" s="4" t="inlineStr">
        <is>
          <t>polygon (Small Area, 18,919 units)</t>
        </is>
      </c>
      <c r="F177" s="4" t="inlineStr">
        <is>
          <t>2022 census (Small Areas first published for Census 2011; 2016 definitions referenced)</t>
        </is>
      </c>
      <c r="G177" s="4" t="n">
        <v>2022</v>
      </c>
      <c r="H177" s="4" t="inlineStr">
        <is>
          <t>open</t>
        </is>
      </c>
      <c r="I177" s="4" t="inlineStr">
        <is>
          <t>CC BY 4.0 (CSO Copyright and Re-use Policy: statistical information licensed under Creative Commons Attribution 4.0)</t>
        </is>
      </c>
      <c r="J177" s="4" t="inlineStr">
        <is>
          <t>open_download</t>
        </is>
      </c>
      <c r="K177" s="4" t="inlineStr">
        <is>
          <t>csv; zip (csv); xlsx (glossary); boundaries on Tailte Eireann ArcGIS portal (format not stated)</t>
        </is>
      </c>
      <c r="L177" s="4" t="inlineStr">
        <is>
          <t>Joins today</t>
        </is>
      </c>
      <c r="M177" s="4" t="n">
        <v>2</v>
      </c>
      <c r="N177" s="4" t="inlineStr"/>
      <c r="O177" s="19" t="inlineStr">
        <is>
          <t>Silver</t>
        </is>
      </c>
      <c r="P177" s="4" t="n">
        <v>86</v>
      </c>
      <c r="Q177" s="17" t="inlineStr">
        <is>
          <t>https://www.cso.ie/en/census/census2022/census2022smallareapopulationstatistics/</t>
        </is>
      </c>
      <c r="R177" s="4" t="inlineStr">
        <is>
          <t>ie_cso_census_2022_saps</t>
        </is>
      </c>
    </row>
    <row r="178">
      <c r="A178" s="4" t="inlineStr">
        <is>
          <t>Census Planning Database (PDB)</t>
        </is>
      </c>
      <c r="B178" s="4" t="inlineStr">
        <is>
          <t>U.S. Census Bureau</t>
        </is>
      </c>
      <c r="C178" s="4" t="inlineStr">
        <is>
          <t>demographics</t>
        </is>
      </c>
      <c r="D178" s="4" t="inlineStr">
        <is>
          <t>US and Puerto Rico ('all block groups and tracts in the United States and Puerto Rico')</t>
        </is>
      </c>
      <c r="E178" s="4" t="inlineStr">
        <is>
          <t>block_group</t>
        </is>
      </c>
      <c r="F178" s="4" t="inlineStr">
        <is>
          <t>vintages 2000, 2012, 2014, 2015, 2016, 2018-2026 annual; 2026 PDB uses 2020 Census and 2020-2024 ACS 5-year</t>
        </is>
      </c>
      <c r="G178" s="4" t="n">
        <v>2026</v>
      </c>
      <c r="H178" s="4" t="inlineStr">
        <is>
          <t>public_domain_us_federal</t>
        </is>
      </c>
      <c r="I178" s="4" t="inlineStr"/>
      <c r="J178" s="4" t="inlineStr">
        <is>
          <t>open_download</t>
        </is>
      </c>
      <c r="K178" s="4" t="inlineStr">
        <is>
          <t>csv; api</t>
        </is>
      </c>
      <c r="L178" s="4" t="inlineStr">
        <is>
          <t>Joins today</t>
        </is>
      </c>
      <c r="M178" s="4" t="n">
        <v>2</v>
      </c>
      <c r="N178" s="4" t="inlineStr"/>
      <c r="O178" s="13" t="inlineStr">
        <is>
          <t>Gold</t>
        </is>
      </c>
      <c r="P178" s="4" t="n">
        <v>93</v>
      </c>
      <c r="Q178" s="17" t="inlineStr">
        <is>
          <t>https://www.census.gov/topics/research/guidance/planning-databases.html</t>
        </is>
      </c>
      <c r="R178" s="4" t="inlineStr">
        <is>
          <t>us_census_planning_database</t>
        </is>
      </c>
    </row>
    <row r="179">
      <c r="A179" s="4" t="inlineStr">
        <is>
          <t>Decennial Census P.L. 94-171 Redistricting Data</t>
        </is>
      </c>
      <c r="B179" s="4" t="inlineStr">
        <is>
          <t>U.S. Census Bureau</t>
        </is>
      </c>
      <c r="C179" s="4" t="inlineStr">
        <is>
          <t>demographics</t>
        </is>
      </c>
      <c r="D179" s="4" t="inlineStr">
        <is>
          <t>US: 50 states, DC, Puerto Rico</t>
        </is>
      </c>
      <c r="E179" s="4" t="inlineStr">
        <is>
          <t>block</t>
        </is>
      </c>
      <c r="F179" s="4" t="inlineStr">
        <is>
          <t>2020 Census (page section read); 2010 and 2000 sections linked from the same page</t>
        </is>
      </c>
      <c r="G179" s="4" t="n">
        <v>2020</v>
      </c>
      <c r="H179" s="4" t="inlineStr">
        <is>
          <t>public_domain_us_federal</t>
        </is>
      </c>
      <c r="I179" s="4" t="inlineStr"/>
      <c r="J179" s="4" t="inlineStr">
        <is>
          <t>open_download</t>
        </is>
      </c>
      <c r="K179" s="4" t="inlineStr">
        <is>
          <t>pipe-delimited UTF-8 text (legacy format, FTP) with SAS/R import scripts and MS Access shells; data.census.gov tables</t>
        </is>
      </c>
      <c r="L179" s="4" t="inlineStr">
        <is>
          <t>Joins today</t>
        </is>
      </c>
      <c r="M179" s="4" t="n">
        <v>2</v>
      </c>
      <c r="N179" s="4" t="inlineStr"/>
      <c r="O179" s="13" t="inlineStr">
        <is>
          <t>Gold</t>
        </is>
      </c>
      <c r="P179" s="4" t="n">
        <v>98</v>
      </c>
      <c r="Q179" s="17" t="inlineStr">
        <is>
          <t>https://www.census.gov/programs-surveys/decennial-census/about/rdo/summary-files.html</t>
        </is>
      </c>
      <c r="R179" s="4" t="inlineStr">
        <is>
          <t>us_census_decennial_pl94171</t>
        </is>
      </c>
    </row>
    <row r="180">
      <c r="A180" s="4" t="inlineStr">
        <is>
          <t>Degree of urbanisation statistics (cities, towns and suburbs, rural areas)</t>
        </is>
      </c>
      <c r="B180" s="4" t="inlineStr">
        <is>
          <t>Eurostat</t>
        </is>
      </c>
      <c r="C180" s="4" t="inlineStr">
        <is>
          <t>demographics</t>
        </is>
      </c>
      <c r="D180" s="4" t="inlineStr">
        <is>
          <t>EU</t>
        </is>
      </c>
      <c r="E180" s="4" t="inlineStr">
        <is>
          <t>postcode_small_area</t>
        </is>
      </c>
      <c r="F180" s="4" t="inlineStr"/>
      <c r="G180" s="4" t="inlineStr"/>
      <c r="H180" s="4" t="inlineStr">
        <is>
          <t>unknown</t>
        </is>
      </c>
      <c r="I180" s="4" t="inlineStr"/>
      <c r="J180" s="4" t="inlineStr">
        <is>
          <t>api; open_download (site-wide Eurostat web services/API and bulk download links)</t>
        </is>
      </c>
      <c r="K180" s="4" t="inlineStr">
        <is>
          <t>api;tsv</t>
        </is>
      </c>
      <c r="L180" s="4" t="inlineStr">
        <is>
          <t>Joins today</t>
        </is>
      </c>
      <c r="M180" s="4" t="n">
        <v>2</v>
      </c>
      <c r="N180" s="4" t="inlineStr"/>
      <c r="O180" s="19" t="inlineStr">
        <is>
          <t>Silver</t>
        </is>
      </c>
      <c r="P180" s="4" t="n">
        <v>95</v>
      </c>
      <c r="Q180" s="17" t="inlineStr">
        <is>
          <t>https://ec.europa.eu/eurostat/web/degree-of-urbanisation/database</t>
        </is>
      </c>
      <c r="R180" s="4" t="inlineStr">
        <is>
          <t>eu_eurostat_degree_of_urbanisation</t>
        </is>
      </c>
    </row>
    <row r="181">
      <c r="A181" s="4" t="inlineStr">
        <is>
          <t>e-Stat Statistical GIS (jSTAT MAP; small area and regional mesh statistics; boundary data)</t>
        </is>
      </c>
      <c r="B181" s="4" t="inlineStr">
        <is>
          <t>Statistics Bureau of Japan</t>
        </is>
      </c>
      <c r="C181" s="4" t="inlineStr">
        <is>
          <t>demographics</t>
        </is>
      </c>
      <c r="D181" s="4" t="inlineStr">
        <is>
          <t>Japan (examples at national 全国, prefecture, and small-area level; not explicitly stated)</t>
        </is>
      </c>
      <c r="E181" s="4" t="inlineStr">
        <is>
          <t>polygon (小地域 small area); regional mesh mentioned but mesh size not stated</t>
        </is>
      </c>
      <c r="F181" s="4" t="inlineStr">
        <is>
          <t>2020 census (令和2年国勢調査) used in examples; 2025 census (令和7年) basic tabulation for prefectures/municipalities released 2 Oct 2026</t>
        </is>
      </c>
      <c r="G181" s="4" t="n">
        <v>2025</v>
      </c>
      <c r="H181" s="4" t="inlineStr">
        <is>
          <t>attribution</t>
        </is>
      </c>
      <c r="I181" s="4" t="inlineStr">
        <is>
          <t>e-Stat terms of use (利用規約): free use incl. commercial ('商用利用も可能です'), attribution required ('出典を記載してください'), CC BY-compatible ('CC BYに従うことでも利用することができます'). A separate rule page for the GIS system (/gis-terms) is listed but was not read.</t>
        </is>
      </c>
      <c r="J181" s="4" t="inlineStr">
        <is>
          <t>open_download</t>
        </is>
      </c>
      <c r="K181" s="4" t="inlineStr">
        <is>
          <t>boundary download (shp/geojson/kml per general knowledge); statistics tables; api</t>
        </is>
      </c>
      <c r="L181" s="4" t="inlineStr">
        <is>
          <t>Needs raster support</t>
        </is>
      </c>
      <c r="M181" s="4" t="n">
        <v>2</v>
      </c>
      <c r="N181" s="4" t="inlineStr"/>
      <c r="O181" s="19" t="inlineStr">
        <is>
          <t>Silver</t>
        </is>
      </c>
      <c r="P181" s="4" t="n">
        <v>83</v>
      </c>
      <c r="Q181" s="17" t="inlineStr">
        <is>
          <t>https://www.e-stat.go.jp/gis</t>
        </is>
      </c>
      <c r="R181" s="4" t="inlineStr">
        <is>
          <t>jp_estat_jstat_map</t>
        </is>
      </c>
    </row>
    <row r="182">
      <c r="A182" s="4" t="inlineStr">
        <is>
          <t>IPUMS NHGIS (National Historical Geographic Information System)</t>
        </is>
      </c>
      <c r="B182" s="4" t="inlineStr">
        <is>
          <t>University of Minnesota</t>
        </is>
      </c>
      <c r="C182" s="4" t="inlineStr">
        <is>
          <t>demographics</t>
        </is>
      </c>
      <c r="D182" s="4" t="inlineStr">
        <is>
          <t>US (all levels of U.S. census geography)</t>
        </is>
      </c>
      <c r="E182" s="4" t="inlineStr">
        <is>
          <t>block</t>
        </is>
      </c>
      <c r="F182" s="4" t="inlineStr">
        <is>
          <t>1790 through the present</t>
        </is>
      </c>
      <c r="G182" s="4" t="n">
        <v>2026</v>
      </c>
      <c r="H182" s="4" t="inlineStr">
        <is>
          <t>registration</t>
        </is>
      </c>
      <c r="I182" s="4" t="inlineStr">
        <is>
          <t>IPUMS NHGIS Terms of Use: free of charge; registration required; cite appropriately; no redistribution without permission</t>
        </is>
      </c>
      <c r="J182" s="4" t="inlineStr">
        <is>
          <t>registration</t>
        </is>
      </c>
      <c r="K182" s="4" t="inlineStr">
        <is>
          <t>csv;shp;api (IPUMS API;ipumsr, ipumspy);shapefile;api</t>
        </is>
      </c>
      <c r="L182" s="4" t="inlineStr">
        <is>
          <t>Joins today</t>
        </is>
      </c>
      <c r="M182" s="4" t="n">
        <v>2</v>
      </c>
      <c r="N182" s="4" t="inlineStr"/>
      <c r="O182" s="19" t="inlineStr">
        <is>
          <t>Silver</t>
        </is>
      </c>
      <c r="P182" s="4" t="n">
        <v>82</v>
      </c>
      <c r="Q182" s="17" t="inlineStr">
        <is>
          <t>https://www.nhgis.org/</t>
        </is>
      </c>
      <c r="R182" s="4" t="inlineStr">
        <is>
          <t>us_ipums_nhgis</t>
        </is>
      </c>
    </row>
    <row r="183">
      <c r="A183" s="4" t="inlineStr">
        <is>
          <t>Kaart van 100 meter bij 100 meter met statistieken</t>
        </is>
      </c>
      <c r="B183" s="4" t="inlineStr">
        <is>
          <t>Centraal Bureau voor de Statistiek (CBS)</t>
        </is>
      </c>
      <c r="C183" s="4" t="inlineStr">
        <is>
          <t>demographics</t>
        </is>
      </c>
      <c r="D183" s="4" t="inlineStr">
        <is>
          <t>Netherlands (national 100 m grid)</t>
        </is>
      </c>
      <c r="E183" s="4" t="inlineStr">
        <is>
          <t>grid_100m</t>
        </is>
      </c>
      <c r="F183" s="4" t="inlineStr">
        <is>
          <t>2000–2014 (one archive file); annual 2015–2025 (2025 added, 2023/2024 supplemented in Aug 2026)</t>
        </is>
      </c>
      <c r="G183" s="4" t="n">
        <v>2025</v>
      </c>
      <c r="H183" s="4" t="inlineStr">
        <is>
          <t>attribution</t>
        </is>
      </c>
      <c r="I183" s="4" t="inlineStr">
        <is>
          <t>Free use with attribution to CBS; no named licence ('Publicatie van digitale geometrie is toegestaan, mits het CBS als bron worden vermeld')</t>
        </is>
      </c>
      <c r="J183" s="4" t="inlineStr">
        <is>
          <t>open_download</t>
        </is>
      </c>
      <c r="K183" s="4" t="inlineStr">
        <is>
          <t>gpkg (in zip/7z archives)</t>
        </is>
      </c>
      <c r="L183" s="4" t="inlineStr">
        <is>
          <t>Needs raster support</t>
        </is>
      </c>
      <c r="M183" s="4" t="n">
        <v>2</v>
      </c>
      <c r="N183" s="4" t="inlineStr"/>
      <c r="O183" s="13" t="inlineStr">
        <is>
          <t>Gold</t>
        </is>
      </c>
      <c r="P183" s="4" t="n">
        <v>98</v>
      </c>
      <c r="Q183" s="17" t="inlineStr">
        <is>
          <t>https://www.cbs.nl/nl-nl/dossier/nederland-regionaal/geografische-data/kaart-van-100-meter-bij-100-meter-met-statistieken</t>
        </is>
      </c>
      <c r="R183" s="4" t="inlineStr">
        <is>
          <t>nl_cbs_100m_grid</t>
        </is>
      </c>
    </row>
    <row r="184">
      <c r="A184" s="4" t="inlineStr">
        <is>
          <t>LEHD Origin-Destination Employment Statistics (LODES)</t>
        </is>
      </c>
      <c r="B184" s="4" t="inlineStr">
        <is>
          <t>U.S. Census Bureau</t>
        </is>
      </c>
      <c r="C184" s="4" t="inlineStr">
        <is>
          <t>demographics</t>
        </is>
      </c>
      <c r="D184" s="4" t="inlineStr">
        <is>
          <t>US: 50 states + DC (51 LED partners); Puerto Rico not included; some states lack OD/WAC in some years</t>
        </is>
      </c>
      <c r="E184" s="4" t="inlineStr">
        <is>
          <t>block</t>
        </is>
      </c>
      <c r="F184" s="4" t="inlineStr">
        <is>
          <t>2002-2023 annual (22 years)</t>
        </is>
      </c>
      <c r="G184" s="4" t="n">
        <v>2023</v>
      </c>
      <c r="H184" s="4" t="inlineStr">
        <is>
          <t>public_domain_us_federal</t>
        </is>
      </c>
      <c r="I184" s="4" t="inlineStr"/>
      <c r="J184" s="4" t="inlineStr">
        <is>
          <t>open_download</t>
        </is>
      </c>
      <c r="K184" s="4" t="inlineStr">
        <is>
          <t>csv (gzip); geography crosswalk csv.gz</t>
        </is>
      </c>
      <c r="L184" s="4" t="inlineStr">
        <is>
          <t>Joins today</t>
        </is>
      </c>
      <c r="M184" s="4" t="n">
        <v>2</v>
      </c>
      <c r="N184" s="4" t="inlineStr"/>
      <c r="O184" s="13" t="inlineStr">
        <is>
          <t>Gold</t>
        </is>
      </c>
      <c r="P184" s="4" t="n">
        <v>95</v>
      </c>
      <c r="Q184" s="17" t="inlineStr">
        <is>
          <t>https://lehd.ces.census.gov/data/</t>
        </is>
      </c>
      <c r="R184" s="4" t="inlineStr">
        <is>
          <t>us_census_lehd_lodes</t>
        </is>
      </c>
    </row>
    <row r="185">
      <c r="A185" s="4" t="inlineStr">
        <is>
          <t>Population grids (GEOSTAT 1 km grids and Census 2021 grid)</t>
        </is>
      </c>
      <c r="B185" s="4" t="inlineStr">
        <is>
          <t>Eurostat</t>
        </is>
      </c>
      <c r="C185" s="4" t="inlineStr">
        <is>
          <t>demographics</t>
        </is>
      </c>
      <c r="D185" s="4" t="inlineStr">
        <is>
          <t>EU-wide (Census 2021); GEOSTAT download rules list EU members plus NO, CH, UK, AL, XK</t>
        </is>
      </c>
      <c r="E185" s="4" t="inlineStr">
        <is>
          <t>grid_1km (Census 2021 and GEOSTAT); derived JRC 100 m population grid also linked</t>
        </is>
      </c>
      <c r="F185" s="4" t="inlineStr">
        <is>
          <t>2006, 2011, 2018 (GEOSTAT); 2021 (Census grid, V1.0 Mar 2023 to V3 May 2026); derived JRC products: 1 km dwelling grid release 10/2025, 100 m population grid release 07/2026</t>
        </is>
      </c>
      <c r="G185" s="4" t="n">
        <v>2021</v>
      </c>
      <c r="H185" s="4" t="inlineStr">
        <is>
          <t>open (Census 2021); non-commercial (GEOSTAT 2006/2011)</t>
        </is>
      </c>
      <c r="I185" s="4" t="inlineStr">
        <is>
          <t>Census 2021 grid: CC-BY 4.0 (EU copyright rules). GEOSTAT 2006/2011 grids: custom terms, free use within own organisation only; dissemination to outside clients, sale and any other commercial use prohibited; national data flagged by DATA_SRC needs owner approval for commercial use; extra terms for DK, SE, FI, CH</t>
        </is>
      </c>
      <c r="J185" s="4" t="inlineStr">
        <is>
          <t>open_download</t>
        </is>
      </c>
      <c r="K185" s="4" t="inlineStr">
        <is>
          <t>csv; gpkg; raster (Census 2021); shp; raster (GEOSTAT 2018); shp; csv (GEOSTAT 2011/2006); geotiff; parquet; csv (JRC dwelling grid); geotiff (JRC 100 m grid)</t>
        </is>
      </c>
      <c r="L185" s="4" t="inlineStr">
        <is>
          <t>Needs raster support</t>
        </is>
      </c>
      <c r="M185" s="4" t="n">
        <v>2</v>
      </c>
      <c r="N185" s="4" t="inlineStr"/>
      <c r="O185" s="19" t="inlineStr">
        <is>
          <t>Silver</t>
        </is>
      </c>
      <c r="P185" s="4" t="n">
        <v>91</v>
      </c>
      <c r="Q185" s="17" t="inlineStr">
        <is>
          <t>https://ec.europa.eu/eurostat/web/gisco/geodata/population-distribution/population-grids</t>
        </is>
      </c>
      <c r="R185" s="4" t="inlineStr">
        <is>
          <t>eu_eurostat_gisco_population_grids</t>
        </is>
      </c>
    </row>
    <row r="186">
      <c r="A186" s="4" t="inlineStr">
        <is>
          <t>Recensement de la population - Base infracommunale (IRIS)</t>
        </is>
      </c>
      <c r="B186" s="4" t="inlineStr">
        <is>
          <t>Institut national de la statistique et des etudes economiques (Insee)</t>
        </is>
      </c>
      <c r="C186" s="4" t="inlineStr">
        <is>
          <t>demographics</t>
        </is>
      </c>
      <c r="D186" s="4" t="inlineStr">
        <is>
          <t>France hors Mayotte (main table); DOM in separate datasets</t>
        </is>
      </c>
      <c r="E186" s="4" t="inlineStr">
        <is>
          <t>IRIS (small statistical area, ~2000 inhabitants; commune level where commune not split into IRIS)</t>
        </is>
      </c>
      <c r="F186" s="4" t="inlineStr">
        <is>
          <t>2023 census base (single vintage on this page); geography as of 1 Jan 2025; published 22/10/2026</t>
        </is>
      </c>
      <c r="G186" s="4" t="n">
        <v>2023</v>
      </c>
      <c r="H186" s="4" t="inlineStr">
        <is>
          <t>open</t>
        </is>
      </c>
      <c r="I186" s="4" t="inlineStr">
        <is>
          <t>Licence Ouverte / Open Licence version 2.0 (Etalab); attribution 'Source : Insee'</t>
        </is>
      </c>
      <c r="J186" s="4" t="inlineStr">
        <is>
          <t>open_download</t>
        </is>
      </c>
      <c r="K186" s="4" t="inlineStr">
        <is>
          <t>xlsx (zip); csv; parquet (via api.insee.fr/melodi)</t>
        </is>
      </c>
      <c r="L186" s="4" t="inlineStr">
        <is>
          <t>Joins today</t>
        </is>
      </c>
      <c r="M186" s="4" t="n">
        <v>2</v>
      </c>
      <c r="N186" s="4" t="inlineStr"/>
      <c r="O186" s="13" t="inlineStr">
        <is>
          <t>Gold</t>
        </is>
      </c>
      <c r="P186" s="4" t="n">
        <v>95</v>
      </c>
      <c r="Q186" s="17" t="inlineStr">
        <is>
          <t>https://www.insee.fr/fr/statistiques/9061333</t>
        </is>
      </c>
      <c r="R186" s="4" t="inlineStr">
        <is>
          <t>fr_insee_iris_rp</t>
        </is>
      </c>
    </row>
    <row r="187">
      <c r="A187" s="4" t="inlineStr">
        <is>
          <t>Recensement General de la Population et de l'Habitat 2024 (RGPH 2024)</t>
        </is>
      </c>
      <c r="B187" s="4" t="inlineStr">
        <is>
          <t>Haut-Commissariat au Plan (HCP)</t>
        </is>
      </c>
      <c r="C187" s="4" t="inlineStr">
        <is>
          <t>demographics</t>
        </is>
      </c>
      <c r="D187" s="4" t="inlineStr">
        <is>
          <t>Morocco (whole kingdom; regions, provinces/prefectures, communes)</t>
        </is>
      </c>
      <c r="E187" s="4" t="inlineStr">
        <is>
          <t>admin3 (commune); urban/rural split</t>
        </is>
      </c>
      <c r="F187" s="4" t="inlineStr">
        <is>
          <t>RGPH 2024 (population at 1 Sep 2024); comparisons with 2014 and 2004 censuses</t>
        </is>
      </c>
      <c r="G187" s="4" t="n">
        <v>2024</v>
      </c>
      <c r="H187" s="4" t="inlineStr">
        <is>
          <t>open</t>
        </is>
      </c>
      <c r="I187" s="4" t="inlineStr">
        <is>
          <t>CC BY 4.0 (HCP CGU v1.0: indicators on hcp.ma and bds.hcp.ma freely reusable incl. commercially, with attribution and integrity)</t>
        </is>
      </c>
      <c r="J187" s="4" t="inlineStr">
        <is>
          <t>open_download</t>
        </is>
      </c>
      <c r="K187" s="4" t="inlineStr">
        <is>
          <t>xlsx; pdf; docx</t>
        </is>
      </c>
      <c r="L187" s="4" t="inlineStr">
        <is>
          <t>Joins today</t>
        </is>
      </c>
      <c r="M187" s="4" t="n">
        <v>2</v>
      </c>
      <c r="N187" s="4" t="inlineStr"/>
      <c r="O187" s="19" t="inlineStr">
        <is>
          <t>Silver</t>
        </is>
      </c>
      <c r="P187" s="4" t="n">
        <v>86</v>
      </c>
      <c r="Q187" s="17" t="inlineStr">
        <is>
          <t>https://www.hcp.ma/Population-legale-du-Royaume-du-Maroc-repartie-par-regions-provinces-et-prefectures-et-communes-selon-les-resultats-du_a3974.html</t>
        </is>
      </c>
      <c r="R187" s="4" t="inlineStr">
        <is>
          <t>ma_hcp_rgph_2024</t>
        </is>
      </c>
    </row>
    <row r="188">
      <c r="A188" s="4" t="inlineStr">
        <is>
          <t>Saudi Census 2022</t>
        </is>
      </c>
      <c r="B188" s="4" t="inlineStr">
        <is>
          <t>General Authority for Statistics (GASTAT)</t>
        </is>
      </c>
      <c r="C188" s="4" t="inlineStr">
        <is>
          <t>demographics</t>
        </is>
      </c>
      <c r="D188" s="4" t="inlineStr">
        <is>
          <t>SA</t>
        </is>
      </c>
      <c r="E188" s="4" t="inlineStr">
        <is>
          <t>postcode_small_area</t>
        </is>
      </c>
      <c r="F188" s="4" t="inlineStr">
        <is>
          <t>2022 (from the category label 'Saudi Census Statistics 2022' only)</t>
        </is>
      </c>
      <c r="G188" s="4" t="n">
        <v>2022</v>
      </c>
      <c r="H188" s="4" t="inlineStr">
        <is>
          <t>unknown</t>
        </is>
      </c>
      <c r="I188" s="4" t="inlineStr"/>
      <c r="J188" s="4" t="inlineStr">
        <is>
          <t>open_download</t>
        </is>
      </c>
      <c r="K188" s="4" t="inlineStr"/>
      <c r="L188" s="4" t="inlineStr">
        <is>
          <t>Joins today</t>
        </is>
      </c>
      <c r="M188" s="4" t="n">
        <v>2</v>
      </c>
      <c r="N188" s="4" t="inlineStr"/>
      <c r="O188" s="19" t="inlineStr">
        <is>
          <t>Silver</t>
        </is>
      </c>
      <c r="P188" s="4" t="n">
        <v>90</v>
      </c>
      <c r="Q188" s="17" t="inlineStr">
        <is>
          <t>https://www.stats.gov.sa/en/</t>
        </is>
      </c>
      <c r="R188" s="4" t="inlineStr">
        <is>
          <t>sa_gastat_census_2022</t>
        </is>
      </c>
    </row>
    <row r="189">
      <c r="A189" s="4" t="inlineStr">
        <is>
          <t>3D Elevation Program (3DEP) elevation products</t>
        </is>
      </c>
      <c r="B189" s="4" t="inlineStr">
        <is>
          <t>USGS</t>
        </is>
      </c>
      <c r="C189" s="4" t="inlineStr">
        <is>
          <t>environment</t>
        </is>
      </c>
      <c r="D189" s="4" t="inlineStr">
        <is>
          <t>US: 1/3 arc-second covers 48 states, Alaska, Hawaii and US territories; lidar point cloud CONUS; Alaska 5 m IfSAR; 1 arc-second also most of Canada and Mexico</t>
        </is>
      </c>
      <c r="E189" s="4" t="inlineStr">
        <is>
          <t>grid_1m</t>
        </is>
      </c>
      <c r="F189" s="4" t="inlineStr">
        <is>
          <t>ongoing; national baseline complete as of 30 Sep 2026; lidar collected 2014 and later meets QL2 spec; S1M production in progress since mid-2025</t>
        </is>
      </c>
      <c r="G189" s="4" t="n">
        <v>2026</v>
      </c>
      <c r="H189" s="4" t="inlineStr">
        <is>
          <t>open</t>
        </is>
      </c>
      <c r="I189" s="4" t="inlineStr">
        <is>
          <t>public domain (US Government work): 'All 3DEP products are available free of charge and without use restrictions'; media 'Sources/Usage: Public Domain'</t>
        </is>
      </c>
      <c r="J189" s="4" t="inlineStr">
        <is>
          <t>open_download</t>
        </is>
      </c>
      <c r="K189" s="4" t="inlineStr">
        <is>
          <t>geotiff (cloud-optimized GeoTIFF S1M tiles; GeoTIFF IfSAR); lidar point cloud (LAZ not named on page)</t>
        </is>
      </c>
      <c r="L189" s="4" t="inlineStr">
        <is>
          <t>Needs raster support</t>
        </is>
      </c>
      <c r="M189" s="4" t="n">
        <v>3</v>
      </c>
      <c r="N189" s="4" t="inlineStr"/>
      <c r="O189" s="19" t="inlineStr">
        <is>
          <t>Silver</t>
        </is>
      </c>
      <c r="P189" s="4" t="n">
        <v>94</v>
      </c>
      <c r="Q189" s="17" t="inlineStr">
        <is>
          <t>https://www.usgs.gov/3d-elevation-program</t>
        </is>
      </c>
      <c r="R189" s="4" t="inlineStr">
        <is>
          <t>us_usgs_3dep</t>
        </is>
      </c>
    </row>
    <row r="190">
      <c r="A190" s="4" t="inlineStr">
        <is>
          <t>3D Hydrography Program (3DHP) hydrography data (successor to the NHD)</t>
        </is>
      </c>
      <c r="B190" s="4" t="inlineStr">
        <is>
          <t>U.S. Geological Survey</t>
        </is>
      </c>
      <c r="C190" s="4" t="inlineStr">
        <is>
          <t>environment</t>
        </is>
      </c>
      <c r="D190" s="4" t="inlineStr">
        <is>
          <t>US nationwide (project-based, expanding; CONUS, territories, Alaska in FY26 plans)</t>
        </is>
      </c>
      <c r="E190" s="4" t="inlineStr">
        <is>
          <t>line</t>
        </is>
      </c>
      <c r="F190" s="4" t="inlineStr">
        <is>
          <t>FY2024 first operational year; services last updated July 2026; nationwide remapping expected FY2032</t>
        </is>
      </c>
      <c r="G190" s="4" t="n">
        <v>2026</v>
      </c>
      <c r="H190" s="4" t="inlineStr">
        <is>
          <t>open</t>
        </is>
      </c>
      <c r="I190" s="4" t="inlineStr">
        <is>
          <t>public domain (USGS-produced data; credit requested: 'Credit: U.S. Geological Survey')</t>
        </is>
      </c>
      <c r="J190" s="4" t="inlineStr">
        <is>
          <t>open_download</t>
        </is>
      </c>
      <c r="K190" s="4" t="inlineStr">
        <is>
          <t>ArcGIS FeatureServer (https://3dhp.nationalmap.gov/arcgis/rest/services/usgs_3dhp_all/FeatureServer); downloadable 2025 product on ScienceBase (format not stated)</t>
        </is>
      </c>
      <c r="L190" s="4" t="inlineStr">
        <is>
          <t>Needs a count/distance step</t>
        </is>
      </c>
      <c r="M190" s="4" t="n">
        <v>3</v>
      </c>
      <c r="N190" s="4" t="inlineStr"/>
      <c r="O190" s="13" t="inlineStr">
        <is>
          <t>Gold</t>
        </is>
      </c>
      <c r="P190" s="4" t="n">
        <v>98</v>
      </c>
      <c r="Q190" s="17" t="inlineStr">
        <is>
          <t>https://www.usgs.gov/3d-hydrography-program</t>
        </is>
      </c>
      <c r="R190" s="4" t="inlineStr">
        <is>
          <t>us_usgs_3dhp</t>
        </is>
      </c>
    </row>
    <row r="191">
      <c r="A191" s="4" t="inlineStr">
        <is>
          <t>Air Quality e-Reporting (Air Quality download service)</t>
        </is>
      </c>
      <c r="B191" s="4" t="inlineStr">
        <is>
          <t>European Environment Agency</t>
        </is>
      </c>
      <c r="C191" s="4" t="inlineStr">
        <is>
          <t>environment</t>
        </is>
      </c>
      <c r="D191" s="4" t="inlineStr">
        <is>
          <t>EEA member countries ('time series reported by member countries'; 'EUMonitoringStations' service) - no country list</t>
        </is>
      </c>
      <c r="E191" s="4" t="inlineStr">
        <is>
          <t>point</t>
        </is>
      </c>
      <c r="F191" s="4" t="inlineStr">
        <is>
          <t>2013-now (ongoing)</t>
        </is>
      </c>
      <c r="G191" s="4" t="n">
        <v>2026</v>
      </c>
      <c r="H191" s="4" t="inlineStr">
        <is>
          <t>attribution</t>
        </is>
      </c>
      <c r="I191" s="4" t="inlineStr">
        <is>
          <t>ODC-By 'or similar' (EEA data policy default: 'Unless indicated otherwise, dataset will be distributed under open standard license ODC-by license or similar'); no licence stated on the dataset page itself</t>
        </is>
      </c>
      <c r="J191" s="4" t="inlineStr">
        <is>
          <t>api</t>
        </is>
      </c>
      <c r="K191" s="4" t="inlineStr">
        <is>
          <t>parquet (zipped); OGC WMS; OGC WFS (tag only); ESRI REST</t>
        </is>
      </c>
      <c r="L191" s="4" t="inlineStr">
        <is>
          <t>Needs a count/distance step</t>
        </is>
      </c>
      <c r="M191" s="4" t="n">
        <v>3</v>
      </c>
      <c r="N191" s="4" t="inlineStr"/>
      <c r="O191" s="13" t="inlineStr">
        <is>
          <t>Gold</t>
        </is>
      </c>
      <c r="P191" s="4" t="n">
        <v>91</v>
      </c>
      <c r="Q191" s="17" t="inlineStr">
        <is>
          <t>https://www.eea.europa.eu/en/datahub/datahubitem-view/778ef9f5-6293-4846-badd-56a29c70880d</t>
        </is>
      </c>
      <c r="R191" s="4" t="inlineStr">
        <is>
          <t>eu_eea_air_quality_ereporting</t>
        </is>
      </c>
    </row>
    <row r="192">
      <c r="A192" s="4" t="inlineStr">
        <is>
          <t>Air Quality System (AQS) Data Mart API</t>
        </is>
      </c>
      <c r="B192" s="4" t="inlineStr">
        <is>
          <t>US EPA</t>
        </is>
      </c>
      <c r="C192" s="4" t="inlineStr">
        <is>
          <t>environment</t>
        </is>
      </c>
      <c r="D192" s="4" t="inlineStr">
        <is>
          <t>US (monitors 'around the nation', state/local/tribal/federal agencies)</t>
        </is>
      </c>
      <c r="E192" s="4" t="inlineStr">
        <is>
          <t>point</t>
        </is>
      </c>
      <c r="F192" s="4" t="inlineStr">
        <is>
          <t>historical, ~6 months lag; begin/end dates within one year per request</t>
        </is>
      </c>
      <c r="G192" s="4" t="n">
        <v>2026</v>
      </c>
      <c r="H192" s="4" t="inlineStr">
        <is>
          <t>public_domain_us_federal</t>
        </is>
      </c>
      <c r="I192" s="4" t="inlineStr"/>
      <c r="J192" s="4" t="inlineStr">
        <is>
          <t>api_key</t>
        </is>
      </c>
      <c r="K192" s="4" t="inlineStr">
        <is>
          <t>json (API only)</t>
        </is>
      </c>
      <c r="L192" s="4" t="inlineStr">
        <is>
          <t>Needs a count/distance step</t>
        </is>
      </c>
      <c r="M192" s="4" t="n">
        <v>3</v>
      </c>
      <c r="N192" s="4" t="inlineStr"/>
      <c r="O192" s="19" t="inlineStr">
        <is>
          <t>Silver</t>
        </is>
      </c>
      <c r="P192" s="4" t="n">
        <v>93</v>
      </c>
      <c r="Q192" s="17" t="inlineStr">
        <is>
          <t>https://aqs.epa.gov/aqsweb/documents/data_api.html</t>
        </is>
      </c>
      <c r="R192" s="4" t="inlineStr">
        <is>
          <t>us_epa_aqs_data_mart_api</t>
        </is>
      </c>
    </row>
    <row r="193">
      <c r="A193" s="4" t="inlineStr">
        <is>
          <t>AirData Annual AQI by County</t>
        </is>
      </c>
      <c r="B193" s="4" t="inlineStr">
        <is>
          <t>US EPA</t>
        </is>
      </c>
      <c r="C193" s="4" t="inlineStr">
        <is>
          <t>environment</t>
        </is>
      </c>
      <c r="D193" s="4" t="inlineStr">
        <is>
          <t>US</t>
        </is>
      </c>
      <c r="E193" s="4" t="inlineStr">
        <is>
          <t>county</t>
        </is>
      </c>
      <c r="F193" s="4" t="inlineStr">
        <is>
          <t>1980-2026 annual (annual_aqi_by_county_1980.zip through annual_aqi_by_county_2026.zip)</t>
        </is>
      </c>
      <c r="G193" s="4" t="n">
        <v>2026</v>
      </c>
      <c r="H193" s="4" t="inlineStr">
        <is>
          <t>public_domain_us_federal</t>
        </is>
      </c>
      <c r="I193" s="4" t="inlineStr"/>
      <c r="J193" s="4" t="inlineStr">
        <is>
          <t>open_download</t>
        </is>
      </c>
      <c r="K193" s="4" t="inlineStr">
        <is>
          <t>csv (zip): 'comma separated text with a header'</t>
        </is>
      </c>
      <c r="L193" s="4" t="inlineStr">
        <is>
          <t>Joins today</t>
        </is>
      </c>
      <c r="M193" s="4" t="n">
        <v>3</v>
      </c>
      <c r="N193" s="4" t="inlineStr">
        <is>
          <t>us_2022_annual_aqi_by_county;us_2023_annual_aqi_by_county</t>
        </is>
      </c>
      <c r="O193" s="13" t="inlineStr">
        <is>
          <t>Gold</t>
        </is>
      </c>
      <c r="P193" s="4" t="n">
        <v>93</v>
      </c>
      <c r="Q193" s="17" t="inlineStr">
        <is>
          <t>https://aqs.epa.gov/aqsweb/airdata/download_files.html</t>
        </is>
      </c>
      <c r="R193" s="4" t="inlineStr">
        <is>
          <t>us_epa_airdata_annual_aqi_by_county</t>
        </is>
      </c>
    </row>
    <row r="194">
      <c r="A194" s="4" t="inlineStr">
        <is>
          <t>AirData Pre-Generated Data Files (Annual, Daily, Hourly summaries; Site and Monitor Descriptions)</t>
        </is>
      </c>
      <c r="B194" s="4" t="inlineStr">
        <is>
          <t>US EPA</t>
        </is>
      </c>
      <c r="C194" s="4" t="inlineStr">
        <is>
          <t>environment</t>
        </is>
      </c>
      <c r="D194" s="4" t="inlineStr">
        <is>
          <t>US ('Outdoor Monitors Across the US')</t>
        </is>
      </c>
      <c r="E194" s="4" t="inlineStr">
        <is>
          <t>point</t>
        </is>
      </c>
      <c r="F194" s="4" t="inlineStr">
        <is>
          <t>1980-2026 (annual and daily summary files listed per year; intro text says 'back to 1990')</t>
        </is>
      </c>
      <c r="G194" s="4" t="n">
        <v>2026</v>
      </c>
      <c r="H194" s="4" t="inlineStr">
        <is>
          <t>public_domain_us_federal</t>
        </is>
      </c>
      <c r="I194" s="4" t="inlineStr"/>
      <c r="J194" s="4" t="inlineStr">
        <is>
          <t>open_download</t>
        </is>
      </c>
      <c r="K194" s="4" t="inlineStr">
        <is>
          <t>csv (comma separated text with header, zipped)</t>
        </is>
      </c>
      <c r="L194" s="4" t="inlineStr">
        <is>
          <t>Needs a count/distance step</t>
        </is>
      </c>
      <c r="M194" s="4" t="n">
        <v>3</v>
      </c>
      <c r="N194" s="4" t="inlineStr"/>
      <c r="O194" s="13" t="inlineStr">
        <is>
          <t>Gold</t>
        </is>
      </c>
      <c r="P194" s="4" t="n">
        <v>93</v>
      </c>
      <c r="Q194" s="17" t="inlineStr">
        <is>
          <t>https://www.epa.gov/outdoor-air-quality-data</t>
        </is>
      </c>
      <c r="R194" s="4" t="inlineStr">
        <is>
          <t>us_epa_airdata_pregenerated_files</t>
        </is>
      </c>
    </row>
    <row r="195">
      <c r="A195" s="4" t="inlineStr">
        <is>
          <t>AirNow API (real-time observations, forecasts, AQI)</t>
        </is>
      </c>
      <c r="B195" s="4" t="inlineStr">
        <is>
          <t>US EPA</t>
        </is>
      </c>
      <c r="C195" s="4" t="inlineStr">
        <is>
          <t>environment</t>
        </is>
      </c>
      <c r="D195" s="4" t="inlineStr">
        <is>
          <t>United States, Canada, and Mexico</t>
        </is>
      </c>
      <c r="E195" s="4" t="inlineStr">
        <is>
          <t>point</t>
        </is>
      </c>
      <c r="F195" s="4" t="inlineStr">
        <is>
          <t>real-time and recent; preliminary data</t>
        </is>
      </c>
      <c r="G195" s="4" t="n">
        <v>2026</v>
      </c>
      <c r="H195" s="4" t="inlineStr">
        <is>
          <t>registration</t>
        </is>
      </c>
      <c r="I195" s="4" t="inlineStr">
        <is>
          <t>AirNow Data Use Guidelines (PDF linked from FAQ, not read); 'Access to the AirNow API is available to the public'; account required</t>
        </is>
      </c>
      <c r="J195" s="4" t="inlineStr">
        <is>
          <t>api_key</t>
        </is>
      </c>
      <c r="K195" s="4" t="inlineStr">
        <is>
          <t>api; .dat and .csv file products; RSS feeds; XML (error messages)</t>
        </is>
      </c>
      <c r="L195" s="4" t="inlineStr">
        <is>
          <t>Needs a count/distance step</t>
        </is>
      </c>
      <c r="M195" s="4" t="n">
        <v>3</v>
      </c>
      <c r="N195" s="4" t="inlineStr"/>
      <c r="O195" s="19" t="inlineStr">
        <is>
          <t>Silver</t>
        </is>
      </c>
      <c r="P195" s="4" t="n">
        <v>83</v>
      </c>
      <c r="Q195" s="17" t="inlineStr">
        <is>
          <t>https://docs.airnowapi.org/</t>
        </is>
      </c>
      <c r="R195" s="4" t="inlineStr">
        <is>
          <t>us_epa_airnow_api</t>
        </is>
      </c>
    </row>
    <row r="196">
      <c r="A196" s="4" t="inlineStr">
        <is>
          <t>AirQo air quality data (API, Nexus, Vertex)</t>
        </is>
      </c>
      <c r="B196" s="4" t="inlineStr">
        <is>
          <t>Makerere University</t>
        </is>
      </c>
      <c r="C196" s="4" t="inlineStr">
        <is>
          <t>environment</t>
        </is>
      </c>
      <c r="D196" s="4" t="inlineStr">
        <is>
          <t>African cities (Kampala named; no country list shown)</t>
        </is>
      </c>
      <c r="E196" s="4" t="inlineStr">
        <is>
          <t>point</t>
        </is>
      </c>
      <c r="F196" s="4" t="inlineStr"/>
      <c r="G196" s="4" t="n">
        <v>2026</v>
      </c>
      <c r="H196" s="4" t="inlineStr">
        <is>
          <t>registration</t>
        </is>
      </c>
      <c r="I196" s="4" t="inlineStr">
        <is>
          <t>Fair Usage Policy v1.0 (January 2026): data 'free of charge' under an 'open-access commitment'; no named licence; Terms of service and AirQo Data policy linked, not read</t>
        </is>
      </c>
      <c r="J196" s="4" t="inlineStr">
        <is>
          <t>api_key</t>
        </is>
      </c>
      <c r="K196" s="4" t="inlineStr">
        <is>
          <t>api (format not stated)</t>
        </is>
      </c>
      <c r="L196" s="4" t="inlineStr">
        <is>
          <t>Needs a count/distance step</t>
        </is>
      </c>
      <c r="M196" s="4" t="n">
        <v>3</v>
      </c>
      <c r="N196" s="4" t="inlineStr"/>
      <c r="O196" s="19" t="inlineStr">
        <is>
          <t>Silver</t>
        </is>
      </c>
      <c r="P196" s="4" t="n">
        <v>84</v>
      </c>
      <c r="Q196" s="17" t="inlineStr">
        <is>
          <t>https://airqo.net/</t>
        </is>
      </c>
      <c r="R196" s="4" t="inlineStr">
        <is>
          <t>ug_makerere_airqo</t>
        </is>
      </c>
    </row>
    <row r="197">
      <c r="A197" s="4" t="inlineStr">
        <is>
          <t>Annual PM2.5 Concentrations for Countries and Urban Areas, v1 (1998 - 2016)</t>
        </is>
      </c>
      <c r="B197" s="4" t="inlineStr">
        <is>
          <t>CIESIN, Columbia University</t>
        </is>
      </c>
      <c r="C197" s="4" t="inlineStr">
        <is>
          <t>environment</t>
        </is>
      </c>
      <c r="D197" s="4" t="inlineStr">
        <is>
          <t>global</t>
        </is>
      </c>
      <c r="E197" s="4" t="inlineStr">
        <is>
          <t>urban area / country</t>
        </is>
      </c>
      <c r="F197" s="4" t="inlineStr">
        <is>
          <t>1998-2016 urban; 2008-2015 country</t>
        </is>
      </c>
      <c r="G197" s="4" t="n">
        <v>2016</v>
      </c>
      <c r="H197" s="4" t="inlineStr">
        <is>
          <t>open</t>
        </is>
      </c>
      <c r="I197" s="4" t="inlineStr">
        <is>
          <t>CC BY 4.0</t>
        </is>
      </c>
      <c r="J197" s="4" t="inlineStr">
        <is>
          <t>open_download</t>
        </is>
      </c>
      <c r="K197" s="4" t="inlineStr">
        <is>
          <t>SHP ZIP, XLSX ZIP</t>
        </is>
      </c>
      <c r="L197" s="4" t="inlineStr">
        <is>
          <t>Joins today</t>
        </is>
      </c>
      <c r="M197" s="4" t="n">
        <v>3</v>
      </c>
      <c r="N197" s="4" t="inlineStr">
        <is>
          <t>global_pm25_concentration_1998_2016</t>
        </is>
      </c>
      <c r="O197" s="19" t="inlineStr">
        <is>
          <t>Silver</t>
        </is>
      </c>
      <c r="P197" s="4" t="n">
        <v>88</v>
      </c>
      <c r="Q197" s="17" t="inlineStr">
        <is>
          <t>https://dataverse.harvard.edu/dataset.xhtml?persistentId=doi:10.7910/DVN/RHIFKL</t>
        </is>
      </c>
      <c r="R197" s="4" t="inlineStr">
        <is>
          <t>global_sedac_pm25_countries_urban_1998_2016</t>
        </is>
      </c>
    </row>
    <row r="198">
      <c r="A198" s="4" t="inlineStr">
        <is>
          <t>AQUASTAT</t>
        </is>
      </c>
      <c r="B198" s="4" t="inlineStr">
        <is>
          <t>Food and Agriculture Organization of the United Nations</t>
        </is>
      </c>
      <c r="C198" s="4" t="inlineStr">
        <is>
          <t>environment</t>
        </is>
      </c>
      <c r="D198" s="4" t="inlineStr">
        <is>
          <t>core database of country statistics (global not stated explicitly)</t>
        </is>
      </c>
      <c r="E198" s="4" t="inlineStr">
        <is>
          <t>country</t>
        </is>
      </c>
      <c r="F198" s="4" t="inlineStr"/>
      <c r="G198" s="4" t="inlineStr"/>
      <c r="H198" s="4" t="inlineStr">
        <is>
          <t>unknown</t>
        </is>
      </c>
      <c r="I198" s="4" t="inlineStr"/>
      <c r="J198" s="4" t="inlineStr">
        <is>
          <t>open_download</t>
        </is>
      </c>
      <c r="K198" s="4" t="inlineStr">
        <is>
          <t>web;csv</t>
        </is>
      </c>
      <c r="L198" s="4" t="inlineStr">
        <is>
          <t>Not linkable as listed</t>
        </is>
      </c>
      <c r="M198" s="4" t="n">
        <v>3</v>
      </c>
      <c r="N198" s="4" t="inlineStr"/>
      <c r="O198" s="19" t="inlineStr">
        <is>
          <t>Silver</t>
        </is>
      </c>
      <c r="P198" s="4" t="n">
        <v>92</v>
      </c>
      <c r="Q198" s="17" t="inlineStr">
        <is>
          <t>https://www.fao.org/aquastat/en/</t>
        </is>
      </c>
      <c r="R198" s="4" t="inlineStr">
        <is>
          <t>global_fao_aquastat</t>
        </is>
      </c>
    </row>
    <row r="199">
      <c r="A199" s="4" t="inlineStr">
        <is>
          <t>Bathing Water Directive - Status of bathing water (WISE)</t>
        </is>
      </c>
      <c r="B199" s="4" t="inlineStr">
        <is>
          <t>European Environment Agency</t>
        </is>
      </c>
      <c r="C199" s="4" t="inlineStr">
        <is>
          <t>environment</t>
        </is>
      </c>
      <c r="D199" s="4" t="inlineStr">
        <is>
          <t>EU Member States (no country list shown)</t>
        </is>
      </c>
      <c r="E199" s="4" t="inlineStr">
        <is>
          <t>point</t>
        </is>
      </c>
      <c r="F199" s="4" t="inlineStr">
        <is>
          <t>1990-2025 (2025 v.1.0); bathing season May-September</t>
        </is>
      </c>
      <c r="G199" s="4" t="n">
        <v>2025</v>
      </c>
      <c r="H199" s="4" t="inlineStr">
        <is>
          <t>unknown</t>
        </is>
      </c>
      <c r="I199" s="4" t="inlineStr"/>
      <c r="J199" s="4" t="inlineStr">
        <is>
          <t>open_download</t>
        </is>
      </c>
      <c r="K199" s="4" t="inlineStr">
        <is>
          <t>xlsx (Microsoft Excel .xls, .xlsx)</t>
        </is>
      </c>
      <c r="L199" s="4" t="inlineStr">
        <is>
          <t>Needs a count/distance step</t>
        </is>
      </c>
      <c r="M199" s="4" t="n">
        <v>3</v>
      </c>
      <c r="N199" s="4" t="inlineStr"/>
      <c r="O199" s="19" t="inlineStr">
        <is>
          <t>Silver</t>
        </is>
      </c>
      <c r="P199" s="4" t="n">
        <v>94</v>
      </c>
      <c r="Q199" s="17" t="inlineStr">
        <is>
          <t>https://www.eea.europa.eu/data-and-maps/data/bathing-water-directive-status-of-bathing-water-10/bathing-water-directive-status/excel-format-zip</t>
        </is>
      </c>
      <c r="R199" s="4" t="inlineStr">
        <is>
          <t>eu_eea_bathing_water</t>
        </is>
      </c>
    </row>
    <row r="200">
      <c r="A200" s="4" t="inlineStr">
        <is>
          <t>Breathe London</t>
        </is>
      </c>
      <c r="B200" s="4" t="inlineStr">
        <is>
          <t>Breathe London (Mayor of London; Bloomberg Philanthropies)</t>
        </is>
      </c>
      <c r="C200" s="4" t="inlineStr">
        <is>
          <t>environment</t>
        </is>
      </c>
      <c r="D200" s="4" t="inlineStr">
        <is>
          <t>London (33 boroughs incl. City of London)</t>
        </is>
      </c>
      <c r="E200" s="4" t="inlineStr">
        <is>
          <t>point</t>
        </is>
      </c>
      <c r="F200" s="4" t="inlineStr">
        <is>
          <t>not stated; sample records dated 2025; API returns the latest hour by default (live feed)</t>
        </is>
      </c>
      <c r="G200" s="4" t="n">
        <v>2026</v>
      </c>
      <c r="H200" s="4" t="inlineStr">
        <is>
          <t>open</t>
        </is>
      </c>
      <c r="I200" s="4" t="inlineStr">
        <is>
          <t>Open Government Licence v3.0 (API data; attribution 'Contains Breathe London data licensed under the Open Government License v3.0' with link back; terms effective 23 June 2025)</t>
        </is>
      </c>
      <c r="J200" s="4" t="inlineStr">
        <is>
          <t>api_key</t>
        </is>
      </c>
      <c r="K200" s="4" t="inlineStr">
        <is>
          <t>JSON (API only)</t>
        </is>
      </c>
      <c r="L200" s="4" t="inlineStr">
        <is>
          <t>Needs a count/distance step</t>
        </is>
      </c>
      <c r="M200" s="4" t="n">
        <v>3</v>
      </c>
      <c r="N200" s="4" t="inlineStr"/>
      <c r="O200" s="19" t="inlineStr">
        <is>
          <t>Silver</t>
        </is>
      </c>
      <c r="P200" s="4" t="n">
        <v>90</v>
      </c>
      <c r="Q200" s="17" t="inlineStr">
        <is>
          <t>https://www.breathelondon.org/</t>
        </is>
      </c>
      <c r="R200" s="4" t="inlineStr">
        <is>
          <t>gb_breathe_london</t>
        </is>
      </c>
    </row>
    <row r="201">
      <c r="A201" s="4" t="inlineStr">
        <is>
          <t>CACES Land Use Regression (LUR) air pollution estimates (O3, CO, SO2, NO2, PM10, PM2.5, PNC, COA, HOA, BC)</t>
        </is>
      </c>
      <c r="B201" s="4" t="inlineStr">
        <is>
          <t>Center for Air, Climate and Energy Solutions (CACES)</t>
        </is>
      </c>
      <c r="C201" s="4" t="inlineStr">
        <is>
          <t>environment</t>
        </is>
      </c>
      <c r="D201" s="4" t="inlineStr">
        <is>
          <t>contiguous U.S.</t>
        </is>
      </c>
      <c r="E201" s="4" t="inlineStr">
        <is>
          <t>block_group</t>
        </is>
      </c>
      <c r="F201" s="4" t="inlineStr">
        <is>
          <t>SO2, NO2: 1979-2020; PM10: 1988-2020; CO: 1990-2020; PM2.5: 1999-2020; O3: 1979-2019 (May-Sep avg of daily max 8-hr); PNC/COA/HOA/BC: 2017 only; annual averages</t>
        </is>
      </c>
      <c r="G201" s="4" t="n">
        <v>2020</v>
      </c>
      <c r="H201" s="4" t="inlineStr">
        <is>
          <t>non-commercial</t>
        </is>
      </c>
      <c r="I201" s="4" t="inlineStr">
        <is>
          <t>custom terms: non-commercial ('free and publicly available for non-commercial purposes'; commercial use requires prior written permission); citation requested</t>
        </is>
      </c>
      <c r="J201" s="4" t="inlineStr">
        <is>
          <t>open_download</t>
        </is>
      </c>
      <c r="K201" s="4" t="inlineStr">
        <is>
          <t>csv (download tool);csv</t>
        </is>
      </c>
      <c r="L201" s="4" t="inlineStr">
        <is>
          <t>Joins today</t>
        </is>
      </c>
      <c r="M201" s="4" t="n">
        <v>3</v>
      </c>
      <c r="N201" s="4" t="inlineStr"/>
      <c r="O201" s="19" t="inlineStr">
        <is>
          <t>Silver</t>
        </is>
      </c>
      <c r="P201" s="4" t="n">
        <v>91</v>
      </c>
      <c r="Q201" s="17" t="inlineStr">
        <is>
          <t>https://www.caces.us/data</t>
        </is>
      </c>
      <c r="R201" s="4" t="inlineStr">
        <is>
          <t>us_cmu_caces_lur</t>
        </is>
      </c>
    </row>
    <row r="202">
      <c r="A202" s="4" t="inlineStr">
        <is>
          <t>CACES Reduced Complexity Models (AP2, EASIUR, InMAP ISRM)</t>
        </is>
      </c>
      <c r="B202" s="4" t="inlineStr">
        <is>
          <t>Center for Air, Climate, and Energy Solutions (CACES)</t>
        </is>
      </c>
      <c r="C202" s="4" t="inlineStr">
        <is>
          <t>environment</t>
        </is>
      </c>
      <c r="D202" s="4" t="inlineStr">
        <is>
          <t>US (ISRM: contiguous United States; user guide: counties of the United States)</t>
        </is>
      </c>
      <c r="E202" s="4" t="inlineStr">
        <is>
          <t>county</t>
        </is>
      </c>
      <c r="F202" s="4" t="inlineStr">
        <is>
          <t>model calibration years: AP3 for NEI years 1999, 2002, 2005, 2008, 2011, 2014; InMAP and EASIUR based on the 2005 NEI</t>
        </is>
      </c>
      <c r="G202" s="4" t="n">
        <v>2014</v>
      </c>
      <c r="H202" s="4" t="inlineStr">
        <is>
          <t>non-commercial</t>
        </is>
      </c>
      <c r="I202" s="4" t="inlineStr">
        <is>
          <t>custom terms: free for non-commercial use; commercial use requires prior written permission from CACES</t>
        </is>
      </c>
      <c r="J202" s="4" t="inlineStr">
        <is>
          <t>open_download</t>
        </is>
      </c>
      <c r="K202" s="4" t="inlineStr">
        <is>
          <t>csv; zenodo</t>
        </is>
      </c>
      <c r="L202" s="4" t="inlineStr">
        <is>
          <t>Needs raster support</t>
        </is>
      </c>
      <c r="M202" s="4" t="n">
        <v>3</v>
      </c>
      <c r="N202" s="4" t="inlineStr"/>
      <c r="O202" s="19" t="inlineStr">
        <is>
          <t>Silver</t>
        </is>
      </c>
      <c r="P202" s="4" t="n">
        <v>76</v>
      </c>
      <c r="Q202" s="17" t="inlineStr">
        <is>
          <t>https://www.caces.us/data</t>
        </is>
      </c>
      <c r="R202" s="4" t="inlineStr">
        <is>
          <t>us_cmu_caces_rcm</t>
        </is>
      </c>
    </row>
    <row r="203">
      <c r="A203" s="4" t="inlineStr">
        <is>
          <t>CAMS European air quality reanalyses</t>
        </is>
      </c>
      <c r="B203" s="4" t="inlineStr">
        <is>
          <t>ECMWF</t>
        </is>
      </c>
      <c r="C203" s="4" t="inlineStr">
        <is>
          <t>environment</t>
        </is>
      </c>
      <c r="D203" s="4" t="inlineStr">
        <is>
          <t>Europe (25W-45E, 30N-72N)</t>
        </is>
      </c>
      <c r="E203" s="4" t="inlineStr">
        <is>
          <t>grid_0.1deg</t>
        </is>
      </c>
      <c r="F203" s="4" t="inlineStr">
        <is>
          <t>2013-2025, hourly analyses in monthly files</t>
        </is>
      </c>
      <c r="G203" s="4" t="n">
        <v>2025</v>
      </c>
      <c r="H203" s="4" t="inlineStr">
        <is>
          <t>open</t>
        </is>
      </c>
      <c r="I203" s="4" t="inlineStr">
        <is>
          <t>CC-BY licence</t>
        </is>
      </c>
      <c r="J203" s="4" t="inlineStr">
        <is>
          <t>registration</t>
        </is>
      </c>
      <c r="K203" s="4" t="inlineStr">
        <is>
          <t>netcdf</t>
        </is>
      </c>
      <c r="L203" s="4" t="inlineStr">
        <is>
          <t>Needs raster support</t>
        </is>
      </c>
      <c r="M203" s="4" t="n">
        <v>3</v>
      </c>
      <c r="N203" s="4" t="inlineStr"/>
      <c r="O203" s="19" t="inlineStr">
        <is>
          <t>Silver</t>
        </is>
      </c>
      <c r="P203" s="4" t="n">
        <v>95</v>
      </c>
      <c r="Q203" s="17" t="inlineStr">
        <is>
          <t>https://ads.atmosphere.copernicus.eu/datasets/cams-europe-air-quality-reanalyses?tab=overview</t>
        </is>
      </c>
      <c r="R203" s="4" t="inlineStr">
        <is>
          <t>eu_copernicus_cams_european_aq_reanalysis</t>
        </is>
      </c>
    </row>
    <row r="204">
      <c r="A204" s="4" t="inlineStr">
        <is>
          <t>CAMS global reanalysis (EAC4)</t>
        </is>
      </c>
      <c r="B204" s="4" t="inlineStr">
        <is>
          <t>ECMWF</t>
        </is>
      </c>
      <c r="C204" s="4" t="inlineStr">
        <is>
          <t>environment</t>
        </is>
      </c>
      <c r="D204" s="4" t="inlineStr">
        <is>
          <t>global</t>
        </is>
      </c>
      <c r="E204" s="4" t="inlineStr">
        <is>
          <t>grid_0.75deg</t>
        </is>
      </c>
      <c r="F204" s="4" t="inlineStr">
        <is>
          <t>2003-2025, 3-hourly</t>
        </is>
      </c>
      <c r="G204" s="4" t="n">
        <v>2025</v>
      </c>
      <c r="H204" s="4" t="inlineStr">
        <is>
          <t>open</t>
        </is>
      </c>
      <c r="I204" s="4" t="inlineStr">
        <is>
          <t>CC-BY licence</t>
        </is>
      </c>
      <c r="J204" s="4" t="inlineStr">
        <is>
          <t>registration</t>
        </is>
      </c>
      <c r="K204" s="4" t="inlineStr">
        <is>
          <t>grib; netcdf (optional conversion)</t>
        </is>
      </c>
      <c r="L204" s="4" t="inlineStr">
        <is>
          <t>Needs raster support</t>
        </is>
      </c>
      <c r="M204" s="4" t="n">
        <v>3</v>
      </c>
      <c r="N204" s="4" t="inlineStr"/>
      <c r="O204" s="19" t="inlineStr">
        <is>
          <t>Silver</t>
        </is>
      </c>
      <c r="P204" s="4" t="n">
        <v>95</v>
      </c>
      <c r="Q204" s="17" t="inlineStr">
        <is>
          <t>https://ads.atmosphere.copernicus.eu/datasets/cams-global-reanalysis-eac4?tab=overview</t>
        </is>
      </c>
      <c r="R204" s="4" t="inlineStr">
        <is>
          <t>global_copernicus_cams_eac4</t>
        </is>
      </c>
    </row>
    <row r="205">
      <c r="A205" s="4" t="inlineStr">
        <is>
          <t>ChinaHighAirPollutants (CHAP)</t>
        </is>
      </c>
      <c r="B205" s="4" t="inlineStr">
        <is>
          <t>Jing Wei (University of Maryland / Peking University)</t>
        </is>
      </c>
      <c r="C205" s="4" t="inlineStr">
        <is>
          <t>environment</t>
        </is>
      </c>
      <c r="D205" s="4" t="inlineStr">
        <is>
          <t>China</t>
        </is>
      </c>
      <c r="E205" s="4" t="inlineStr">
        <is>
          <t>grid_1km</t>
        </is>
      </c>
      <c r="F205" s="4" t="inlineStr">
        <is>
          <t>PM2.5, PM1, PM10, O3, PM composition 1 km 2000-present; NO2/SO2/CO 1 km 2019-present (10 km NO2 2008-2018, SO2/CO 2013-2018); PAH 10 km 2013-2020; Zenodo PM2.5 V4 files 2000-2021 with 2022-2025 at a separate DOI</t>
        </is>
      </c>
      <c r="G205" s="4" t="n">
        <v>2026</v>
      </c>
      <c r="H205" s="4" t="inlineStr">
        <is>
          <t>open</t>
        </is>
      </c>
      <c r="I205" s="4" t="inlineStr">
        <is>
          <t>CC BY 4.0 (Zenodo record for ChinaHighPM2.5 V4); landing page: 'public and freely open to all users', no licence named</t>
        </is>
      </c>
      <c r="J205" s="4" t="inlineStr">
        <is>
          <t>open_download</t>
        </is>
      </c>
      <c r="K205" s="4" t="inlineStr">
        <is>
          <t>netcdf (yearly .nc; daily/monthly .nc in .rar archives); nc2geotiff code provided</t>
        </is>
      </c>
      <c r="L205" s="4" t="inlineStr">
        <is>
          <t>Needs raster support</t>
        </is>
      </c>
      <c r="M205" s="4" t="n">
        <v>3</v>
      </c>
      <c r="N205" s="4" t="inlineStr"/>
      <c r="O205" s="13" t="inlineStr">
        <is>
          <t>Gold</t>
        </is>
      </c>
      <c r="P205" s="4" t="n">
        <v>91</v>
      </c>
      <c r="Q205" s="17" t="inlineStr">
        <is>
          <t>https://weijing-rs.github.io/product.html</t>
        </is>
      </c>
      <c r="R205" s="4" t="inlineStr">
        <is>
          <t>cn_wei_chap</t>
        </is>
      </c>
    </row>
    <row r="206">
      <c r="A206" s="4" t="inlineStr">
        <is>
          <t>Clean Air Markets Program Data (CAMPD) - power plant emissions (CEMS hourly, daily, annual)</t>
        </is>
      </c>
      <c r="B206" s="4" t="inlineStr">
        <is>
          <t>US EPA</t>
        </is>
      </c>
      <c r="C206" s="4" t="inlineStr">
        <is>
          <t>environment</t>
        </is>
      </c>
      <c r="D206" s="4" t="inlineStr">
        <is>
          <t>US</t>
        </is>
      </c>
      <c r="E206" s="4" t="inlineStr">
        <is>
          <t>point (facility/unit)</t>
        </is>
      </c>
      <c r="F206" s="4" t="inlineStr">
        <is>
          <t>1995-2025 annual; 2026 Q3 received</t>
        </is>
      </c>
      <c r="G206" s="4" t="n">
        <v>2026</v>
      </c>
      <c r="H206" s="4" t="inlineStr">
        <is>
          <t>unknown</t>
        </is>
      </c>
      <c r="I206" s="4" t="inlineStr">
        <is>
          <t>public domain (US gov, assumed)</t>
        </is>
      </c>
      <c r="J206" s="4" t="inlineStr">
        <is>
          <t>open_download</t>
        </is>
      </c>
      <c r="K206" s="4" t="inlineStr">
        <is>
          <t>CSV, API</t>
        </is>
      </c>
      <c r="L206" s="4" t="inlineStr">
        <is>
          <t>Needs a count/distance step</t>
        </is>
      </c>
      <c r="M206" s="4" t="n">
        <v>3</v>
      </c>
      <c r="N206" s="4" t="inlineStr"/>
      <c r="O206" s="19" t="inlineStr">
        <is>
          <t>Silver</t>
        </is>
      </c>
      <c r="P206" s="4" t="n">
        <v>90</v>
      </c>
      <c r="Q206" s="17" t="inlineStr">
        <is>
          <t>https://campd.epa.gov/</t>
        </is>
      </c>
      <c r="R206" s="4" t="inlineStr">
        <is>
          <t>us_epa_campd_power_plant_emissions</t>
        </is>
      </c>
    </row>
    <row r="207">
      <c r="A207" s="4" t="inlineStr">
        <is>
          <t>Copernicus DEM - Global and European Digital Elevation Model (GLO-30, GLO-90, EEA-10)</t>
        </is>
      </c>
      <c r="B207" s="4" t="inlineStr">
        <is>
          <t>European Union / ESA (Copernicus)</t>
        </is>
      </c>
      <c r="C207" s="4" t="inlineStr">
        <is>
          <t>environment</t>
        </is>
      </c>
      <c r="D207" s="4" t="inlineStr">
        <is>
          <t>global (GLO-30, GLO-90; ~149 M km2); EEA-10: 39 European countries incl. islands plus French Overseas Departments (~6 M km2)</t>
        </is>
      </c>
      <c r="E207" s="4" t="inlineStr">
        <is>
          <t>grid_30m</t>
        </is>
      </c>
      <c r="F207" s="4" t="inlineStr">
        <is>
          <t>TanDEM-X acquisitions 2011-2015 (gap-filling from older DEMs may show sensing dates before 2011); nine releases 2019_1 (Dec 2019) to 2024_1 (Jul 2024); 'made available for use in 2019 and will be maintained until 2026'</t>
        </is>
      </c>
      <c r="G207" s="4" t="n">
        <v>2024</v>
      </c>
      <c r="H207" s="4" t="inlineStr">
        <is>
          <t>attribution</t>
        </is>
      </c>
      <c r="I207" s="4" t="inlineStr">
        <is>
          <t>GLO-30/GLO-90: 'available worldwide with a free license' (ESA-User licence / Copernicus DEM licence) with required attribution notice '(c) DLR e.V. 2010-2014 and (c) Airbus Defence and Space GmbH 2014-2018 provided under COPERNICUS...'; EEA-10 (10 m) restricted to a specific subset of users (public authorities, Copernicus Services, EU institutions, EU-funded research projects)</t>
        </is>
      </c>
      <c r="J207" s="4" t="inlineStr">
        <is>
          <t>registration</t>
        </is>
      </c>
      <c r="K207" s="4" t="inlineStr">
        <is>
          <t>geotiff; dted; kml (quality layers); shp (coverage grid)</t>
        </is>
      </c>
      <c r="L207" s="4" t="inlineStr">
        <is>
          <t>Needs raster support</t>
        </is>
      </c>
      <c r="M207" s="4" t="n">
        <v>3</v>
      </c>
      <c r="N207" s="4" t="inlineStr"/>
      <c r="O207" s="19" t="inlineStr">
        <is>
          <t>Silver</t>
        </is>
      </c>
      <c r="P207" s="4" t="n">
        <v>93</v>
      </c>
      <c r="Q207" s="17" t="inlineStr">
        <is>
          <t>https://dataspace.copernicus.eu/explore-data/data-collections/copernicus-contributing-missions/collections-description/COP-DEM</t>
        </is>
      </c>
      <c r="R207" s="4" t="inlineStr">
        <is>
          <t>global_copernicus_dem_glo30_glo90</t>
        </is>
      </c>
    </row>
    <row r="208">
      <c r="A208" s="4" t="inlineStr">
        <is>
          <t>CORINE Land Cover (CLC)</t>
        </is>
      </c>
      <c r="B208" s="4" t="inlineStr">
        <is>
          <t>European Environment Agency (EEA)</t>
        </is>
      </c>
      <c r="C208" s="4" t="inlineStr">
        <is>
          <t>environment</t>
        </is>
      </c>
      <c r="D208" s="4" t="inlineStr">
        <is>
          <t>pan-European (no country list on the page)</t>
        </is>
      </c>
      <c r="E208" s="4" t="inlineStr">
        <is>
          <t>grid_100m</t>
        </is>
      </c>
      <c r="F208" s="4" t="inlineStr">
        <is>
          <t>first CLC dataset 1990; 'updated with new status and change layers every six years - with the most recent update made in 2018'</t>
        </is>
      </c>
      <c r="G208" s="4" t="n">
        <v>2018</v>
      </c>
      <c r="H208" s="4" t="inlineStr">
        <is>
          <t>unknown</t>
        </is>
      </c>
      <c r="I208" s="4" t="inlineStr"/>
      <c r="J208" s="4" t="inlineStr">
        <is>
          <t>registration</t>
        </is>
      </c>
      <c r="K208" s="4" t="inlineStr">
        <is>
          <t>gpkg; geotiff; sqlite</t>
        </is>
      </c>
      <c r="L208" s="4" t="inlineStr">
        <is>
          <t>Needs raster support</t>
        </is>
      </c>
      <c r="M208" s="4" t="n">
        <v>3</v>
      </c>
      <c r="N208" s="4" t="inlineStr"/>
      <c r="O208" s="19" t="inlineStr">
        <is>
          <t>Silver</t>
        </is>
      </c>
      <c r="P208" s="4" t="n">
        <v>83</v>
      </c>
      <c r="Q208" s="17" t="inlineStr">
        <is>
          <t>https://land.copernicus.eu/en/products/corine-land-cover</t>
        </is>
      </c>
      <c r="R208" s="4" t="inlineStr">
        <is>
          <t>eu_copernicus_corine_land_cover</t>
        </is>
      </c>
    </row>
    <row r="209">
      <c r="A209" s="4" t="inlineStr">
        <is>
          <t>Daily 8-Hour Maximum and Annual O3 Concentrations for the Contiguous United States, 1-km Grids, Version 1.10 (2000-2016)</t>
        </is>
      </c>
      <c r="B209" s="4" t="inlineStr">
        <is>
          <t>NASA SEDAC (CIESIN, Columbia University)</t>
        </is>
      </c>
      <c r="C209" s="4" t="inlineStr">
        <is>
          <t>environment</t>
        </is>
      </c>
      <c r="D209" s="4" t="inlineStr">
        <is>
          <t>contiguous United States (title); Location: United States of America; bounding box N 72, S 17, E -65, W -180</t>
        </is>
      </c>
      <c r="E209" s="4" t="inlineStr">
        <is>
          <t>grid_1km</t>
        </is>
      </c>
      <c r="F209" s="4" t="inlineStr">
        <is>
          <t>2000-01-01 to 2016-12-31 (daily 8-hour maximum and annual)</t>
        </is>
      </c>
      <c r="G209" s="4" t="n">
        <v>2016</v>
      </c>
      <c r="H209" s="4" t="inlineStr">
        <is>
          <t>open</t>
        </is>
      </c>
      <c r="I209" s="4" t="inlineStr">
        <is>
          <t>'This dataset is openly shared, without restriction, in accordance with the EOSDIS Data Use and Citation Guidance' (guidance: NASA-mission data CC0; citation strongly urged, not a condition)</t>
        </is>
      </c>
      <c r="J209" s="4" t="inlineStr">
        <is>
          <t>registration</t>
        </is>
      </c>
      <c r="K209" s="4" t="inlineStr">
        <is>
          <t>geotiff; shp (Data Format field); rds (description)</t>
        </is>
      </c>
      <c r="L209" s="4" t="inlineStr">
        <is>
          <t>Needs raster support</t>
        </is>
      </c>
      <c r="M209" s="4" t="n">
        <v>3</v>
      </c>
      <c r="N209" s="4" t="inlineStr"/>
      <c r="O209" s="19" t="inlineStr">
        <is>
          <t>Silver</t>
        </is>
      </c>
      <c r="P209" s="4" t="n">
        <v>96</v>
      </c>
      <c r="Q209" s="17" t="inlineStr">
        <is>
          <t>https://www.earthdata.nasa.gov/data/catalog/esdis-ciesin-sedac-aqdh-dao3-us-1km-1.10-1.10</t>
        </is>
      </c>
      <c r="R209" s="4" t="inlineStr">
        <is>
          <t>us_sedac_di_o3_1km</t>
        </is>
      </c>
    </row>
    <row r="210">
      <c r="A210" s="4" t="inlineStr">
        <is>
          <t>Daily and Annual NO2 Concentrations for the Contiguous United States, 1-km Grids, Version 1.10 (2000-2016)</t>
        </is>
      </c>
      <c r="B210" s="4" t="inlineStr">
        <is>
          <t>NASA SEDAC (CIESIN, Columbia University)</t>
        </is>
      </c>
      <c r="C210" s="4" t="inlineStr">
        <is>
          <t>environment</t>
        </is>
      </c>
      <c r="D210" s="4" t="inlineStr">
        <is>
          <t>contiguous United States (title); Location: United States of America; bounding box N 72, S 17, E -65, W -180</t>
        </is>
      </c>
      <c r="E210" s="4" t="inlineStr">
        <is>
          <t>grid_1km</t>
        </is>
      </c>
      <c r="F210" s="4" t="inlineStr">
        <is>
          <t>2000-01-01 to 2016-12-31 (daily and annual)</t>
        </is>
      </c>
      <c r="G210" s="4" t="n">
        <v>2016</v>
      </c>
      <c r="H210" s="4" t="inlineStr">
        <is>
          <t>open</t>
        </is>
      </c>
      <c r="I210" s="4" t="inlineStr">
        <is>
          <t>'This dataset is openly shared, without restriction, in accordance with the EOSDIS Data Use and Citation Guidance' (guidance: NASA-mission data CC0; citation strongly urged, not a condition)</t>
        </is>
      </c>
      <c r="J210" s="4" t="inlineStr">
        <is>
          <t>registration</t>
        </is>
      </c>
      <c r="K210" s="4" t="inlineStr">
        <is>
          <t>geotiff; shp (Data Format field); rds (description)</t>
        </is>
      </c>
      <c r="L210" s="4" t="inlineStr">
        <is>
          <t>Needs raster support</t>
        </is>
      </c>
      <c r="M210" s="4" t="n">
        <v>3</v>
      </c>
      <c r="N210" s="4" t="inlineStr"/>
      <c r="O210" s="19" t="inlineStr">
        <is>
          <t>Silver</t>
        </is>
      </c>
      <c r="P210" s="4" t="n">
        <v>96</v>
      </c>
      <c r="Q210" s="17" t="inlineStr">
        <is>
          <t>https://www.earthdata.nasa.gov/data/catalog/esdis-ciesin-sedac-aqdh-dano2-us-1km-1.10-1.10</t>
        </is>
      </c>
      <c r="R210" s="4" t="inlineStr">
        <is>
          <t>us_sedac_di_no2_1km</t>
        </is>
      </c>
    </row>
    <row r="211">
      <c r="A211" s="4" t="inlineStr">
        <is>
          <t>Daily and Annual PM2.5 Concentrations for the Contiguous United States, 1-km Grids, Version 1.10 (2000-2016)</t>
        </is>
      </c>
      <c r="B211" s="4" t="inlineStr">
        <is>
          <t>NASA SEDAC (CIESIN, Columbia University)</t>
        </is>
      </c>
      <c r="C211" s="4" t="inlineStr">
        <is>
          <t>environment</t>
        </is>
      </c>
      <c r="D211" s="4" t="inlineStr">
        <is>
          <t>contiguous United States (title); Location: United States of America; bounding box N 72, S 17, E -65, W -180</t>
        </is>
      </c>
      <c r="E211" s="4" t="inlineStr">
        <is>
          <t>grid_1km</t>
        </is>
      </c>
      <c r="F211" s="4" t="inlineStr">
        <is>
          <t>2000-01-01 to 2016-12-31 (daily and annual)</t>
        </is>
      </c>
      <c r="G211" s="4" t="n">
        <v>2016</v>
      </c>
      <c r="H211" s="4" t="inlineStr">
        <is>
          <t>open</t>
        </is>
      </c>
      <c r="I211" s="4" t="inlineStr">
        <is>
          <t>'This dataset is openly shared, without restriction, in accordance with the EOSDIS Data Use and Citation Guidance' (guidance: NASA-mission data CC0; citation strongly urged, not a condition)</t>
        </is>
      </c>
      <c r="J211" s="4" t="inlineStr">
        <is>
          <t>registration</t>
        </is>
      </c>
      <c r="K211" s="4" t="inlineStr">
        <is>
          <t>geotiff; shp (Data Format field); rds (description)</t>
        </is>
      </c>
      <c r="L211" s="4" t="inlineStr">
        <is>
          <t>Needs raster support</t>
        </is>
      </c>
      <c r="M211" s="4" t="n">
        <v>3</v>
      </c>
      <c r="N211" s="4" t="inlineStr"/>
      <c r="O211" s="19" t="inlineStr">
        <is>
          <t>Silver</t>
        </is>
      </c>
      <c r="P211" s="4" t="n">
        <v>96</v>
      </c>
      <c r="Q211" s="17" t="inlineStr">
        <is>
          <t>https://www.earthdata.nasa.gov/data/catalog/esdis-ciesin-sedac-aqdh-dapm25-us-1km-1.10-1.10</t>
        </is>
      </c>
      <c r="R211" s="4" t="inlineStr">
        <is>
          <t>us_sedac_di_pm25_1km</t>
        </is>
      </c>
    </row>
    <row r="212">
      <c r="A212" s="4" t="inlineStr">
        <is>
          <t>Daily Census Tract-Level Ozone Concentrations (2001-2016 series)</t>
        </is>
      </c>
      <c r="B212" s="4" t="inlineStr">
        <is>
          <t>CDC</t>
        </is>
      </c>
      <c r="C212" s="4" t="inlineStr">
        <is>
          <t>environment</t>
        </is>
      </c>
      <c r="D212" s="4" t="inlineStr">
        <is>
          <t>US (CONUS)</t>
        </is>
      </c>
      <c r="E212" s="4" t="inlineStr">
        <is>
          <t>tract</t>
        </is>
      </c>
      <c r="F212" s="4" t="inlineStr">
        <is>
          <t>2011-2015 (title) vs 2001-2005 (description) for this listing; daily</t>
        </is>
      </c>
      <c r="G212" s="4" t="n">
        <v>2015</v>
      </c>
      <c r="H212" s="4" t="inlineStr">
        <is>
          <t>attribution</t>
        </is>
      </c>
      <c r="I212" s="4" t="inlineStr">
        <is>
          <t>license_id 'other-license-specified' with license URL http://opendefinition.org/licenses/odc-odbl/ (isopen: False); use terms list six requirements incl. statistical use only and citing CDC</t>
        </is>
      </c>
      <c r="J212" s="4" t="inlineStr">
        <is>
          <t>open_download</t>
        </is>
      </c>
      <c r="K212" s="4" t="inlineStr">
        <is>
          <t>csv; json; xml; rdf</t>
        </is>
      </c>
      <c r="L212" s="4" t="inlineStr">
        <is>
          <t>Joins today</t>
        </is>
      </c>
      <c r="M212" s="4" t="n">
        <v>3</v>
      </c>
      <c r="N212" s="4" t="inlineStr"/>
      <c r="O212" s="19" t="inlineStr">
        <is>
          <t>Silver</t>
        </is>
      </c>
      <c r="P212" s="4" t="n">
        <v>82</v>
      </c>
      <c r="Q212" s="17" t="inlineStr">
        <is>
          <t>https://data.amerigeoss.org/dataset/daily-census-tract-level-ozone-concentrations-2011-2015</t>
        </is>
      </c>
      <c r="R212" s="4" t="inlineStr">
        <is>
          <t>us_cdc_daily_tract_ozone</t>
        </is>
      </c>
    </row>
    <row r="213">
      <c r="A213" s="4" t="inlineStr">
        <is>
          <t>Daily Census Tract-Level PM2.5 Concentrations (2001-2005; 2006-2010; 2011-2015; 2016)</t>
        </is>
      </c>
      <c r="B213" s="4" t="inlineStr">
        <is>
          <t>CDC</t>
        </is>
      </c>
      <c r="C213" s="4" t="inlineStr">
        <is>
          <t>environment</t>
        </is>
      </c>
      <c r="D213" s="4" t="inlineStr">
        <is>
          <t>US (CONUS)</t>
        </is>
      </c>
      <c r="E213" s="4" t="inlineStr">
        <is>
          <t>tract</t>
        </is>
      </c>
      <c r="F213" s="4" t="inlineStr">
        <is>
          <t>2011-2015 daily (this listing; 'Data are at the census tract level for 2011-2015')</t>
        </is>
      </c>
      <c r="G213" s="4" t="n">
        <v>2015</v>
      </c>
      <c r="H213" s="4" t="inlineStr">
        <is>
          <t>open</t>
        </is>
      </c>
      <c r="I213" s="4" t="inlineStr">
        <is>
          <t>ODbL (License: http://opendefinition.org/licenses/odc-odbl/; URL only, no licence name on the page)</t>
        </is>
      </c>
      <c r="J213" s="4" t="inlineStr">
        <is>
          <t>open_download</t>
        </is>
      </c>
      <c r="K213" s="4" t="inlineStr">
        <is>
          <t>csv; json; xml</t>
        </is>
      </c>
      <c r="L213" s="4" t="inlineStr">
        <is>
          <t>Joins today</t>
        </is>
      </c>
      <c r="M213" s="4" t="n">
        <v>3</v>
      </c>
      <c r="N213" s="4" t="inlineStr">
        <is>
          <t>us_2014_2019_monthly_pm25_by_tract_cdc</t>
        </is>
      </c>
      <c r="O213" s="13" t="inlineStr">
        <is>
          <t>Gold</t>
        </is>
      </c>
      <c r="P213" s="4" t="n">
        <v>92</v>
      </c>
      <c r="Q213" s="17" t="inlineStr">
        <is>
          <t>https://catalog.data.gov/dataset/daily-census-tract-level-pm2-5-concentrations-2011-2015</t>
        </is>
      </c>
      <c r="R213" s="4" t="inlineStr">
        <is>
          <t>us_cdc_daily_tract_pm25</t>
        </is>
      </c>
    </row>
    <row r="214">
      <c r="A214" s="4" t="inlineStr">
        <is>
          <t>Daily County-Level PM2.5 Concentrations, 2001-2022</t>
        </is>
      </c>
      <c r="B214" s="4" t="inlineStr">
        <is>
          <t>CDC</t>
        </is>
      </c>
      <c r="C214" s="4" t="inlineStr">
        <is>
          <t>environment</t>
        </is>
      </c>
      <c r="D214" s="4" t="inlineStr">
        <is>
          <t>U.S. states (Geographic Coverage: 'U. S. states')</t>
        </is>
      </c>
      <c r="E214" s="4" t="inlineStr">
        <is>
          <t>county</t>
        </is>
      </c>
      <c r="F214" s="4" t="inlineStr">
        <is>
          <t>2001-2022 (Temporal Applicability '2001-2022'; daily values, columns year/date)</t>
        </is>
      </c>
      <c r="G214" s="4" t="n">
        <v>2022</v>
      </c>
      <c r="H214" s="4" t="inlineStr">
        <is>
          <t>open</t>
        </is>
      </c>
      <c r="I214" s="4" t="inlineStr">
        <is>
          <t>Public Domain U.S. Government (licenseId USGOV_WORKS; termsLink https://www.usa.gov/government-works); description adds usage requirements: 'Use the data for statistical reporting and analysis only', acknowledge source and CDC, no attempts to identify individuals</t>
        </is>
      </c>
      <c r="J214" s="4" t="inlineStr">
        <is>
          <t>api_key</t>
        </is>
      </c>
      <c r="K214" s="4" t="inlineStr">
        <is>
          <t>csv;api</t>
        </is>
      </c>
      <c r="L214" s="4" t="inlineStr">
        <is>
          <t>Joins today</t>
        </is>
      </c>
      <c r="M214" s="4" t="n">
        <v>3</v>
      </c>
      <c r="N214" s="4" t="inlineStr">
        <is>
          <t>us_2014_2019_monthly_pm25_by_county_cdc</t>
        </is>
      </c>
      <c r="O214" s="19" t="inlineStr">
        <is>
          <t>Silver</t>
        </is>
      </c>
      <c r="P214" s="4" t="n">
        <v>100</v>
      </c>
      <c r="Q214" s="17" t="inlineStr">
        <is>
          <t>https://data.cdc.gov/Environmental-Health-Toxicology/Daily-County-Level-PM2-5-Concentrations-2001-2022/53mz-4zqd/about_data</t>
        </is>
      </c>
      <c r="R214" s="4" t="inlineStr">
        <is>
          <t>us_cdc_daily_county_pm25_2001_2022</t>
        </is>
      </c>
    </row>
    <row r="215">
      <c r="A215" s="4" t="inlineStr">
        <is>
          <t>EnviroAtlas (pointer: green space and tree cover metrics)</t>
        </is>
      </c>
      <c r="B215" s="4" t="inlineStr">
        <is>
          <t>EPA</t>
        </is>
      </c>
      <c r="C215" s="4" t="inlineStr">
        <is>
          <t>environment</t>
        </is>
      </c>
      <c r="D215" s="4" t="inlineStr">
        <is>
          <t>US (contiguous, wall-to-wall) plus some data for AK, HI, PR, USVI, AS, GU, CNMI; community data for ~30 urbanized community areas (1400+ cities and towns)</t>
        </is>
      </c>
      <c r="E215" s="4" t="inlineStr">
        <is>
          <t>grid_1m</t>
        </is>
      </c>
      <c r="F215" s="4" t="inlineStr">
        <is>
          <t>various (2011-2020 inputs)</t>
        </is>
      </c>
      <c r="G215" s="4" t="n">
        <v>2020</v>
      </c>
      <c r="H215" s="4" t="inlineStr">
        <is>
          <t>public_domain_us_federal</t>
        </is>
      </c>
      <c r="I215" s="4" t="inlineStr"/>
      <c r="J215" s="4" t="inlineStr">
        <is>
          <t>open_download</t>
        </is>
      </c>
      <c r="K215" s="4" t="inlineStr">
        <is>
          <t>gdb; shp; geotiff; arcgis_rest</t>
        </is>
      </c>
      <c r="L215" s="4" t="inlineStr">
        <is>
          <t>Needs raster support</t>
        </is>
      </c>
      <c r="M215" s="4" t="n">
        <v>3</v>
      </c>
      <c r="N215" s="4" t="inlineStr"/>
      <c r="O215" s="19" t="inlineStr">
        <is>
          <t>Silver</t>
        </is>
      </c>
      <c r="P215" s="4" t="n">
        <v>92</v>
      </c>
      <c r="Q215" s="17" t="inlineStr">
        <is>
          <t>https://www.epa.gov/enviroatlas/enviroatlas-data</t>
        </is>
      </c>
      <c r="R215" s="4" t="inlineStr">
        <is>
          <t>us_epa_enviroatlas</t>
        </is>
      </c>
    </row>
    <row r="216">
      <c r="A216" s="4" t="inlineStr">
        <is>
          <t>EnviroAtlas National Data (metric tables by HUC12, county, tract, block group)</t>
        </is>
      </c>
      <c r="B216" s="4" t="inlineStr">
        <is>
          <t>US EPA</t>
        </is>
      </c>
      <c r="C216" s="4" t="inlineStr">
        <is>
          <t>environment</t>
        </is>
      </c>
      <c r="D216" s="4" t="inlineStr">
        <is>
          <t>CONUS; Alaska, Hawaii, Puerto Rico/US Virgin Islands; American Samoa, Guam, Northern Mariana Islands (Pacific Territories); 32 communities</t>
        </is>
      </c>
      <c r="E216" s="4" t="inlineStr">
        <is>
          <t>block_group</t>
        </is>
      </c>
      <c r="F216" s="4" t="inlineStr">
        <is>
          <t>various by dataset; CONUS metric tables and metadata dated August 2025; AK/HI/PR-USVI tables March 2024; national spreadsheet 8/28/2026; underlying data years vary (e.g. PRISM normals 1991-2020, dasymetric population 2020 v1.1 / 2010 v3, Census 2010 geographies)</t>
        </is>
      </c>
      <c r="G216" s="4" t="n">
        <v>2025</v>
      </c>
      <c r="H216" s="4" t="inlineStr">
        <is>
          <t>public_domain_us_federal</t>
        </is>
      </c>
      <c r="I216" s="4" t="inlineStr"/>
      <c r="J216" s="4" t="inlineStr">
        <is>
          <t>open_download</t>
        </is>
      </c>
      <c r="K216" s="4" t="inlineStr">
        <is>
          <t>gdb (Esri FGDB); csv; shp; geotiff; xml (FGDC metadata); xlsx (inventories)</t>
        </is>
      </c>
      <c r="L216" s="4" t="inlineStr">
        <is>
          <t>Joins today</t>
        </is>
      </c>
      <c r="M216" s="4" t="n">
        <v>3</v>
      </c>
      <c r="N216" s="4" t="inlineStr"/>
      <c r="O216" s="19" t="inlineStr">
        <is>
          <t>Silver</t>
        </is>
      </c>
      <c r="P216" s="4" t="n">
        <v>94</v>
      </c>
      <c r="Q216" s="17" t="inlineStr">
        <is>
          <t>https://www.epa.gov/enviroatlas/data-download</t>
        </is>
      </c>
      <c r="R216" s="4" t="inlineStr">
        <is>
          <t>us_epa_enviroatlas_national</t>
        </is>
      </c>
    </row>
    <row r="217">
      <c r="A217" s="4" t="inlineStr">
        <is>
          <t>ESA CCI Soil Moisture (active, passive, combined) v09.2</t>
        </is>
      </c>
      <c r="B217" s="4" t="inlineStr">
        <is>
          <t>ESA</t>
        </is>
      </c>
      <c r="C217" s="4" t="inlineStr">
        <is>
          <t>environment</t>
        </is>
      </c>
      <c r="D217" s="4" t="inlineStr">
        <is>
          <t>global (-180 to 180, -90 to 90)</t>
        </is>
      </c>
      <c r="E217" s="4" t="inlineStr">
        <is>
          <t>grid_0.25deg</t>
        </is>
      </c>
      <c r="F217" s="4" t="inlineStr">
        <is>
          <t>1978-11-01 to 2024-12-31 daily (COMBINED/PASSIVE; ACTIVE from 1991-08-05); v09.2</t>
        </is>
      </c>
      <c r="G217" s="4" t="n">
        <v>2024</v>
      </c>
      <c r="H217" s="4" t="inlineStr">
        <is>
          <t>attribution</t>
        </is>
      </c>
      <c r="I217" s="4" t="inlineStr">
        <is>
          <t>no named licence; 'freely accessible', downloadable 'for free and without registration', licensing 'follow[s] the principles of openness and transparency'; citation of three papers compulsory</t>
        </is>
      </c>
      <c r="J217" s="4" t="inlineStr">
        <is>
          <t>open_download</t>
        </is>
      </c>
      <c r="K217" s="4" t="inlineStr">
        <is>
          <t>netcdf (NetCDF-4 classic)</t>
        </is>
      </c>
      <c r="L217" s="4" t="inlineStr">
        <is>
          <t>Needs raster support</t>
        </is>
      </c>
      <c r="M217" s="4" t="n">
        <v>3</v>
      </c>
      <c r="N217" s="4" t="inlineStr"/>
      <c r="O217" s="13" t="inlineStr">
        <is>
          <t>Gold</t>
        </is>
      </c>
      <c r="P217" s="4" t="n">
        <v>98</v>
      </c>
      <c r="Q217" s="17" t="inlineStr">
        <is>
          <t>https://climate.esa.int/en/projects/soil-moisture/</t>
        </is>
      </c>
      <c r="R217" s="4" t="inlineStr">
        <is>
          <t>global_esa_cci_soil_moisture</t>
        </is>
      </c>
    </row>
    <row r="218">
      <c r="A218" s="4" t="inlineStr">
        <is>
          <t>ESA Climate Change Initiative Land Cover (CCI-LC) annual global maps 300 m, 1992-2020 (v2.0.7, v2.1.1) and C3S continuation</t>
        </is>
      </c>
      <c r="B218" s="4" t="inlineStr">
        <is>
          <t>ESA</t>
        </is>
      </c>
      <c r="C218" s="4" t="inlineStr">
        <is>
          <t>environment</t>
        </is>
      </c>
      <c r="D218" s="4" t="inlineStr">
        <is>
          <t>global (90N-90S terrestrial)</t>
        </is>
      </c>
      <c r="E218" s="4" t="inlineStr">
        <is>
          <t>grid_300m</t>
        </is>
      </c>
      <c r="F218" s="4" t="inlineStr">
        <is>
          <t>1992-2020 annual (CCI to 2015, C3S from 2016)</t>
        </is>
      </c>
      <c r="G218" s="4" t="n">
        <v>2020</v>
      </c>
      <c r="H218" s="4" t="inlineStr">
        <is>
          <t>attribution</t>
        </is>
      </c>
      <c r="I218" s="4" t="inlineStr">
        <is>
          <t>ESA CCI terms (no named licence): 'may be used by any user for any purpose'; acknowledgement of ESA CCI, the project and data providers required in presentations/publications; cite dataset DOIs</t>
        </is>
      </c>
      <c r="J218" s="4" t="inlineStr">
        <is>
          <t>open_download</t>
        </is>
      </c>
      <c r="K218" s="4" t="inlineStr">
        <is>
          <t>netcdf; geotiff (user tool)</t>
        </is>
      </c>
      <c r="L218" s="4" t="inlineStr">
        <is>
          <t>Needs raster support</t>
        </is>
      </c>
      <c r="M218" s="4" t="n">
        <v>3</v>
      </c>
      <c r="N218" s="4" t="inlineStr"/>
      <c r="O218" s="13" t="inlineStr">
        <is>
          <t>Gold</t>
        </is>
      </c>
      <c r="P218" s="4" t="n">
        <v>98</v>
      </c>
      <c r="Q218" s="17" t="inlineStr">
        <is>
          <t>https://climate.esa.int/en/projects/land-cover/</t>
        </is>
      </c>
      <c r="R218" s="4" t="inlineStr">
        <is>
          <t>global_esa_cci_land_cover</t>
        </is>
      </c>
    </row>
    <row r="219">
      <c r="A219" s="4" t="inlineStr">
        <is>
          <t>ESA WorldCover 10 m global land cover (2020 v100, 2021 v200)</t>
        </is>
      </c>
      <c r="B219" s="4" t="inlineStr">
        <is>
          <t>ESA</t>
        </is>
      </c>
      <c r="C219" s="4" t="inlineStr">
        <is>
          <t>environment</t>
        </is>
      </c>
      <c r="D219" s="4" t="inlineStr">
        <is>
          <t>global</t>
        </is>
      </c>
      <c r="E219" s="4" t="inlineStr">
        <is>
          <t>grid_10m</t>
        </is>
      </c>
      <c r="F219" s="4" t="inlineStr">
        <is>
          <t>2020 (v100) and 2021 (v200); two annual maps</t>
        </is>
      </c>
      <c r="G219" s="4" t="n">
        <v>2021</v>
      </c>
      <c r="H219" s="4" t="inlineStr">
        <is>
          <t>open</t>
        </is>
      </c>
      <c r="I219" s="4" t="inlineStr">
        <is>
          <t>CC BY 4.0 ('provided free of charge, without restriction of use'; Creative Commons Attribution 4.0 International)</t>
        </is>
      </c>
      <c r="J219" s="4" t="inlineStr">
        <is>
          <t>open_download</t>
        </is>
      </c>
      <c r="K219" s="4" t="inlineStr">
        <is>
          <t>geotiff (COG)</t>
        </is>
      </c>
      <c r="L219" s="4" t="inlineStr">
        <is>
          <t>Needs raster support</t>
        </is>
      </c>
      <c r="M219" s="4" t="n">
        <v>3</v>
      </c>
      <c r="N219" s="4" t="inlineStr"/>
      <c r="O219" s="19" t="inlineStr">
        <is>
          <t>Silver</t>
        </is>
      </c>
      <c r="P219" s="4" t="n">
        <v>91</v>
      </c>
      <c r="Q219" s="17" t="inlineStr">
        <is>
          <t>https://esa-worldcover.org/en</t>
        </is>
      </c>
      <c r="R219" s="4" t="inlineStr">
        <is>
          <t>global_esa_worldcover</t>
        </is>
      </c>
    </row>
    <row r="220">
      <c r="A220" s="4" t="inlineStr">
        <is>
          <t>Exposome Maps / Exposome Data Platform (version 0.5)</t>
        </is>
      </c>
      <c r="B220" s="4" t="inlineStr">
        <is>
          <t>Utrecht University</t>
        </is>
      </c>
      <c r="C220" s="4" t="inlineStr">
        <is>
          <t>environment</t>
        </is>
      </c>
      <c r="D220" s="4" t="inlineStr">
        <is>
          <t>Europe ('for the European Region of your interest'); per-surface coverage in linked table</t>
        </is>
      </c>
      <c r="E220" s="4" t="inlineStr">
        <is>
          <t>grid_</t>
        </is>
      </c>
      <c r="F220" s="4" t="inlineStr">
        <is>
          <t>version 0.5 dated November 2023; years per surface in a linked table (not read)</t>
        </is>
      </c>
      <c r="G220" s="4" t="n">
        <v>2023</v>
      </c>
      <c r="H220" s="4" t="inlineStr">
        <is>
          <t>unknown</t>
        </is>
      </c>
      <c r="I220" s="4" t="inlineStr"/>
      <c r="J220" s="4" t="inlineStr">
        <is>
          <t>mixed: some surfaces direct via the online platform, others by ad-hoc request form</t>
        </is>
      </c>
      <c r="K220" s="4" t="inlineStr">
        <is>
          <t>web_platform; request</t>
        </is>
      </c>
      <c r="L220" s="4" t="inlineStr">
        <is>
          <t>Needs raster support</t>
        </is>
      </c>
      <c r="M220" s="4" t="n">
        <v>3</v>
      </c>
      <c r="N220" s="4" t="inlineStr"/>
      <c r="O220" s="19" t="inlineStr">
        <is>
          <t>Silver</t>
        </is>
      </c>
      <c r="P220" s="4" t="n">
        <v>84</v>
      </c>
      <c r="Q220" s="17" t="inlineStr">
        <is>
          <t>https://www.uu.nl/en/research/life-sciences/collaborate/hubs/utrecht-exposome-hub/tools</t>
        </is>
      </c>
      <c r="R220" s="4" t="inlineStr">
        <is>
          <t>eu_expanse_exposome_maps</t>
        </is>
      </c>
    </row>
    <row r="221">
      <c r="A221" s="4" t="inlineStr">
        <is>
          <t>Fused Air Quality Surfaces Using Downscaling (FAQSD) daily PM2.5 and ozone at census tract centroids</t>
        </is>
      </c>
      <c r="B221" s="4" t="inlineStr">
        <is>
          <t>US EPA</t>
        </is>
      </c>
      <c r="C221" s="4" t="inlineStr">
        <is>
          <t>environment</t>
        </is>
      </c>
      <c r="D221" s="4" t="inlineStr">
        <is>
          <t>CONUS (conterminous United States)</t>
        </is>
      </c>
      <c r="E221" s="4" t="inlineStr">
        <is>
          <t>point (2010 US Census tract centroids, 11-digit FIPS); inputs grid_12km (36 km for 2002-2006)</t>
        </is>
      </c>
      <c r="F221" s="4" t="inlineStr">
        <is>
          <t>2002-2022 daily (CONUS outputs and inputs)</t>
        </is>
      </c>
      <c r="G221" s="4" t="n">
        <v>2022</v>
      </c>
      <c r="H221" s="4" t="inlineStr">
        <is>
          <t>unknown</t>
        </is>
      </c>
      <c r="I221" s="4" t="inlineStr">
        <is>
          <t>custom terms (2016 metadata PDF): 'May be shared publically'; 'Access for specific applications within use constraints'; 'Collaboration with EPA in these studies is expected'; EPA no-warranty disclaimer. No formal licence named.</t>
        </is>
      </c>
      <c r="J221" s="4" t="inlineStr">
        <is>
          <t>open_download</t>
        </is>
      </c>
      <c r="K221" s="4" t="inlineStr">
        <is>
          <t>csv (zipped); txt.gz (daily outputs); zip (CMAQ inputs)</t>
        </is>
      </c>
      <c r="L221" s="4" t="inlineStr">
        <is>
          <t>Needs raster support</t>
        </is>
      </c>
      <c r="M221" s="4" t="n">
        <v>3</v>
      </c>
      <c r="N221" s="4" t="inlineStr"/>
      <c r="O221" s="19" t="inlineStr">
        <is>
          <t>Silver</t>
        </is>
      </c>
      <c r="P221" s="4" t="n">
        <v>84</v>
      </c>
      <c r="Q221" s="17" t="inlineStr">
        <is>
          <t>https://www.epa.gov/hesc/rsig-related-downloadable-data-files</t>
        </is>
      </c>
      <c r="R221" s="4" t="inlineStr">
        <is>
          <t>us_epa_faqsd</t>
        </is>
      </c>
    </row>
    <row r="222">
      <c r="A222" s="4" t="inlineStr">
        <is>
          <t>Global Reservoir and Dam Database (GRanD), v1.01 / v1.1 (SEDAC); v1.3 at Global Dam Watch</t>
        </is>
      </c>
      <c r="B222" s="4" t="inlineStr">
        <is>
          <t>Global Water System Project / McGill University (Lehner et al.)</t>
        </is>
      </c>
      <c r="C222" s="4" t="inlineStr">
        <is>
          <t>environment</t>
        </is>
      </c>
      <c r="D222" s="4" t="inlineStr">
        <is>
          <t>global (bbox N 70.4, S -45.88, E 176.82, W -153.03)</t>
        </is>
      </c>
      <c r="E222" s="4" t="inlineStr">
        <is>
          <t>polygon</t>
        </is>
      </c>
      <c r="F222" s="4" t="inlineStr">
        <is>
          <t>2011-01-01 to 2011-12-31 (metadata temporal extent); published and last updated 2011-12-22</t>
        </is>
      </c>
      <c r="G222" s="4" t="n">
        <v>2011</v>
      </c>
      <c r="H222" s="4" t="inlineStr">
        <is>
          <t>open</t>
        </is>
      </c>
      <c r="I222" s="4" t="inlineStr">
        <is>
          <t>openly shared, without restriction, in accordance with the EOSDIS Data Use and Citation Guidance</t>
        </is>
      </c>
      <c r="J222" s="4" t="inlineStr">
        <is>
          <t>registration</t>
        </is>
      </c>
      <c r="K222" s="4" t="inlineStr">
        <is>
          <t>shp; pdf; png; wms</t>
        </is>
      </c>
      <c r="L222" s="4" t="inlineStr">
        <is>
          <t>Needs a count/distance step</t>
        </is>
      </c>
      <c r="M222" s="4" t="n">
        <v>3</v>
      </c>
      <c r="N222" s="4" t="inlineStr"/>
      <c r="O222" s="19" t="inlineStr">
        <is>
          <t>Silver</t>
        </is>
      </c>
      <c r="P222" s="4" t="n">
        <v>85</v>
      </c>
      <c r="Q222" s="17" t="inlineStr">
        <is>
          <t>https://doi.org/10.7927/H4N877QK</t>
        </is>
      </c>
      <c r="R222" s="4" t="inlineStr">
        <is>
          <t>global_sedac_grand_v1</t>
        </is>
      </c>
    </row>
    <row r="223">
      <c r="A223" s="4" t="inlineStr">
        <is>
          <t>GRACE/GRACE-FO Monthly Mass Grids - Global Mascons (JPL RL06.3M v04, CRI filtered)</t>
        </is>
      </c>
      <c r="B223" s="4" t="inlineStr">
        <is>
          <t>NASA</t>
        </is>
      </c>
      <c r="C223" s="4" t="inlineStr">
        <is>
          <t>environment</t>
        </is>
      </c>
      <c r="D223" s="4" t="inlineStr">
        <is>
          <t>global</t>
        </is>
      </c>
      <c r="E223" s="4" t="inlineStr">
        <is>
          <t>grid_0.5deg</t>
        </is>
      </c>
      <c r="F223" s="4" t="inlineStr">
        <is>
          <t>ongoing monthly series; new months added as released (start date not stated on page; time-mean baseline 2004-2009; gaps in GRACE and GRACE-FO records noted)</t>
        </is>
      </c>
      <c r="G223" s="4" t="n">
        <v>2026</v>
      </c>
      <c r="H223" s="4" t="inlineStr">
        <is>
          <t>public_domain_us_federal</t>
        </is>
      </c>
      <c r="I223" s="4" t="inlineStr">
        <is>
          <t>no licence stated; acknowledgement and citation requested (Wiese et al. 2018, DOI 10.5067/TEMSC-3MJC6)</t>
        </is>
      </c>
      <c r="J223" s="4" t="inlineStr">
        <is>
          <t>open_download (PO.DAAC download link; login requirement not stated on landing page)</t>
        </is>
      </c>
      <c r="K223" s="4" t="inlineStr">
        <is>
          <t>netcdf</t>
        </is>
      </c>
      <c r="L223" s="4" t="inlineStr">
        <is>
          <t>Needs raster support</t>
        </is>
      </c>
      <c r="M223" s="4" t="n">
        <v>3</v>
      </c>
      <c r="N223" s="4" t="inlineStr"/>
      <c r="O223" s="19" t="inlineStr">
        <is>
          <t>Silver</t>
        </is>
      </c>
      <c r="P223" s="4" t="n">
        <v>85</v>
      </c>
      <c r="Q223" s="17" t="inlineStr">
        <is>
          <t>https://grace.jpl.nasa.gov/data/get-data/jpl_global_mascons/</t>
        </is>
      </c>
      <c r="R223" s="4" t="inlineStr">
        <is>
          <t>global_nasa_grace_jpl_mascons</t>
        </is>
      </c>
    </row>
    <row r="224">
      <c r="A224" s="4" t="inlineStr">
        <is>
          <t>Green Book Nonattainment Areas data download</t>
        </is>
      </c>
      <c r="B224" s="4" t="inlineStr">
        <is>
          <t>US EPA</t>
        </is>
      </c>
      <c r="C224" s="4" t="inlineStr">
        <is>
          <t>environment</t>
        </is>
      </c>
      <c r="D224" s="4" t="inlineStr">
        <is>
          <t>US</t>
        </is>
      </c>
      <c r="E224" s="4" t="inlineStr">
        <is>
          <t>county</t>
        </is>
      </c>
      <c r="F224" s="4" t="inlineStr">
        <is>
          <t>1992-present (PHISTORY: all counties in nonattainment areas 'from 1992 to the present'); other files 'as of the Green Book posting date'</t>
        </is>
      </c>
      <c r="G224" s="4" t="n">
        <v>2026</v>
      </c>
      <c r="H224" s="4" t="inlineStr">
        <is>
          <t>public_domain_us_federal</t>
        </is>
      </c>
      <c r="I224" s="4" t="inlineStr"/>
      <c r="J224" s="4" t="inlineStr">
        <is>
          <t>open_download</t>
        </is>
      </c>
      <c r="K224" s="4" t="inlineStr">
        <is>
          <t>dbf; xls (GIS/shapefile download on a separate page, not visited)</t>
        </is>
      </c>
      <c r="L224" s="4" t="inlineStr">
        <is>
          <t>Joins today</t>
        </is>
      </c>
      <c r="M224" s="4" t="n">
        <v>3</v>
      </c>
      <c r="N224" s="4" t="inlineStr"/>
      <c r="O224" s="13" t="inlineStr">
        <is>
          <t>Gold</t>
        </is>
      </c>
      <c r="P224" s="4" t="n">
        <v>93</v>
      </c>
      <c r="Q224" s="17" t="inlineStr">
        <is>
          <t>https://www.epa.gov/green-book/green-book-data-download</t>
        </is>
      </c>
      <c r="R224" s="4" t="inlineStr">
        <is>
          <t>us_epa_green_book_nonattainment</t>
        </is>
      </c>
    </row>
    <row r="225">
      <c r="A225" s="4" t="inlineStr">
        <is>
          <t>Greenhouse Gas Reporting Program (GHGRP) facility-level emissions data sets</t>
        </is>
      </c>
      <c r="B225" s="4" t="inlineStr">
        <is>
          <t>US EPA</t>
        </is>
      </c>
      <c r="C225" s="4" t="inlineStr">
        <is>
          <t>environment</t>
        </is>
      </c>
      <c r="D225" s="4" t="inlineStr">
        <is>
          <t>US (facilities subject to GHGRP; summaries by state, tribal lands, EPA region)</t>
        </is>
      </c>
      <c r="E225" s="4" t="inlineStr">
        <is>
          <t>point</t>
        </is>
      </c>
      <c r="F225" s="4" t="inlineStr">
        <is>
          <t>2010 onwards (subpart files 'across all reporting years (2010 onwards)'); most recent publicly available reporting year 2023</t>
        </is>
      </c>
      <c r="G225" s="4" t="n">
        <v>2023</v>
      </c>
      <c r="H225" s="4" t="inlineStr">
        <is>
          <t>public_domain_us_federal</t>
        </is>
      </c>
      <c r="I225" s="4" t="inlineStr"/>
      <c r="J225" s="4" t="inlineStr">
        <is>
          <t>open_download</t>
        </is>
      </c>
      <c r="K225" s="4" t="inlineStr">
        <is>
          <t>zip; xlsx; xlsb</t>
        </is>
      </c>
      <c r="L225" s="4" t="inlineStr">
        <is>
          <t>Needs a count/distance step</t>
        </is>
      </c>
      <c r="M225" s="4" t="n">
        <v>3</v>
      </c>
      <c r="N225" s="4" t="inlineStr"/>
      <c r="O225" s="19" t="inlineStr">
        <is>
          <t>Silver</t>
        </is>
      </c>
      <c r="P225" s="4" t="n">
        <v>93</v>
      </c>
      <c r="Q225" s="17" t="inlineStr">
        <is>
          <t>https://www.epa.gov/ghgreporting/data-sets</t>
        </is>
      </c>
      <c r="R225" s="4" t="inlineStr">
        <is>
          <t>us_epa_ghgrp</t>
        </is>
      </c>
    </row>
    <row r="226">
      <c r="A226" s="4" t="inlineStr">
        <is>
          <t>HAQAST Sentinel-5P TROPOMI Nitrogen Dioxide (NO2) CONUS Monthly Level 3 0.01 x 0.01 Degree Gridded Data V2.4</t>
        </is>
      </c>
      <c r="B226" s="4" t="inlineStr">
        <is>
          <t>NASA GES DISC</t>
        </is>
      </c>
      <c r="C226" s="4" t="inlineStr">
        <is>
          <t>environment</t>
        </is>
      </c>
      <c r="D226" s="4" t="inlineStr">
        <is>
          <t>Continental United States (bbox N 49.49, S 24.5, E -66.76, W -124.75)</t>
        </is>
      </c>
      <c r="E226" s="4" t="inlineStr">
        <is>
          <t>grid_0.01deg</t>
        </is>
      </c>
      <c r="F226" s="4" t="inlineStr">
        <is>
          <t>2018-05-01 to present, monthly</t>
        </is>
      </c>
      <c r="G226" s="4" t="n">
        <v>2026</v>
      </c>
      <c r="H226" s="4" t="inlineStr">
        <is>
          <t>open</t>
        </is>
      </c>
      <c r="I226" s="4" t="inlineStr">
        <is>
          <t>openly shared, without restriction, in accordance with the EOSDIS Data Use and Citation Guidance</t>
        </is>
      </c>
      <c r="J226" s="4" t="inlineStr">
        <is>
          <t>cloud-enabled GES DISC dataset; download method and Earthdata Login requirement not stated on page</t>
        </is>
      </c>
      <c r="K226" s="4" t="inlineStr">
        <is>
          <t>netcdf (cloud enabled; format not stated on page)</t>
        </is>
      </c>
      <c r="L226" s="4" t="inlineStr">
        <is>
          <t>Needs raster support</t>
        </is>
      </c>
      <c r="M226" s="4" t="n">
        <v>3</v>
      </c>
      <c r="N226" s="4" t="inlineStr"/>
      <c r="O226" s="19" t="inlineStr">
        <is>
          <t>Silver</t>
        </is>
      </c>
      <c r="P226" s="4" t="n">
        <v>95</v>
      </c>
      <c r="Q226" s="17" t="inlineStr">
        <is>
          <t>https://www.earthdata.nasa.gov/data/catalog/ges-disc-haq-tropomi-no2-conus-m-l3-2.4</t>
        </is>
      </c>
      <c r="R226" s="4" t="inlineStr">
        <is>
          <t>us_nasa_haqast_tropomi_no2_conus_monthly</t>
        </is>
      </c>
    </row>
    <row r="227">
      <c r="A227" s="4" t="inlineStr">
        <is>
          <t>HLS Landsat Operational Land Imager Surface Reflectance and TOA Brightness Daily Global 30m v2.0 (HLSL30)</t>
        </is>
      </c>
      <c r="B227" s="4" t="inlineStr">
        <is>
          <t>NASA</t>
        </is>
      </c>
      <c r="C227" s="4" t="inlineStr">
        <is>
          <t>environment</t>
        </is>
      </c>
      <c r="D227" s="4" t="inlineStr">
        <is>
          <t>global (bounds N 90, S -90, E 180, W -180)</t>
        </is>
      </c>
      <c r="E227" s="4" t="inlineStr">
        <is>
          <t>grid_30m</t>
        </is>
      </c>
      <c r="F227" s="4" t="inlineStr">
        <is>
          <t>2013-04-11 to present; temporal resolution 1 day</t>
        </is>
      </c>
      <c r="G227" s="4" t="n">
        <v>2026</v>
      </c>
      <c r="H227" s="4" t="inlineStr">
        <is>
          <t>open</t>
        </is>
      </c>
      <c r="I227" s="4" t="inlineStr">
        <is>
          <t>openly shared, without restriction, in accordance with the EOSDIS Data Use and Citation Guidance</t>
        </is>
      </c>
      <c r="J227" s="4" t="inlineStr">
        <is>
          <t>cloud (NASA cloud storage) and Earthdata Search download; Earthdata Login linked but requirement not stated explicitly</t>
        </is>
      </c>
      <c r="K227" s="4" t="inlineStr">
        <is>
          <t>geotiff (COG, one file per band)</t>
        </is>
      </c>
      <c r="L227" s="4" t="inlineStr">
        <is>
          <t>Needs raster support</t>
        </is>
      </c>
      <c r="M227" s="4" t="n">
        <v>3</v>
      </c>
      <c r="N227" s="4" t="inlineStr"/>
      <c r="O227" s="19" t="inlineStr">
        <is>
          <t>Silver</t>
        </is>
      </c>
      <c r="P227" s="4" t="n">
        <v>95</v>
      </c>
      <c r="Q227" s="17" t="inlineStr">
        <is>
          <t>https://www.earthdata.nasa.gov/data/catalog/lpcloud-hlsl30-2.0</t>
        </is>
      </c>
      <c r="R227" s="4" t="inlineStr">
        <is>
          <t>global_nasa_hlsl30_v002</t>
        </is>
      </c>
    </row>
    <row r="228">
      <c r="A228" s="4" t="inlineStr">
        <is>
          <t>HydroSHEDS products: HydroSHEDS core (v1, v2), HydroBASINS, HydroRIVERS, HydroLAKES, HydroATLAS (BasinATLAS/RiverATLAS/LakeATLAS), GLWD v2</t>
        </is>
      </c>
      <c r="B228" s="4" t="inlineStr">
        <is>
          <t>HydroSHEDS (WWF / McGill University; Lehner et al.)</t>
        </is>
      </c>
      <c r="C228" s="4" t="inlineStr">
        <is>
          <t>environment</t>
        </is>
      </c>
      <c r="D228" s="4" t="inlineStr">
        <is>
          <t>v1 core: near-global (regions above 60N from HYDRO1k, not at 3 arcsec); v2 core: North and South America so far; secondary vector products 'globally consistent'</t>
        </is>
      </c>
      <c r="E228" s="4" t="inlineStr">
        <is>
          <t>grid_3arcsec</t>
        </is>
      </c>
      <c r="F228" s="4" t="inlineStr">
        <is>
          <t>SRTM 2000 epoch (v1); TanDEM-X (v2); static</t>
        </is>
      </c>
      <c r="G228" s="4" t="n">
        <v>2024</v>
      </c>
      <c r="H228" s="4" t="inlineStr">
        <is>
          <t>open</t>
        </is>
      </c>
      <c r="I228" s="4" t="inlineStr">
        <is>
          <t>custom HydroSHEDS licence agreement: 'freely available for scientific, educational and commercial use'; full terms in the Technical Documentation (not read); CC BY 4.0 not stated on either page</t>
        </is>
      </c>
      <c r="J228" s="4" t="inlineStr">
        <is>
          <t>open_download</t>
        </is>
      </c>
      <c r="K228" s="4" t="inlineStr">
        <is>
          <t>geotiff; shp; gdb</t>
        </is>
      </c>
      <c r="L228" s="4" t="inlineStr">
        <is>
          <t>Needs raster support</t>
        </is>
      </c>
      <c r="M228" s="4" t="n">
        <v>3</v>
      </c>
      <c r="N228" s="4" t="inlineStr"/>
      <c r="O228" s="19" t="inlineStr">
        <is>
          <t>Silver</t>
        </is>
      </c>
      <c r="P228" s="4" t="n">
        <v>95</v>
      </c>
      <c r="Q228" s="17" t="inlineStr">
        <is>
          <t>https://www.hydrosheds.org/products</t>
        </is>
      </c>
      <c r="R228" s="4" t="inlineStr">
        <is>
          <t>global_hydrosheds</t>
        </is>
      </c>
    </row>
    <row r="229">
      <c r="A229" s="4" t="inlineStr">
        <is>
          <t>Landsat Collection 2 (Level-1; Level-2 Surface Reflectance and Surface Temperature; U.S. ARD)</t>
        </is>
      </c>
      <c r="B229" s="4" t="inlineStr">
        <is>
          <t>U.S. Geological Survey</t>
        </is>
      </c>
      <c r="C229" s="4" t="inlineStr">
        <is>
          <t>environment</t>
        </is>
      </c>
      <c r="D229" s="4" t="inlineStr">
        <is>
          <t>global (Level-2 surface reflectance/temperature); conterminous U.S. (U.S. ARD)</t>
        </is>
      </c>
      <c r="E229" s="4" t="inlineStr">
        <is>
          <t>grid_30m</t>
        </is>
      </c>
      <c r="F229" s="4" t="inlineStr">
        <is>
          <t>Level-1: 1972-present; Level-2 SR/ST: 1982-present; U.S. ARD: 1982-present (ongoing)</t>
        </is>
      </c>
      <c r="G229" s="4" t="n">
        <v>2026</v>
      </c>
      <c r="H229" s="4" t="inlineStr">
        <is>
          <t>open</t>
        </is>
      </c>
      <c r="I229" s="4" t="inlineStr">
        <is>
          <t>USGS Landsat no-cost open data policy (free and open since 2008); public domain not stated on the pages read</t>
        </is>
      </c>
      <c r="J229" s="4" t="inlineStr">
        <is>
          <t>registration (free USGS account for EarthExplorer/GloVis); api (M2M RESTful JSON); cloud (AWS)</t>
        </is>
      </c>
      <c r="K229" s="4" t="inlineStr">
        <is>
          <t>COG GeoTIFF; MTL/XML metadata</t>
        </is>
      </c>
      <c r="L229" s="4" t="inlineStr">
        <is>
          <t>Needs raster support</t>
        </is>
      </c>
      <c r="M229" s="4" t="n">
        <v>3</v>
      </c>
      <c r="N229" s="4" t="inlineStr"/>
      <c r="O229" s="19" t="inlineStr">
        <is>
          <t>Silver</t>
        </is>
      </c>
      <c r="P229" s="4" t="n">
        <v>92</v>
      </c>
      <c r="Q229" s="17" t="inlineStr">
        <is>
          <t>https://www.usgs.gov/landsat-missions/landsat-collection-2</t>
        </is>
      </c>
      <c r="R229" s="4" t="inlineStr">
        <is>
          <t>global_usgs_landsat_collection2</t>
        </is>
      </c>
    </row>
    <row r="230">
      <c r="A230" s="4" t="inlineStr">
        <is>
          <t>MODIS/Terra Land Surface Temperature/Emissivity 8-Day L3 Global 1km SIN Grid V061 (MOD11A2)</t>
        </is>
      </c>
      <c r="B230" s="4" t="inlineStr">
        <is>
          <t>NASA</t>
        </is>
      </c>
      <c r="C230" s="4" t="inlineStr">
        <is>
          <t>environment</t>
        </is>
      </c>
      <c r="D230" s="4" t="inlineStr">
        <is>
          <t>global (N 90, S -90, E 180, W -180)</t>
        </is>
      </c>
      <c r="E230" s="4" t="inlineStr">
        <is>
          <t>grid_1km</t>
        </is>
      </c>
      <c r="F230" s="4" t="inlineStr">
        <is>
          <t>2000-02-18 to present (8-day composites)</t>
        </is>
      </c>
      <c r="G230" s="4" t="n">
        <v>2026</v>
      </c>
      <c r="H230" s="4" t="inlineStr">
        <is>
          <t>open</t>
        </is>
      </c>
      <c r="I230" s="4" t="inlineStr">
        <is>
          <t>openly shared without restriction per EOSDIS Data Use and Citation Guidance; guidance page: NASA-led mission data 'licensed as Creative Commons Zero (CC0)' unless marked otherwise; citation strongly urged</t>
        </is>
      </c>
      <c r="J230" s="4" t="inlineStr">
        <is>
          <t>registration</t>
        </is>
      </c>
      <c r="K230" s="4" t="inlineStr">
        <is>
          <t>HDF-EOS2 (.hdf)</t>
        </is>
      </c>
      <c r="L230" s="4" t="inlineStr">
        <is>
          <t>Needs raster support</t>
        </is>
      </c>
      <c r="M230" s="4" t="n">
        <v>3</v>
      </c>
      <c r="N230" s="4" t="inlineStr"/>
      <c r="O230" s="19" t="inlineStr">
        <is>
          <t>Silver</t>
        </is>
      </c>
      <c r="P230" s="4" t="n">
        <v>100</v>
      </c>
      <c r="Q230" s="17" t="inlineStr">
        <is>
          <t>https://www.earthdata.nasa.gov/data/catalog/lpcloud-mod11a2-061</t>
        </is>
      </c>
      <c r="R230" s="4" t="inlineStr">
        <is>
          <t>global_nasa_mod11a2_v061</t>
        </is>
      </c>
    </row>
    <row r="231">
      <c r="A231" s="4" t="inlineStr">
        <is>
          <t>MODIS/Terra Snow Cover Daily L3 Global 500m SIN Grid, Version 61 (MOD10A1)</t>
        </is>
      </c>
      <c r="B231" s="4" t="inlineStr">
        <is>
          <t>NASA</t>
        </is>
      </c>
      <c r="C231" s="4" t="inlineStr">
        <is>
          <t>environment</t>
        </is>
      </c>
      <c r="D231" s="4" t="inlineStr">
        <is>
          <t>global (90N to 90S, 180E to 180W), 10 x 10 degree sinusoidal tiles</t>
        </is>
      </c>
      <c r="E231" s="4" t="inlineStr">
        <is>
          <t>grid_500m</t>
        </is>
      </c>
      <c r="F231" s="4" t="inlineStr">
        <is>
          <t>24 February 2000 to present (daily)</t>
        </is>
      </c>
      <c r="G231" s="4" t="n">
        <v>2026</v>
      </c>
      <c r="H231" s="4" t="inlineStr">
        <is>
          <t>attribution</t>
        </is>
      </c>
      <c r="I231" s="4" t="inlineStr">
        <is>
          <t>NSIDC citation policy: 'As a condition of using these data, you must cite the use of this data set'; no licence named</t>
        </is>
      </c>
      <c r="J231" s="4" t="inlineStr">
        <is>
          <t>registration</t>
        </is>
      </c>
      <c r="K231" s="4" t="inlineStr">
        <is>
          <t>HDF-EOS2</t>
        </is>
      </c>
      <c r="L231" s="4" t="inlineStr">
        <is>
          <t>Needs raster support</t>
        </is>
      </c>
      <c r="M231" s="4" t="n">
        <v>3</v>
      </c>
      <c r="N231" s="4" t="inlineStr"/>
      <c r="O231" s="19" t="inlineStr">
        <is>
          <t>Silver</t>
        </is>
      </c>
      <c r="P231" s="4" t="n">
        <v>95</v>
      </c>
      <c r="Q231" s="17" t="inlineStr">
        <is>
          <t>https://nsidc.org/data/mod10a1/versions/61</t>
        </is>
      </c>
      <c r="R231" s="4" t="inlineStr">
        <is>
          <t>global_nasa_mod10a1_v061</t>
        </is>
      </c>
    </row>
    <row r="232">
      <c r="A232" s="4" t="inlineStr">
        <is>
          <t>MODIS/Terra Vegetation Indices 16-Day L3 Global 1km SIN Grid V061 (MOD13A2)</t>
        </is>
      </c>
      <c r="B232" s="4" t="inlineStr">
        <is>
          <t>NASA</t>
        </is>
      </c>
      <c r="C232" s="4" t="inlineStr">
        <is>
          <t>environment</t>
        </is>
      </c>
      <c r="D232" s="4" t="inlineStr">
        <is>
          <t>global (N 90, S -90, E 180, W -180; Location GLOBAL)</t>
        </is>
      </c>
      <c r="E232" s="4" t="inlineStr">
        <is>
          <t>grid_1km</t>
        </is>
      </c>
      <c r="F232" s="4" t="inlineStr">
        <is>
          <t>2000-02-18 to Present, 16-day</t>
        </is>
      </c>
      <c r="G232" s="4" t="n">
        <v>2026</v>
      </c>
      <c r="H232" s="4" t="inlineStr">
        <is>
          <t>open</t>
        </is>
      </c>
      <c r="I232" s="4" t="inlineStr">
        <is>
          <t>openly shared, without restriction, in accordance with the EOSDIS Data Use and Citation Guidance</t>
        </is>
      </c>
      <c r="J232" s="4" t="inlineStr">
        <is>
          <t>registration</t>
        </is>
      </c>
      <c r="K232" s="4" t="inlineStr">
        <is>
          <t>hdf (HDF-EOS2 / HDF4)</t>
        </is>
      </c>
      <c r="L232" s="4" t="inlineStr">
        <is>
          <t>Needs raster support</t>
        </is>
      </c>
      <c r="M232" s="4" t="n">
        <v>3</v>
      </c>
      <c r="N232" s="4" t="inlineStr"/>
      <c r="O232" s="19" t="inlineStr">
        <is>
          <t>Silver</t>
        </is>
      </c>
      <c r="P232" s="4" t="n">
        <v>100</v>
      </c>
      <c r="Q232" s="17" t="inlineStr">
        <is>
          <t>https://www.earthdata.nasa.gov/data/catalog/lpcloud-mod13a2-061</t>
        </is>
      </c>
      <c r="R232" s="4" t="inlineStr">
        <is>
          <t>global_nasa_mod13a2_v061</t>
        </is>
      </c>
    </row>
    <row r="233">
      <c r="A233" s="4" t="inlineStr">
        <is>
          <t>MODIS/Terra+Aqua Land Aerosol Optical Depth Daily L2G Global 1km SIN Grid V061 (MCD19A2, MAIAC)</t>
        </is>
      </c>
      <c r="B233" s="4" t="inlineStr">
        <is>
          <t>NASA</t>
        </is>
      </c>
      <c r="C233" s="4" t="inlineStr">
        <is>
          <t>environment</t>
        </is>
      </c>
      <c r="D233" s="4" t="inlineStr">
        <is>
          <t>global (N 90, S -90, E 180, W -180; Location GLOBAL)</t>
        </is>
      </c>
      <c r="E233" s="4" t="inlineStr">
        <is>
          <t>grid_1km</t>
        </is>
      </c>
      <c r="F233" s="4" t="inlineStr">
        <is>
          <t>2000-02-24 to Present, daily</t>
        </is>
      </c>
      <c r="G233" s="4" t="n">
        <v>2026</v>
      </c>
      <c r="H233" s="4" t="inlineStr">
        <is>
          <t>open</t>
        </is>
      </c>
      <c r="I233" s="4" t="inlineStr">
        <is>
          <t>openly shared, without restriction, in accordance with the EOSDIS Data Use and Citation Guidance</t>
        </is>
      </c>
      <c r="J233" s="4" t="inlineStr">
        <is>
          <t>registration</t>
        </is>
      </c>
      <c r="K233" s="4" t="inlineStr">
        <is>
          <t>hdf (HDF-EOS2 / HDF4)</t>
        </is>
      </c>
      <c r="L233" s="4" t="inlineStr">
        <is>
          <t>Needs raster support</t>
        </is>
      </c>
      <c r="M233" s="4" t="n">
        <v>3</v>
      </c>
      <c r="N233" s="4" t="inlineStr"/>
      <c r="O233" s="19" t="inlineStr">
        <is>
          <t>Silver</t>
        </is>
      </c>
      <c r="P233" s="4" t="n">
        <v>100</v>
      </c>
      <c r="Q233" s="17" t="inlineStr">
        <is>
          <t>https://www.earthdata.nasa.gov/data/catalog/lpcloud-mcd19a2-061</t>
        </is>
      </c>
      <c r="R233" s="4" t="inlineStr">
        <is>
          <t>global_nasa_modis_mcd19a2_aod</t>
        </is>
      </c>
    </row>
    <row r="234">
      <c r="A234" s="4" t="inlineStr">
        <is>
          <t>MODIS/Terra+Aqua Land Cover Type Yearly L3 Global 500m SIN Grid V061 (MCD12Q1)</t>
        </is>
      </c>
      <c r="B234" s="4" t="inlineStr">
        <is>
          <t>NASA</t>
        </is>
      </c>
      <c r="C234" s="4" t="inlineStr">
        <is>
          <t>environment</t>
        </is>
      </c>
      <c r="D234" s="4" t="inlineStr">
        <is>
          <t>global (N 90, S -90, E 180, W -180; Location GLOBAL)</t>
        </is>
      </c>
      <c r="E234" s="4" t="inlineStr">
        <is>
          <t>grid_500m</t>
        </is>
      </c>
      <c r="F234" s="4" t="inlineStr">
        <is>
          <t>2001-01-01 to Present, annual (example granule for 2024: MCD12Q1.A2024001...)</t>
        </is>
      </c>
      <c r="G234" s="4" t="n">
        <v>2026</v>
      </c>
      <c r="H234" s="4" t="inlineStr">
        <is>
          <t>open</t>
        </is>
      </c>
      <c r="I234" s="4" t="inlineStr">
        <is>
          <t>openly shared, without restriction, in accordance with the EOSDIS Data Use and Citation Guidance</t>
        </is>
      </c>
      <c r="J234" s="4" t="inlineStr">
        <is>
          <t>registration</t>
        </is>
      </c>
      <c r="K234" s="4" t="inlineStr">
        <is>
          <t>hdf (HDF-EOS2 / HDF4)</t>
        </is>
      </c>
      <c r="L234" s="4" t="inlineStr">
        <is>
          <t>Needs raster support</t>
        </is>
      </c>
      <c r="M234" s="4" t="n">
        <v>3</v>
      </c>
      <c r="N234" s="4" t="inlineStr"/>
      <c r="O234" s="19" t="inlineStr">
        <is>
          <t>Silver</t>
        </is>
      </c>
      <c r="P234" s="4" t="n">
        <v>100</v>
      </c>
      <c r="Q234" s="17" t="inlineStr">
        <is>
          <t>https://www.earthdata.nasa.gov/data/catalog/lpcloud-mcd12q1-061</t>
        </is>
      </c>
      <c r="R234" s="4" t="inlineStr">
        <is>
          <t>global_nasa_mcd12q1_v061</t>
        </is>
      </c>
    </row>
    <row r="235">
      <c r="A235" s="4" t="inlineStr">
        <is>
          <t>NASADEM Merged DEM Global 1 arc second V001 (NASADEM_HGT)</t>
        </is>
      </c>
      <c r="B235" s="4" t="inlineStr">
        <is>
          <t>NASA</t>
        </is>
      </c>
      <c r="C235" s="4" t="inlineStr">
        <is>
          <t>environment</t>
        </is>
      </c>
      <c r="D235" s="4" t="inlineStr">
        <is>
          <t>global land between 60 N and 56 S (extent N 60, S -56, E 180, W -180; Location GLOBAL LAND)</t>
        </is>
      </c>
      <c r="E235" s="4" t="inlineStr">
        <is>
          <t>grid_30m</t>
        </is>
      </c>
      <c r="F235" s="4" t="inlineStr">
        <is>
          <t>2000-02-11 to 2000-02-21 (single SRTM epoch; temporal resolution 11 Day)</t>
        </is>
      </c>
      <c r="G235" s="4" t="n">
        <v>2000</v>
      </c>
      <c r="H235" s="4" t="inlineStr">
        <is>
          <t>open</t>
        </is>
      </c>
      <c r="I235" s="4" t="inlineStr">
        <is>
          <t>openly shared, without restriction, in accordance with the EOSDIS Data Use and Citation Guidance</t>
        </is>
      </c>
      <c r="J235" s="4" t="inlineStr">
        <is>
          <t>registration</t>
        </is>
      </c>
      <c r="K235" s="4" t="inlineStr">
        <is>
          <t>hgt (NetCDF4 version offered only as the separate NASADEM_NC dataset)</t>
        </is>
      </c>
      <c r="L235" s="4" t="inlineStr">
        <is>
          <t>Needs raster support</t>
        </is>
      </c>
      <c r="M235" s="4" t="n">
        <v>3</v>
      </c>
      <c r="N235" s="4" t="inlineStr"/>
      <c r="O235" s="19" t="inlineStr">
        <is>
          <t>Silver</t>
        </is>
      </c>
      <c r="P235" s="4" t="n">
        <v>96</v>
      </c>
      <c r="Q235" s="17" t="inlineStr">
        <is>
          <t>https://www.earthdata.nasa.gov/data/catalog/lpcloud-nasadem-hgt-001</t>
        </is>
      </c>
      <c r="R235" s="4" t="inlineStr">
        <is>
          <t>global_nasa_nasadem</t>
        </is>
      </c>
    </row>
    <row r="236">
      <c r="A236" s="4" t="inlineStr">
        <is>
          <t>National Air Pollution Surveillance (NAPS) Program data</t>
        </is>
      </c>
      <c r="B236" s="4" t="inlineStr">
        <is>
          <t>Environment and Climate Change Canada</t>
        </is>
      </c>
      <c r="C236" s="4" t="inlineStr">
        <is>
          <t>environment</t>
        </is>
      </c>
      <c r="D236" s="4" t="inlineStr">
        <is>
          <t>Canada-wide (almost 280 stations, urban and rural)</t>
        </is>
      </c>
      <c r="E236" s="4" t="inlineStr">
        <is>
          <t>point</t>
        </is>
      </c>
      <c r="F236" s="4" t="inlineStr">
        <is>
          <t>program established 1969; status Ongoing; no explicit start/end range on page</t>
        </is>
      </c>
      <c r="G236" s="4" t="n">
        <v>2026</v>
      </c>
      <c r="H236" s="4" t="inlineStr">
        <is>
          <t>open</t>
        </is>
      </c>
      <c r="I236" s="4" t="inlineStr">
        <is>
          <t>Open Government Licence - Canada</t>
        </is>
      </c>
      <c r="J236" s="4" t="inlineStr">
        <is>
          <t>open_download</t>
        </is>
      </c>
      <c r="K236" s="4" t="inlineStr">
        <is>
          <t>csv (Data Query Tool); zip (ECCC Data Catalogue); html</t>
        </is>
      </c>
      <c r="L236" s="4" t="inlineStr">
        <is>
          <t>Needs a count/distance step</t>
        </is>
      </c>
      <c r="M236" s="4" t="n">
        <v>3</v>
      </c>
      <c r="N236" s="4" t="inlineStr"/>
      <c r="O236" s="19" t="inlineStr">
        <is>
          <t>Silver</t>
        </is>
      </c>
      <c r="P236" s="4" t="n">
        <v>92</v>
      </c>
      <c r="Q236" s="17" t="inlineStr">
        <is>
          <t>https://open.canada.ca/data/en/dataset/1b36a356-defd-4813-acea-47bc3abd859b</t>
        </is>
      </c>
      <c r="R236" s="4" t="inlineStr">
        <is>
          <t>ca_eccc_naps</t>
        </is>
      </c>
    </row>
    <row r="237">
      <c r="A237" s="4" t="inlineStr">
        <is>
          <t>National Environmental Public Health Tracking Network</t>
        </is>
      </c>
      <c r="B237" s="4" t="inlineStr">
        <is>
          <t>CDC</t>
        </is>
      </c>
      <c r="C237" s="4" t="inlineStr">
        <is>
          <t>environment</t>
        </is>
      </c>
      <c r="D237" s="4" t="inlineStr">
        <is>
          <t>US nationwide network; CDC funds 33 recipients (states/jurisdictions not listed in text)</t>
        </is>
      </c>
      <c r="E237" s="4" t="inlineStr">
        <is>
          <t>tract</t>
        </is>
      </c>
      <c r="F237" s="4" t="inlineStr"/>
      <c r="G237" s="4" t="inlineStr"/>
      <c r="H237" s="4" t="inlineStr">
        <is>
          <t>public_domain_us_federal</t>
        </is>
      </c>
      <c r="I237" s="4" t="inlineStr"/>
      <c r="J237" s="4" t="inlineStr">
        <is>
          <t>open_download</t>
        </is>
      </c>
      <c r="K237" s="4" t="inlineStr">
        <is>
          <t>web_app; api</t>
        </is>
      </c>
      <c r="L237" s="4" t="inlineStr">
        <is>
          <t>Joins today</t>
        </is>
      </c>
      <c r="M237" s="4" t="n">
        <v>3</v>
      </c>
      <c r="N237" s="4" t="inlineStr"/>
      <c r="O237" s="19" t="inlineStr">
        <is>
          <t>Silver</t>
        </is>
      </c>
      <c r="P237" s="4" t="n">
        <v>96</v>
      </c>
      <c r="Q237" s="17" t="inlineStr">
        <is>
          <t>https://www.cdc.gov/nceh/tracking/</t>
        </is>
      </c>
      <c r="R237" s="4" t="inlineStr">
        <is>
          <t>us_cdc_ephtn</t>
        </is>
      </c>
    </row>
    <row r="238">
      <c r="A238" s="4" t="inlineStr">
        <is>
          <t>National Transportation Noise Map</t>
        </is>
      </c>
      <c r="B238" s="4" t="inlineStr">
        <is>
          <t>U.S. Department of Transportation</t>
        </is>
      </c>
      <c r="C238" s="4" t="inlineStr">
        <is>
          <t>environment</t>
        </is>
      </c>
      <c r="D238" s="4" t="inlineStr">
        <is>
          <t>national (US) implied by title only</t>
        </is>
      </c>
      <c r="E238" s="4" t="inlineStr">
        <is>
          <t>grid_30m</t>
        </is>
      </c>
      <c r="F238" s="4" t="inlineStr">
        <is>
          <t>2016; 2018 (description refers to population-exposure tables 'in 2016 and 2018'; later years not stated)</t>
        </is>
      </c>
      <c r="G238" s="4" t="n">
        <v>2018</v>
      </c>
      <c r="H238" s="4" t="inlineStr">
        <is>
          <t>public_domain_us_federal</t>
        </is>
      </c>
      <c r="I238" s="4" t="inlineStr"/>
      <c r="J238" s="4" t="inlineStr">
        <is>
          <t>open_download</t>
        </is>
      </c>
      <c r="K238" s="4" t="inlineStr">
        <is>
          <t>geotiff (raster);wms;arcgis_rest;tables;raster</t>
        </is>
      </c>
      <c r="L238" s="4" t="inlineStr">
        <is>
          <t>Needs raster support</t>
        </is>
      </c>
      <c r="M238" s="4" t="n">
        <v>3</v>
      </c>
      <c r="N238" s="4" t="inlineStr"/>
      <c r="O238" s="19" t="inlineStr">
        <is>
          <t>Silver</t>
        </is>
      </c>
      <c r="P238" s="4" t="n">
        <v>90</v>
      </c>
      <c r="Q238" s="17" t="inlineStr">
        <is>
          <t>https://catalog.data.gov/dataset/national-transportation-noise-map</t>
        </is>
      </c>
      <c r="R238" s="4" t="inlineStr">
        <is>
          <t>us_bts_national_transportation_noise_map</t>
        </is>
      </c>
    </row>
    <row r="239">
      <c r="A239" s="4" t="inlineStr">
        <is>
          <t>Natura 2000 data - the European network of protected sites</t>
        </is>
      </c>
      <c r="B239" s="4" t="inlineStr">
        <is>
          <t>European Commission (hosted by European Environment Agency)</t>
        </is>
      </c>
      <c r="C239" s="4" t="inlineStr">
        <is>
          <t>environment</t>
        </is>
      </c>
      <c r="D239" s="4" t="inlineStr">
        <is>
          <t>European Union (Natura 2000 sites in the EU; metadata SpatialScope 'european'; EU27_2020 reference; EPSG:3035)</t>
        </is>
      </c>
      <c r="E239" s="4" t="inlineStr">
        <is>
          <t>vector dataset of sites (geometry type not named on pages read)</t>
        </is>
      </c>
      <c r="F239" s="4" t="inlineStr">
        <is>
          <t>annual versions 2010-2024; current version end 2024 (temporal coverage 2024)</t>
        </is>
      </c>
      <c r="G239" s="4" t="n">
        <v>2024</v>
      </c>
      <c r="H239" s="4" t="inlineStr">
        <is>
          <t>open</t>
        </is>
      </c>
      <c r="I239" s="4" t="inlineStr">
        <is>
          <t>CC BY 4.0 (licence link in the vector metadata factsheet; INSPIRE LimitationsOnPublicAccess = noLimitations)</t>
        </is>
      </c>
      <c r="J239" s="4" t="inlineStr">
        <is>
          <t>open_download</t>
        </is>
      </c>
      <c r="K239" s="4" t="inlineStr">
        <is>
          <t>shp; gpkg; wms; csv; txt; sql; mdb; accdb</t>
        </is>
      </c>
      <c r="L239" s="4" t="inlineStr">
        <is>
          <t>Joins today</t>
        </is>
      </c>
      <c r="M239" s="4" t="n">
        <v>3</v>
      </c>
      <c r="N239" s="4" t="inlineStr"/>
      <c r="O239" s="19" t="inlineStr">
        <is>
          <t>Silver</t>
        </is>
      </c>
      <c r="P239" s="4" t="n">
        <v>95</v>
      </c>
      <c r="Q239" s="17" t="inlineStr">
        <is>
          <t>https://www.eea.europa.eu/en/datahub/datahubitem-view/6fc8ad2d-195d-40f4-bdec-576e7d1268e4</t>
        </is>
      </c>
      <c r="R239" s="4" t="inlineStr">
        <is>
          <t>eu_eea_natura2000</t>
        </is>
      </c>
    </row>
    <row r="240">
      <c r="A240" s="4" t="inlineStr">
        <is>
          <t>NLCD Tree Canopy Cover (TCC)</t>
        </is>
      </c>
      <c r="B240" s="4" t="inlineStr">
        <is>
          <t>USDA Forest Service</t>
        </is>
      </c>
      <c r="C240" s="4" t="inlineStr">
        <is>
          <t>environment</t>
        </is>
      </c>
      <c r="D240" s="4" t="inlineStr">
        <is>
          <t>CONUS; coastal Alaska (SEAK); Hawaii; Puerto Rico and US Virgin Islands (PRUSVI)</t>
        </is>
      </c>
      <c r="E240" s="4" t="inlineStr">
        <is>
          <t>grid_30m</t>
        </is>
      </c>
      <c r="F240" s="4" t="inlineStr">
        <is>
          <t>1985-2025 annual (Science TCC and NLCD TCC)</t>
        </is>
      </c>
      <c r="G240" s="4" t="n">
        <v>2025</v>
      </c>
      <c r="H240" s="4" t="inlineStr">
        <is>
          <t>public_domain_us_federal</t>
        </is>
      </c>
      <c r="I240" s="4" t="inlineStr">
        <is>
          <t>none stated; only the USDA Forest Service Enterprise Data Disclaimer (no warranty, data may change over time)</t>
        </is>
      </c>
      <c r="J240" s="4" t="inlineStr">
        <is>
          <t>open_download</t>
        </is>
      </c>
      <c r="K240" s="4" t="inlineStr">
        <is>
          <t>geotiff;tif</t>
        </is>
      </c>
      <c r="L240" s="4" t="inlineStr">
        <is>
          <t>Needs raster support</t>
        </is>
      </c>
      <c r="M240" s="4" t="n">
        <v>3</v>
      </c>
      <c r="N240" s="4" t="inlineStr">
        <is>
          <t>mdc_2021_nlcd_tcc_v2023_5;mdc_2021_nlcd_tcc_v4</t>
        </is>
      </c>
      <c r="O240" s="13" t="inlineStr">
        <is>
          <t>Gold</t>
        </is>
      </c>
      <c r="P240" s="4" t="n">
        <v>91</v>
      </c>
      <c r="Q240" s="17" t="inlineStr">
        <is>
          <t>https://data.fs.usda.gov/geodata/rastergateway/treecanopycover/</t>
        </is>
      </c>
      <c r="R240" s="4" t="inlineStr">
        <is>
          <t>us_usfs_nlcd_tree_canopy_cover</t>
        </is>
      </c>
    </row>
    <row r="241">
      <c r="A241" s="4" t="inlineStr">
        <is>
          <t>Noise data reported under the Environmental Noise Directive (END)</t>
        </is>
      </c>
      <c r="B241" s="4" t="inlineStr">
        <is>
          <t>European Environment Agency</t>
        </is>
      </c>
      <c r="C241" s="4" t="inlineStr">
        <is>
          <t>environment</t>
        </is>
      </c>
      <c r="D241" s="4" t="inlineStr">
        <is>
          <t>EEA32 member countries and the United Kingdom (contours record lists 23 countries incl. CH and NO; Turkey excluded from the 2017 round)</t>
        </is>
      </c>
      <c r="E241" s="4" t="inlineStr">
        <is>
          <t>polygon</t>
        </is>
      </c>
      <c r="F241" s="4" t="inlineStr">
        <is>
          <t>reporting rounds 2007, 2012, 2017, 2022 (strategic noise maps 2006, 2011, 2016, 2021); current contours dataset temporal extent 2021-01-01 to 2021-12-31</t>
        </is>
      </c>
      <c r="G241" s="4" t="n">
        <v>2021</v>
      </c>
      <c r="H241" s="4" t="inlineStr">
        <is>
          <t>non-commercial</t>
        </is>
      </c>
      <c r="I241" s="4" t="inlineStr">
        <is>
          <t>custom terms: contours 'available for research and non-profit purposes'; access constraint 'public access limited according to Article 13(1)(e) of the INSPIRE Directive' (restricted contours excluded). Landing page itself states no licence, links to EEA data policy.</t>
        </is>
      </c>
      <c r="J241" s="4" t="inlineStr">
        <is>
          <t>open_download</t>
        </is>
      </c>
      <c r="K241" s="4" t="inlineStr">
        <is>
          <t>xlsx; gpkg; gdb; esri_rest; wms</t>
        </is>
      </c>
      <c r="L241" s="4" t="inlineStr">
        <is>
          <t>Needs raster support</t>
        </is>
      </c>
      <c r="M241" s="4" t="n">
        <v>3</v>
      </c>
      <c r="N241" s="4" t="inlineStr"/>
      <c r="O241" s="19" t="inlineStr">
        <is>
          <t>Silver</t>
        </is>
      </c>
      <c r="P241" s="4" t="n">
        <v>82</v>
      </c>
      <c r="Q241" s="17" t="inlineStr">
        <is>
          <t>https://www.eea.europa.eu/en/datahub/datahubitem-view/c952f520-8d71-42c9-b74c-b7eb002f939b</t>
        </is>
      </c>
      <c r="R241" s="4" t="inlineStr">
        <is>
          <t>eu_eea_noise_end</t>
        </is>
      </c>
    </row>
    <row r="242">
      <c r="A242" s="4" t="inlineStr">
        <is>
          <t>Qualité de l'air, de l'eau et potentiel radon par commune française</t>
        </is>
      </c>
      <c r="B242" s="4" t="inlineStr"/>
      <c r="C242" s="4" t="inlineStr">
        <is>
          <t>environment</t>
        </is>
      </c>
      <c r="D242" s="4" t="inlineStr">
        <is>
          <t>France (approx. 26,000 communes; departement and region columns)</t>
        </is>
      </c>
      <c r="E242" s="4" t="inlineStr">
        <is>
          <t>admin3 (French commune, code INSEE; ~26,000 communes)</t>
        </is>
      </c>
      <c r="F242" s="4" t="inlineStr">
        <is>
          <t>not stated; last updated 21 October 2026; 'mises à jour automatiquement' from public sources</t>
        </is>
      </c>
      <c r="G242" s="4" t="n">
        <v>2026</v>
      </c>
      <c r="H242" s="4" t="inlineStr">
        <is>
          <t>open</t>
        </is>
      </c>
      <c r="I242" s="4" t="inlineStr">
        <is>
          <t>Licence Ouverte / Open Licence version 2.0 (Etalab)</t>
        </is>
      </c>
      <c r="J242" s="4" t="inlineStr">
        <is>
          <t>open_download</t>
        </is>
      </c>
      <c r="K242" s="4" t="inlineStr">
        <is>
          <t>csv (one file, 2.0 Mo)</t>
        </is>
      </c>
      <c r="L242" s="4" t="inlineStr">
        <is>
          <t>Joins today</t>
        </is>
      </c>
      <c r="M242" s="4" t="n">
        <v>3</v>
      </c>
      <c r="N242" s="4" t="inlineStr"/>
      <c r="O242" s="19" t="inlineStr">
        <is>
          <t>Silver</t>
        </is>
      </c>
      <c r="P242" s="4" t="n">
        <v>90</v>
      </c>
      <c r="Q242" s="17" t="inlineStr">
        <is>
          <t>https://www.data.gouv.fr/datasets/qualite-de-lair-de-leau-et-potentiel-radon-par-commune-francaise</t>
        </is>
      </c>
      <c r="R242" s="4" t="inlineStr">
        <is>
          <t>fr_datagouv_qualit_de_l_air_de_l_eau_et_potentiel_radon_par_commune</t>
        </is>
      </c>
    </row>
    <row r="243">
      <c r="A243" s="4" t="inlineStr">
        <is>
          <t>SatPM2.5 (Satellite-derived PM2.5) global estimates V6.GL.02.04 and V5.GL.05.02</t>
        </is>
      </c>
      <c r="B243" s="4" t="inlineStr">
        <is>
          <t>Washington University in St. Louis</t>
        </is>
      </c>
      <c r="C243" s="4" t="inlineStr">
        <is>
          <t>environment</t>
        </is>
      </c>
      <c r="D243" s="4" t="inlineStr">
        <is>
          <t>global (V6.GL, V5.GL); North America (V5.NA)</t>
        </is>
      </c>
      <c r="E243" s="4" t="inlineStr">
        <is>
          <t>grid_0.01deg</t>
        </is>
      </c>
      <c r="F243" s="4" t="inlineStr">
        <is>
          <t>1998-2023 annual and monthly (global V6.GL.02.04 and V5.GL.05.02); 2000-2023 (North America V5.NA.05.02, annual/monthly/biweekly)</t>
        </is>
      </c>
      <c r="G243" s="4" t="n">
        <v>2023</v>
      </c>
      <c r="H243" s="4" t="inlineStr">
        <is>
          <t>open</t>
        </is>
      </c>
      <c r="I243" s="4" t="inlineStr">
        <is>
          <t>CC BY 4.0 (V6.GL.02.04 and V5.GL.05.02); no licence stated for the North American V5.NA.05.02 product</t>
        </is>
      </c>
      <c r="J243" s="4" t="inlineStr">
        <is>
          <t>open_download</t>
        </is>
      </c>
      <c r="K243" s="4" t="inlineStr">
        <is>
          <t>netcdf; asc (North America only)</t>
        </is>
      </c>
      <c r="L243" s="4" t="inlineStr">
        <is>
          <t>Needs raster support</t>
        </is>
      </c>
      <c r="M243" s="4" t="n">
        <v>3</v>
      </c>
      <c r="N243" s="4" t="inlineStr"/>
      <c r="O243" s="13" t="inlineStr">
        <is>
          <t>Gold</t>
        </is>
      </c>
      <c r="P243" s="4" t="n">
        <v>95</v>
      </c>
      <c r="Q243" s="17" t="inlineStr">
        <is>
          <t>https://sites.wustl.edu/acag/datasets/surface-pm2-5/</t>
        </is>
      </c>
      <c r="R243" s="4" t="inlineStr">
        <is>
          <t>global_acag_pm25</t>
        </is>
      </c>
    </row>
    <row r="244">
      <c r="A244" s="4" t="inlineStr">
        <is>
          <t>SMAP Enhanced L3 Radiometer Global and Polar Grid Daily 9 km EASE-Grid Soil Moisture, Version 6 (SPL3SMP_E)</t>
        </is>
      </c>
      <c r="B244" s="4" t="inlineStr">
        <is>
          <t>NASA</t>
        </is>
      </c>
      <c r="C244" s="4" t="inlineStr">
        <is>
          <t>environment</t>
        </is>
      </c>
      <c r="D244" s="4" t="inlineStr">
        <is>
          <t>global (lat 90 to -85.044, lon -180 to 180); also Northern Hemisphere EASE-Grid 2.0 since 2021</t>
        </is>
      </c>
      <c r="E244" s="4" t="inlineStr">
        <is>
          <t>grid_9km</t>
        </is>
      </c>
      <c r="F244" s="4" t="inlineStr">
        <is>
          <t>31 March 2015 to present, daily</t>
        </is>
      </c>
      <c r="G244" s="4" t="n">
        <v>2026</v>
      </c>
      <c r="H244" s="4" t="inlineStr">
        <is>
          <t>registration</t>
        </is>
      </c>
      <c r="I244" s="4" t="inlineStr">
        <is>
          <t>no licence named; terms: 'As a condition of using these data, you must cite the use of this data set'; free NASA Earthdata Login required</t>
        </is>
      </c>
      <c r="J244" s="4" t="inlineStr">
        <is>
          <t>registration</t>
        </is>
      </c>
      <c r="K244" s="4" t="inlineStr">
        <is>
          <t>hdf5</t>
        </is>
      </c>
      <c r="L244" s="4" t="inlineStr">
        <is>
          <t>Needs raster support</t>
        </is>
      </c>
      <c r="M244" s="4" t="n">
        <v>3</v>
      </c>
      <c r="N244" s="4" t="inlineStr"/>
      <c r="O244" s="19" t="inlineStr">
        <is>
          <t>Silver</t>
        </is>
      </c>
      <c r="P244" s="4" t="n">
        <v>89</v>
      </c>
      <c r="Q244" s="17" t="inlineStr">
        <is>
          <t>https://nsidc.org/data/spl3smp_e/versions/6</t>
        </is>
      </c>
      <c r="R244" s="4" t="inlineStr">
        <is>
          <t>global_nasa_smap_spl3smp_e</t>
        </is>
      </c>
    </row>
    <row r="245">
      <c r="A245" s="4" t="inlineStr">
        <is>
          <t>SoilGrids 250 m global gridded soil information (v2.0, 2020)</t>
        </is>
      </c>
      <c r="B245" s="4" t="inlineStr">
        <is>
          <t>ISRIC - World Soil Information</t>
        </is>
      </c>
      <c r="C245" s="4" t="inlineStr">
        <is>
          <t>environment</t>
        </is>
      </c>
      <c r="D245" s="4" t="inlineStr">
        <is>
          <t>global</t>
        </is>
      </c>
      <c r="E245" s="4" t="inlineStr">
        <is>
          <t>grid_250m</t>
        </is>
      </c>
      <c r="F245" s="4" t="inlineStr">
        <is>
          <t>static (observations 1905-2016; release 2020)</t>
        </is>
      </c>
      <c r="G245" s="4" t="n">
        <v>2020</v>
      </c>
      <c r="H245" s="4" t="inlineStr">
        <is>
          <t>open</t>
        </is>
      </c>
      <c r="I245" s="4" t="inlineStr">
        <is>
          <t>CC BY 4.0 ('publicly available ... under the CC-BY 4.0 License')</t>
        </is>
      </c>
      <c r="J245" s="4" t="inlineStr">
        <is>
          <t>open_download</t>
        </is>
      </c>
      <c r="K245" s="4" t="inlineStr">
        <is>
          <t>vrt (WebDAV); wcs</t>
        </is>
      </c>
      <c r="L245" s="4" t="inlineStr">
        <is>
          <t>Needs raster support</t>
        </is>
      </c>
      <c r="M245" s="4" t="n">
        <v>3</v>
      </c>
      <c r="N245" s="4" t="inlineStr"/>
      <c r="O245" s="19" t="inlineStr">
        <is>
          <t>Silver</t>
        </is>
      </c>
      <c r="P245" s="4" t="n">
        <v>97</v>
      </c>
      <c r="Q245" s="17" t="inlineStr">
        <is>
          <t>https://www.isric.org/explore/soilgrids</t>
        </is>
      </c>
      <c r="R245" s="4" t="inlineStr">
        <is>
          <t>global_isric_soilgrids</t>
        </is>
      </c>
    </row>
    <row r="246">
      <c r="A246" s="4" t="inlineStr">
        <is>
          <t>World Air Quality Index project (WAQI / aqicn.org) real-time AQI API</t>
        </is>
      </c>
      <c r="B246" s="4" t="inlineStr">
        <is>
          <t>World Air Quality Index Project (waqi.info)</t>
        </is>
      </c>
      <c r="C246" s="4" t="inlineStr">
        <is>
          <t>environment</t>
        </is>
      </c>
      <c r="D246" s="4" t="inlineStr">
        <is>
          <t>11,000+ station-level and 1,000+ city-level data points; no country count or 'global' wording</t>
        </is>
      </c>
      <c r="E246" s="4" t="inlineStr">
        <is>
          <t>point</t>
        </is>
      </c>
      <c r="F246" s="4" t="inlineStr">
        <is>
          <t>real-time only; historical data not part of the programmatic API (listed as upcoming)</t>
        </is>
      </c>
      <c r="G246" s="4" t="n">
        <v>2026</v>
      </c>
      <c r="H246" s="4" t="inlineStr">
        <is>
          <t>non-commercial</t>
        </is>
      </c>
      <c r="I246" s="4" t="inlineStr">
        <is>
          <t>custom terms: free with token; attribution to WAQI project and originating EPA mandatory; no resale, no use in paid apps, no redistribution of cached/archived data; for-profit public use needs agreement, non-profit public use needs prior email notification; terms may change without notice</t>
        </is>
      </c>
      <c r="J246" s="4" t="inlineStr">
        <is>
          <t>api_key</t>
        </is>
      </c>
      <c r="K246" s="4" t="inlineStr">
        <is>
          <t>api (json); map tiles; widgets</t>
        </is>
      </c>
      <c r="L246" s="4" t="inlineStr">
        <is>
          <t>Needs a count/distance step</t>
        </is>
      </c>
      <c r="M246" s="4" t="n">
        <v>3</v>
      </c>
      <c r="N246" s="4" t="inlineStr"/>
      <c r="O246" s="19" t="inlineStr">
        <is>
          <t>Silver</t>
        </is>
      </c>
      <c r="P246" s="4" t="n">
        <v>83</v>
      </c>
      <c r="Q246" s="17" t="inlineStr">
        <is>
          <t>https://aqicn.org/api/</t>
        </is>
      </c>
      <c r="R246" s="4" t="inlineStr">
        <is>
          <t>global_waqi_world_air_quality_index</t>
        </is>
      </c>
    </row>
    <row r="247">
      <c r="A247" s="4" t="inlineStr">
        <is>
          <t>NASA Shuttle Radar Topography Mission Global 1 arc second V003 (SRTMGL1)</t>
        </is>
      </c>
      <c r="B247" s="4" t="inlineStr">
        <is>
          <t>NASA</t>
        </is>
      </c>
      <c r="C247" s="4" t="inlineStr">
        <is>
          <t>environment</t>
        </is>
      </c>
      <c r="D247" s="4" t="inlineStr">
        <is>
          <t>global land between 60N and 56S (N 60, S -56, E 180, W -180)</t>
        </is>
      </c>
      <c r="E247" s="4" t="inlineStr">
        <is>
          <t>grid_30m</t>
        </is>
      </c>
      <c r="F247" s="4" t="inlineStr">
        <is>
          <t>2000-02-11 to 2000-02-21 (single epoch)</t>
        </is>
      </c>
      <c r="G247" s="4" t="n">
        <v>2000</v>
      </c>
      <c r="H247" s="4" t="inlineStr">
        <is>
          <t>open</t>
        </is>
      </c>
      <c r="I247" s="4" t="inlineStr">
        <is>
          <t>openly shared, without restriction, in accordance with the EOSDIS Data Use and Citation Guidance</t>
        </is>
      </c>
      <c r="J247" s="4" t="inlineStr">
        <is>
          <t>registration</t>
        </is>
      </c>
      <c r="K247" s="4" t="inlineStr">
        <is>
          <t>hgt; netcdf4 (companion SRTMGL1_NC)</t>
        </is>
      </c>
      <c r="L247" s="4" t="inlineStr">
        <is>
          <t>Needs raster support</t>
        </is>
      </c>
      <c r="M247" s="4" t="n">
        <v>1</v>
      </c>
      <c r="N247" s="4" t="inlineStr">
        <is>
          <t>hh_dem_srtm;tz_magu_dem_srtm</t>
        </is>
      </c>
      <c r="O247" s="19" t="inlineStr">
        <is>
          <t>Silver</t>
        </is>
      </c>
      <c r="P247" s="4" t="n">
        <v>96</v>
      </c>
      <c r="Q247" s="17" t="inlineStr">
        <is>
          <t>https://www.earthdata.nasa.gov/data/catalog/lpcloud-srtmgl1-003</t>
        </is>
      </c>
      <c r="R247" s="4" t="inlineStr">
        <is>
          <t>global_nasa_srtmgl1_v003</t>
        </is>
      </c>
    </row>
    <row r="248">
      <c r="A248" s="4" t="inlineStr">
        <is>
          <t>Food Access Research Atlas</t>
        </is>
      </c>
      <c r="B248" s="4" t="inlineStr">
        <is>
          <t>U.S. Department of Agriculture</t>
        </is>
      </c>
      <c r="C248" s="4" t="inlineStr">
        <is>
          <t>food_access</t>
        </is>
      </c>
      <c r="D248" s="4" t="inlineStr">
        <is>
          <t>US</t>
        </is>
      </c>
      <c r="E248" s="4" t="inlineStr">
        <is>
          <t>tract</t>
        </is>
      </c>
      <c r="F248" s="4" t="inlineStr">
        <is>
          <t>vintages 2010 and 2015 (archived FARA), 2019 (LRAM, last updated 4/27/2021), 2025 (SRAM, released July 2026); archived 2006 Food Desert Locator</t>
        </is>
      </c>
      <c r="G248" s="4" t="n">
        <v>2025</v>
      </c>
      <c r="H248" s="4" t="inlineStr">
        <is>
          <t>public_domain_us_federal</t>
        </is>
      </c>
      <c r="I248" s="4" t="inlineStr"/>
      <c r="J248" s="4" t="inlineStr">
        <is>
          <t>open_download</t>
        </is>
      </c>
      <c r="K248" s="4" t="inlineStr">
        <is>
          <t>xlsx; zip ('machine-readable CSV format' stated, CSV file not listed)</t>
        </is>
      </c>
      <c r="L248" s="4" t="inlineStr">
        <is>
          <t>Joins today</t>
        </is>
      </c>
      <c r="M248" s="4" t="n">
        <v>3</v>
      </c>
      <c r="N248" s="4" t="inlineStr"/>
      <c r="O248" s="13" t="inlineStr">
        <is>
          <t>Gold</t>
        </is>
      </c>
      <c r="P248" s="4" t="n">
        <v>91</v>
      </c>
      <c r="Q248" s="17" t="inlineStr">
        <is>
          <t>http://www.ers.usda.gov/data-products/food-access-research-atlas</t>
        </is>
      </c>
      <c r="R248" s="4" t="inlineStr">
        <is>
          <t>us_usda_ers_food_access_research_atlas</t>
        </is>
      </c>
    </row>
    <row r="249">
      <c r="A249" s="4" t="inlineStr">
        <is>
          <t>Food Environment Atlas</t>
        </is>
      </c>
      <c r="B249" s="4" t="inlineStr">
        <is>
          <t>U.S. Department of Agriculture</t>
        </is>
      </c>
      <c r="C249" s="4" t="inlineStr">
        <is>
          <t>food_access</t>
        </is>
      </c>
      <c r="D249" s="4" t="inlineStr">
        <is>
          <t>US ('U.S. counties and county-equivalents'; 'across the United States')</t>
        </is>
      </c>
      <c r="E249" s="4" t="inlineStr">
        <is>
          <t>county</t>
        </is>
      </c>
      <c r="F249" s="4" t="inlineStr">
        <is>
          <t>data years not stated ('cover varying years'); releases 2011, June 2012, Nov 2012, Feb 2014, Aug 2015, Sep 2017, Aug 2020, current (7/30/2025)</t>
        </is>
      </c>
      <c r="G249" s="4" t="n">
        <v>2025</v>
      </c>
      <c r="H249" s="4" t="inlineStr">
        <is>
          <t>public_domain_us_federal</t>
        </is>
      </c>
      <c r="I249" s="4" t="inlineStr"/>
      <c r="J249" s="4" t="inlineStr">
        <is>
          <t>open_download</t>
        </is>
      </c>
      <c r="K249" s="4" t="inlineStr">
        <is>
          <t>xlsx; csv (zip); older versions xls; documentation txt/pdf</t>
        </is>
      </c>
      <c r="L249" s="4" t="inlineStr">
        <is>
          <t>Joins today</t>
        </is>
      </c>
      <c r="M249" s="4" t="n">
        <v>3</v>
      </c>
      <c r="N249" s="4" t="inlineStr"/>
      <c r="O249" s="19" t="inlineStr">
        <is>
          <t>Silver</t>
        </is>
      </c>
      <c r="P249" s="4" t="n">
        <v>92</v>
      </c>
      <c r="Q249" s="17" t="inlineStr">
        <is>
          <t>http://www.ers.usda.gov/data-products/food-environment-atlas</t>
        </is>
      </c>
      <c r="R249" s="4" t="inlineStr">
        <is>
          <t>us_usda_ers_food_environment_atlas</t>
        </is>
      </c>
    </row>
    <row r="250">
      <c r="A250" s="4" t="inlineStr">
        <is>
          <t>Miami-Dade Hospitals</t>
        </is>
      </c>
      <c r="B250" s="4" t="inlineStr">
        <is>
          <t>Miami-Dade County</t>
        </is>
      </c>
      <c r="C250" s="4" t="inlineStr">
        <is>
          <t>food_access</t>
        </is>
      </c>
      <c r="D250" s="4" t="inlineStr">
        <is>
          <t>US-FL-Miami-Dade</t>
        </is>
      </c>
      <c r="E250" s="4" t="inlineStr">
        <is>
          <t>points, 28 records</t>
        </is>
      </c>
      <c r="F250" s="4" t="inlineStr">
        <is>
          <t>published 2018; data updated 2026-10-27</t>
        </is>
      </c>
      <c r="G250" s="4" t="inlineStr"/>
      <c r="H250" s="4" t="inlineStr"/>
      <c r="I250" s="4" t="inlineStr">
        <is>
          <t>Custom (Miami-Dade open data terms)</t>
        </is>
      </c>
      <c r="J250" s="4" t="inlineStr"/>
      <c r="K250" s="4" t="inlineStr">
        <is>
          <t>ArcGIS feature layer (download, API)</t>
        </is>
      </c>
      <c r="L250" s="4" t="inlineStr">
        <is>
          <t>Unknown</t>
        </is>
      </c>
      <c r="M250" s="4" t="n">
        <v>3</v>
      </c>
      <c r="N250" s="4" t="inlineStr">
        <is>
          <t>mdc_hospitals</t>
        </is>
      </c>
      <c r="O250" s="19" t="inlineStr">
        <is>
          <t>Silver</t>
        </is>
      </c>
      <c r="P250" s="4" t="n">
        <v>86</v>
      </c>
      <c r="Q250" s="17" t="inlineStr">
        <is>
          <t>https://gis-mdc.opendata.arcgis.com/datasets/MDC::hospital/about</t>
        </is>
      </c>
      <c r="R250" s="4" t="inlineStr">
        <is>
          <t>us_mdc_hospitals</t>
        </is>
      </c>
    </row>
    <row r="251">
      <c r="A251" s="4" t="inlineStr">
        <is>
          <t>Modified Retail Food Environment Index (mRFEI)</t>
        </is>
      </c>
      <c r="B251" s="4" t="inlineStr">
        <is>
          <t>CDC</t>
        </is>
      </c>
      <c r="C251" s="4" t="inlineStr">
        <is>
          <t>food_access</t>
        </is>
      </c>
      <c r="D251" s="4" t="inlineStr">
        <is>
          <t>US (census tracts across each state; Place as Subject: United States)</t>
        </is>
      </c>
      <c r="E251" s="4" t="inlineStr">
        <is>
          <t>tract</t>
        </is>
      </c>
      <c r="F251" s="4" t="inlineStr">
        <is>
          <t>Publication date 2012-04-04; describes the April 2011 Children's Food Environment State Indicator Report; data reference years not stated</t>
        </is>
      </c>
      <c r="G251" s="4" t="n">
        <v>2012</v>
      </c>
      <c r="H251" s="4" t="inlineStr">
        <is>
          <t>open</t>
        </is>
      </c>
      <c r="I251" s="4" t="inlineStr">
        <is>
          <t>Public Domain</t>
        </is>
      </c>
      <c r="J251" s="4" t="inlineStr">
        <is>
          <t>open_download</t>
        </is>
      </c>
      <c r="K251" s="4" t="inlineStr">
        <is>
          <t>pdf (56.91 MB, 54 pages of state maps)</t>
        </is>
      </c>
      <c r="L251" s="4" t="inlineStr">
        <is>
          <t>Joins today</t>
        </is>
      </c>
      <c r="M251" s="4" t="n">
        <v>3</v>
      </c>
      <c r="N251" s="4" t="inlineStr"/>
      <c r="O251" s="19" t="inlineStr">
        <is>
          <t>Silver</t>
        </is>
      </c>
      <c r="P251" s="4" t="n">
        <v>82</v>
      </c>
      <c r="Q251" s="17" t="inlineStr">
        <is>
          <t>https://stacks.cdc.gov/view/cdc/13321</t>
        </is>
      </c>
      <c r="R251" s="4" t="inlineStr">
        <is>
          <t>us_cdc_mrfei</t>
        </is>
      </c>
    </row>
    <row r="252">
      <c r="A252" s="4" t="inlineStr">
        <is>
          <t>500 Cities Project</t>
        </is>
      </c>
      <c r="B252" s="4" t="inlineStr">
        <is>
          <t>Centers for Disease Control and Prevention</t>
        </is>
      </c>
      <c r="C252" s="4" t="inlineStr">
        <is>
          <t>health_outcome</t>
        </is>
      </c>
      <c r="D252" s="4" t="inlineStr">
        <is>
          <t>US: 500 largest cities (&gt;103 million people, ~33% of population)</t>
        </is>
      </c>
      <c r="E252" s="4" t="inlineStr">
        <is>
          <t>tract</t>
        </is>
      </c>
      <c r="F252" s="4" t="inlineStr">
        <is>
          <t>500 Cities Project began 2015, ran 2016-2019 (2010 Census geographies); expanded to PLACES December 2020</t>
        </is>
      </c>
      <c r="G252" s="4" t="n">
        <v>2019</v>
      </c>
      <c r="H252" s="4" t="inlineStr">
        <is>
          <t>public_domain_us_federal</t>
        </is>
      </c>
      <c r="I252" s="4" t="inlineStr"/>
      <c r="J252" s="4" t="inlineStr">
        <is>
          <t>open_download (stated for PLACES online tools; 500 Cities datasets on data.cdc.gov not confirmed)</t>
        </is>
      </c>
      <c r="K252" s="4" t="inlineStr">
        <is>
          <t>csv; api (Socrata/data.cdc.gov)</t>
        </is>
      </c>
      <c r="L252" s="4" t="inlineStr">
        <is>
          <t>Joins today</t>
        </is>
      </c>
      <c r="M252" s="4" t="n">
        <v>3</v>
      </c>
      <c r="N252" s="4" t="inlineStr"/>
      <c r="O252" s="13" t="inlineStr">
        <is>
          <t>Gold</t>
        </is>
      </c>
      <c r="P252" s="4" t="n">
        <v>90</v>
      </c>
      <c r="Q252" s="17" t="inlineStr">
        <is>
          <t>https://www.cdc.gov/places/about/index.html</t>
        </is>
      </c>
      <c r="R252" s="4" t="inlineStr">
        <is>
          <t>us_cdc_500_cities</t>
        </is>
      </c>
    </row>
    <row r="253">
      <c r="A253" s="4" t="inlineStr">
        <is>
          <t>America's Health Rankings</t>
        </is>
      </c>
      <c r="B253" s="4" t="inlineStr">
        <is>
          <t>United Health Foundation</t>
        </is>
      </c>
      <c r="C253" s="4" t="inlineStr">
        <is>
          <t>health_outcome</t>
        </is>
      </c>
      <c r="D253" s="4" t="inlineStr">
        <is>
          <t>US (state-by-state with national benchmarks)</t>
        </is>
      </c>
      <c r="E253" s="4" t="inlineStr">
        <is>
          <t>admin1</t>
        </is>
      </c>
      <c r="F253" s="4" t="inlineStr">
        <is>
          <t>Annual Report 'over 35 years'; Senior Report 'over 10 years of data'; Health of Women &amp; Children first published 2016; links to 2025 Annual Report and 2026 Senior / HWC reports; three reports released annually</t>
        </is>
      </c>
      <c r="G253" s="4" t="n">
        <v>2026</v>
      </c>
      <c r="H253" s="4" t="inlineStr">
        <is>
          <t>registration</t>
        </is>
      </c>
      <c r="I253" s="4" t="inlineStr">
        <is>
          <t>(c) 2026 United Health Foundation, All Rights Reserved; UHG Terms of Use and 'API Terms of Use' linked (not read); API key by registration form</t>
        </is>
      </c>
      <c r="J253" s="4" t="inlineStr">
        <is>
          <t>api_key</t>
        </is>
      </c>
      <c r="K253" s="4" t="inlineStr">
        <is>
          <t>api (GraphQL)</t>
        </is>
      </c>
      <c r="L253" s="4" t="inlineStr">
        <is>
          <t>Joins today</t>
        </is>
      </c>
      <c r="M253" s="4" t="n">
        <v>3</v>
      </c>
      <c r="N253" s="4" t="inlineStr"/>
      <c r="O253" s="19" t="inlineStr">
        <is>
          <t>Silver</t>
        </is>
      </c>
      <c r="P253" s="4" t="n">
        <v>78</v>
      </c>
      <c r="Q253" s="17" t="inlineStr">
        <is>
          <t>https://www.americashealthrankings.org/about/methodology/our-reports</t>
        </is>
      </c>
      <c r="R253" s="4" t="inlineStr">
        <is>
          <t>us_ahr_americas_health_rankings</t>
        </is>
      </c>
    </row>
    <row r="254">
      <c r="A254" s="4" t="inlineStr">
        <is>
          <t>BRFSS SMART: Selected Metropolitan/Micropolitan Area Risk Trends</t>
        </is>
      </c>
      <c r="B254" s="4" t="inlineStr">
        <is>
          <t>Centers for Disease Control and Prevention</t>
        </is>
      </c>
      <c r="C254" s="4" t="inlineStr">
        <is>
          <t>health_outcome</t>
        </is>
      </c>
      <c r="D254" s="4" t="inlineStr">
        <is>
          <t>US metropolitan and micropolitan statistical areas (selected; inclusion criterion not stated on pages read)</t>
        </is>
      </c>
      <c r="E254" s="4" t="inlineStr">
        <is>
          <t>cbsa (MMSA: metropolitan/micropolitan statistical area)</t>
        </is>
      </c>
      <c r="F254" s="4" t="inlineStr">
        <is>
          <t>2009-2024 annual data sets (each year listed)</t>
        </is>
      </c>
      <c r="G254" s="4" t="n">
        <v>2024</v>
      </c>
      <c r="H254" s="4" t="inlineStr">
        <is>
          <t>public_domain_us_federal</t>
        </is>
      </c>
      <c r="I254" s="4" t="inlineStr"/>
      <c r="J254" s="4" t="inlineStr">
        <is>
          <t>open_download</t>
        </is>
      </c>
      <c r="K254" s="4" t="inlineStr">
        <is>
          <t>ascii fixed-width (zip, 368 positions); sas xpt (zip, 161 variables)</t>
        </is>
      </c>
      <c r="L254" s="4" t="inlineStr">
        <is>
          <t>Joins today</t>
        </is>
      </c>
      <c r="M254" s="4" t="n">
        <v>3</v>
      </c>
      <c r="N254" s="4" t="inlineStr"/>
      <c r="O254" s="19" t="inlineStr">
        <is>
          <t>Silver</t>
        </is>
      </c>
      <c r="P254" s="4" t="n">
        <v>86</v>
      </c>
      <c r="Q254" s="17" t="inlineStr">
        <is>
          <t>https://www.cdc.gov/brfss/smart/smart_data.htm</t>
        </is>
      </c>
      <c r="R254" s="4" t="inlineStr">
        <is>
          <t>us_cdc_brfss_smart</t>
        </is>
      </c>
    </row>
    <row r="255">
      <c r="A255" s="4" t="inlineStr">
        <is>
          <t>CDC WONDER Underlying Cause of Death (county-level mortality)</t>
        </is>
      </c>
      <c r="B255" s="4" t="inlineStr">
        <is>
          <t>Centers for Disease Control and Prevention</t>
        </is>
      </c>
      <c r="C255" s="4" t="inlineStr">
        <is>
          <t>health_outcome</t>
        </is>
      </c>
      <c r="D255" s="4" t="inlineStr">
        <is>
          <t>US (national and state datasets listed; U.S.-Mexico border area; Puerto Rico population estimates)</t>
        </is>
      </c>
      <c r="E255" s="4" t="inlineStr">
        <is>
          <t>county</t>
        </is>
      </c>
      <c r="F255" s="4" t="inlineStr">
        <is>
          <t>Underlying Cause of Death 'since 1968 (final)'; Compressed Mortality 1968-2016; Multiple Cause of Death through last week (final and provisional); end year of UCD not stated</t>
        </is>
      </c>
      <c r="G255" s="4" t="n">
        <v>2026</v>
      </c>
      <c r="H255" s="4" t="inlineStr">
        <is>
          <t>open</t>
        </is>
      </c>
      <c r="I255" s="4" t="inlineStr">
        <is>
          <t>custom terms: data use restrictions (statistical reporting and analysis only; no attempt to identify persons or establishments; NCHS vital-records datasets: do not present or publish statistics representing nine or fewer births or deaths, including rates based on them); no formal licence or public-domain statement</t>
        </is>
      </c>
      <c r="J255" s="4" t="inlineStr">
        <is>
          <t>open_download</t>
        </is>
      </c>
      <c r="K255" s="4" t="inlineStr">
        <is>
          <t>web query; txt export; api (WONDER XML API)</t>
        </is>
      </c>
      <c r="L255" s="4" t="inlineStr">
        <is>
          <t>Joins today</t>
        </is>
      </c>
      <c r="M255" s="4" t="n">
        <v>3</v>
      </c>
      <c r="N255" s="4" t="inlineStr"/>
      <c r="O255" s="19" t="inlineStr">
        <is>
          <t>Silver</t>
        </is>
      </c>
      <c r="P255" s="4" t="n">
        <v>90</v>
      </c>
      <c r="Q255" s="17" t="inlineStr">
        <is>
          <t>https://wonder.cdc.gov/</t>
        </is>
      </c>
      <c r="R255" s="4" t="inlineStr">
        <is>
          <t>us_cdc_wonder_mortality</t>
        </is>
      </c>
    </row>
    <row r="256">
      <c r="A256" s="4" t="inlineStr">
        <is>
          <t>City Health Dashboard</t>
        </is>
      </c>
      <c r="B256" s="4" t="inlineStr">
        <is>
          <t>NYU Grossman School of Medicine (NYU Langone Health)</t>
        </is>
      </c>
      <c r="C256" s="4" t="inlineStr">
        <is>
          <t>health_outcome</t>
        </is>
      </c>
      <c r="D256" s="4" t="inlineStr">
        <is>
          <t>US, over 1,200 cities (population threshold not stated)</t>
        </is>
      </c>
      <c r="E256" s="4" t="inlineStr">
        <is>
          <t>tract</t>
        </is>
      </c>
      <c r="F256" s="4" t="inlineStr">
        <is>
          <t>years not stated; 'most metrics show more than one year of data'; Data Dictionary file dated 2026-08-26, geographic identifier files dated 2025-07-08</t>
        </is>
      </c>
      <c r="G256" s="4" t="inlineStr"/>
      <c r="H256" s="4" t="inlineStr">
        <is>
          <t>attribution</t>
        </is>
      </c>
      <c r="I256" s="4" t="inlineStr">
        <is>
          <t>custom terms: citation of the Dashboard requested when data or graphics are used (suggested citation given); no formal licence stated; Terms of Use page exists but not read</t>
        </is>
      </c>
      <c r="J256" s="4" t="inlineStr">
        <is>
          <t>open_download; api_key</t>
        </is>
      </c>
      <c r="K256" s="4" t="inlineStr">
        <is>
          <t>csv</t>
        </is>
      </c>
      <c r="L256" s="4" t="inlineStr">
        <is>
          <t>Joins today</t>
        </is>
      </c>
      <c r="M256" s="4" t="n">
        <v>3</v>
      </c>
      <c r="N256" s="4" t="inlineStr"/>
      <c r="O256" s="19" t="inlineStr">
        <is>
          <t>Silver</t>
        </is>
      </c>
      <c r="P256" s="4" t="n">
        <v>87</v>
      </c>
      <c r="Q256" s="17" t="inlineStr">
        <is>
          <t>https://www.cityhealthdashboard.com/</t>
        </is>
      </c>
      <c r="R256" s="4" t="inlineStr">
        <is>
          <t>us_nyu_city_health_dashboard</t>
        </is>
      </c>
    </row>
    <row r="257">
      <c r="A257" s="4" t="inlineStr">
        <is>
          <t>Colombia: Health Facilities</t>
        </is>
      </c>
      <c r="B257" s="4" t="inlineStr">
        <is>
          <t>OCHA Colombia</t>
        </is>
      </c>
      <c r="C257" s="4" t="inlineStr">
        <is>
          <t>health_outcome</t>
        </is>
      </c>
      <c r="D257" s="4" t="inlineStr">
        <is>
          <t>COL</t>
        </is>
      </c>
      <c r="E257" s="4" t="inlineStr">
        <is>
          <t>facility list (coordinates not confirmed)</t>
        </is>
      </c>
      <c r="F257" s="4" t="inlineStr">
        <is>
          <t>2022-12 to 2026-05</t>
        </is>
      </c>
      <c r="G257" s="4" t="n">
        <v>2026</v>
      </c>
      <c r="H257" s="4" t="inlineStr"/>
      <c r="I257" s="4" t="inlineStr">
        <is>
          <t>CC BY</t>
        </is>
      </c>
      <c r="J257" s="4" t="inlineStr">
        <is>
          <t>open_download</t>
        </is>
      </c>
      <c r="K257" s="4" t="inlineStr">
        <is>
          <t>XLSX, CSV</t>
        </is>
      </c>
      <c r="L257" s="4" t="inlineStr">
        <is>
          <t>Needs a count/distance step</t>
        </is>
      </c>
      <c r="M257" s="4" t="n">
        <v>3</v>
      </c>
      <c r="N257" s="4" t="inlineStr"/>
      <c r="O257" s="19" t="inlineStr">
        <is>
          <t>Silver</t>
        </is>
      </c>
      <c r="P257" s="4" t="n">
        <v>50</v>
      </c>
      <c r="Q257" s="17" t="inlineStr">
        <is>
          <t>https://data.humdata.org/dataset/colombia-health-facilities-2021</t>
        </is>
      </c>
      <c r="R257" s="4" t="inlineStr">
        <is>
          <t>hdx_colombia_health_facilities</t>
        </is>
      </c>
    </row>
    <row r="258">
      <c r="A258" s="4" t="inlineStr">
        <is>
          <t>County Health Rankings &amp; Roadmaps</t>
        </is>
      </c>
      <c r="B258" s="4" t="inlineStr">
        <is>
          <t>University of Wisconsin Population Health Institute</t>
        </is>
      </c>
      <c r="C258" s="4" t="inlineStr">
        <is>
          <t>health_outcome</t>
        </is>
      </c>
      <c r="D258" s="4" t="inlineStr">
        <is>
          <t>US (50 states and DC; national, state and county data)</t>
        </is>
      </c>
      <c r="E258" s="4" t="inlineStr">
        <is>
          <t>county</t>
        </is>
      </c>
      <c r="F258" s="4" t="inlineStr">
        <is>
          <t>annual data releases 2010-2022 (archive page), 2024, 2025; Supplemental Data Release March 2026</t>
        </is>
      </c>
      <c r="G258" s="4" t="n">
        <v>2026</v>
      </c>
      <c r="H258" s="4" t="inlineStr">
        <is>
          <t>non-commercial</t>
        </is>
      </c>
      <c r="I258" s="4" t="inlineStr">
        <is>
          <t>custom terms: non-commercial (content 'property of CHR&amp;R or its licensors with all rights reserved'; non-exclusive licence for personal or non-profit educational, research or public health use; commercial use, including training commercial AI models, requires prior written consent; citation 'University of Wisconsin Population Health Institute. County Health Rankings &amp; Roadmaps.' required)</t>
        </is>
      </c>
      <c r="J258" s="4" t="inlineStr">
        <is>
          <t>open_download</t>
        </is>
      </c>
      <c r="K258" s="4" t="inlineStr">
        <is>
          <t>csv; xlsx; sas7bdat; pdf (documentation)</t>
        </is>
      </c>
      <c r="L258" s="4" t="inlineStr">
        <is>
          <t>Joins today</t>
        </is>
      </c>
      <c r="M258" s="4" t="n">
        <v>3</v>
      </c>
      <c r="N258" s="4" t="inlineStr"/>
      <c r="O258" s="19" t="inlineStr">
        <is>
          <t>Silver</t>
        </is>
      </c>
      <c r="P258" s="4" t="n">
        <v>86</v>
      </c>
      <c r="Q258" s="17" t="inlineStr">
        <is>
          <t>https://www.countyhealthrankings.org/health-data/methodology-and-sources/data-documentation</t>
        </is>
      </c>
      <c r="R258" s="4" t="inlineStr">
        <is>
          <t>us_chrr_county_health_rankings</t>
        </is>
      </c>
    </row>
    <row r="259">
      <c r="A259" s="4" t="inlineStr">
        <is>
          <t>Dartmouth Atlas of Health Care data</t>
        </is>
      </c>
      <c r="B259" s="4" t="inlineStr">
        <is>
          <t>Dartmouth College</t>
        </is>
      </c>
      <c r="C259" s="4" t="inlineStr">
        <is>
          <t>health_outcome</t>
        </is>
      </c>
      <c r="D259" s="4" t="inlineStr">
        <is>
          <t>US implied (Medicare data; HSA/HRR boundary files labelled AK_HI_unmodified); not stated explicitly</t>
        </is>
      </c>
      <c r="E259" s="4" t="inlineStr">
        <is>
          <t>zip</t>
        </is>
      </c>
      <c r="F259" s="4" t="inlineStr">
        <is>
          <t>ZIP-to-HSA-to-HRR crosswalks 1995-2019 (one file per year); hospital files 1992-2019; rates described only as 'decades worth of Medicare data'</t>
        </is>
      </c>
      <c r="G259" s="4" t="n">
        <v>2019</v>
      </c>
      <c r="H259" s="4" t="inlineStr">
        <is>
          <t>unknown</t>
        </is>
      </c>
      <c r="I259" s="4" t="inlineStr"/>
      <c r="J259" s="4" t="inlineStr">
        <is>
          <t>open_download</t>
        </is>
      </c>
      <c r="K259" s="4" t="inlineStr">
        <is>
          <t>shp; csv; xls/xlsx; dta; sas7bdat</t>
        </is>
      </c>
      <c r="L259" s="4" t="inlineStr">
        <is>
          <t>Joins today</t>
        </is>
      </c>
      <c r="M259" s="4" t="n">
        <v>3</v>
      </c>
      <c r="N259" s="4" t="inlineStr"/>
      <c r="O259" s="19" t="inlineStr">
        <is>
          <t>Silver</t>
        </is>
      </c>
      <c r="P259" s="4" t="n">
        <v>89</v>
      </c>
      <c r="Q259" s="17" t="inlineStr">
        <is>
          <t>https://data.dartmouthatlas.org/</t>
        </is>
      </c>
      <c r="R259" s="4" t="inlineStr">
        <is>
          <t>us_dartmouth_atlas</t>
        </is>
      </c>
    </row>
    <row r="260">
      <c r="A260" s="4" t="inlineStr">
        <is>
          <t>Ethiopia - Health Facilities</t>
        </is>
      </c>
      <c r="B260" s="4" t="inlineStr">
        <is>
          <t>3iS</t>
        </is>
      </c>
      <c r="C260" s="4" t="inlineStr">
        <is>
          <t>health_outcome</t>
        </is>
      </c>
      <c r="D260" s="4" t="inlineStr">
        <is>
          <t>ETH</t>
        </is>
      </c>
      <c r="E260" s="4" t="inlineStr">
        <is>
          <t>points</t>
        </is>
      </c>
      <c r="F260" s="4" t="inlineStr">
        <is>
          <t>2025-02-20</t>
        </is>
      </c>
      <c r="G260" s="4" t="n">
        <v>2025</v>
      </c>
      <c r="H260" s="4" t="inlineStr"/>
      <c r="I260" s="4" t="inlineStr">
        <is>
          <t>CC BY</t>
        </is>
      </c>
      <c r="J260" s="4" t="inlineStr">
        <is>
          <t>open_download</t>
        </is>
      </c>
      <c r="K260" s="4" t="inlineStr">
        <is>
          <t>CSV, SHP</t>
        </is>
      </c>
      <c r="L260" s="4" t="inlineStr">
        <is>
          <t>Needs a count/distance step</t>
        </is>
      </c>
      <c r="M260" s="4" t="n">
        <v>3</v>
      </c>
      <c r="N260" s="4" t="inlineStr"/>
      <c r="O260" s="19" t="inlineStr">
        <is>
          <t>Silver</t>
        </is>
      </c>
      <c r="P260" s="4" t="n">
        <v>50</v>
      </c>
      <c r="Q260" s="17" t="inlineStr">
        <is>
          <t>https://data.humdata.org/dataset/ethiopian-health-facilities</t>
        </is>
      </c>
      <c r="R260" s="4" t="inlineStr">
        <is>
          <t>hdx_ethiopia_health_facilities</t>
        </is>
      </c>
    </row>
    <row r="261">
      <c r="A261" s="4" t="inlineStr">
        <is>
          <t>Fingertips Public Health Profiles</t>
        </is>
      </c>
      <c r="B261" s="4" t="inlineStr">
        <is>
          <t>Office for Health Improvement and Disparities (Department of Health and Social Care)</t>
        </is>
      </c>
      <c r="C261" s="4" t="inlineStr">
        <is>
          <t>health_outcome</t>
        </is>
      </c>
      <c r="D261" s="4" t="inlineStr">
        <is>
          <t>England (Health trends in England report; 'local area data alongside relevant comparators')</t>
        </is>
      </c>
      <c r="E261" s="4" t="inlineStr">
        <is>
          <t>unknown</t>
        </is>
      </c>
      <c r="F261" s="4" t="inlineStr">
        <is>
          <t>ongoing; profile updates posted October 2026; indicator data years not stated on landing page</t>
        </is>
      </c>
      <c r="G261" s="4" t="n">
        <v>2026</v>
      </c>
      <c r="H261" s="4" t="inlineStr">
        <is>
          <t>open</t>
        </is>
      </c>
      <c r="I261" s="4" t="inlineStr">
        <is>
          <t>Open Government Licence ("All content is available under the Open Government Licence, except where otherwise stated"); Crown copyright 2026</t>
        </is>
      </c>
      <c r="J261" s="4" t="inlineStr">
        <is>
          <t>api</t>
        </is>
      </c>
      <c r="K261" s="4" t="inlineStr">
        <is>
          <t>api; html</t>
        </is>
      </c>
      <c r="L261" s="4" t="inlineStr">
        <is>
          <t>Unknown</t>
        </is>
      </c>
      <c r="M261" s="4" t="n">
        <v>3</v>
      </c>
      <c r="N261" s="4" t="inlineStr"/>
      <c r="O261" s="19" t="inlineStr">
        <is>
          <t>Silver</t>
        </is>
      </c>
      <c r="P261" s="4" t="n">
        <v>90</v>
      </c>
      <c r="Q261" s="17" t="inlineStr">
        <is>
          <t>https://fingertips.phe.org.uk/</t>
        </is>
      </c>
      <c r="R261" s="4" t="inlineStr">
        <is>
          <t>gb_ohid_fingertips</t>
        </is>
      </c>
    </row>
    <row r="262">
      <c r="A262" s="4" t="inlineStr">
        <is>
          <t>Global Subnational Infant Mortality Rates, Version 2 / 2.01</t>
        </is>
      </c>
      <c r="B262" s="4" t="inlineStr">
        <is>
          <t>CIESIN, Columbia University</t>
        </is>
      </c>
      <c r="C262" s="4" t="inlineStr">
        <is>
          <t>health_outcome</t>
        </is>
      </c>
      <c r="D262" s="4" t="inlineStr">
        <is>
          <t>global (234 countries and territories, 143 with subnational units; extent N85 S-90 E180 W-180)</t>
        </is>
      </c>
      <c r="E262" s="4" t="inlineStr">
        <is>
          <t>grid_1km (30 arc-second grid)</t>
        </is>
      </c>
      <c r="F262" s="4" t="inlineStr">
        <is>
          <t>2015 (single benchmark year; temporal extent 2015-01-01 to 2015-12-31; source surveys 2006-2014)</t>
        </is>
      </c>
      <c r="G262" s="4" t="n">
        <v>2015</v>
      </c>
      <c r="H262" s="4" t="inlineStr">
        <is>
          <t>open</t>
        </is>
      </c>
      <c r="I262" s="4" t="inlineStr">
        <is>
          <t>openly shared, without restriction (EOSDIS Data Use and Citation Guidance; NASA-led mission data CC0, non-NASA data subject to the sponsoring organization's licence; citation strongly urged)</t>
        </is>
      </c>
      <c r="J262" s="4" t="inlineStr">
        <is>
          <t>registration</t>
        </is>
      </c>
      <c r="K262" s="4" t="inlineStr">
        <is>
          <t>geotiff; wms; pdf; png</t>
        </is>
      </c>
      <c r="L262" s="4" t="inlineStr">
        <is>
          <t>Needs raster support</t>
        </is>
      </c>
      <c r="M262" s="4" t="n">
        <v>3</v>
      </c>
      <c r="N262" s="4" t="inlineStr"/>
      <c r="O262" s="19" t="inlineStr">
        <is>
          <t>Silver</t>
        </is>
      </c>
      <c r="P262" s="4" t="n">
        <v>91</v>
      </c>
      <c r="Q262" s="17" t="inlineStr">
        <is>
          <t>https://www.earthdata.nasa.gov/data/catalog/esdis-ciesin-sedac-pmp-imr-v2-2.0</t>
        </is>
      </c>
      <c r="R262" s="4" t="inlineStr">
        <is>
          <t>global_sedac_infant_mortality_v2</t>
        </is>
      </c>
    </row>
    <row r="263">
      <c r="A263" s="4" t="inlineStr">
        <is>
          <t>Global: Reported number of pregnant women presenting at antenatal clinics (ANC) who were tested for HIV or already knew their HIV positive status</t>
        </is>
      </c>
      <c r="B263" s="4" t="inlineStr">
        <is>
          <t>UNICEF Data and Analytics (HQ)</t>
        </is>
      </c>
      <c r="C263" s="4" t="inlineStr">
        <is>
          <t>health_outcome</t>
        </is>
      </c>
      <c r="D263" s="4" t="inlineStr"/>
      <c r="E263" s="4" t="inlineStr">
        <is>
          <t>country</t>
        </is>
      </c>
      <c r="F263" s="4" t="inlineStr">
        <is>
          <t>2015-2024</t>
        </is>
      </c>
      <c r="G263" s="4" t="n">
        <v>2024</v>
      </c>
      <c r="H263" s="4" t="inlineStr"/>
      <c r="I263" s="4" t="inlineStr">
        <is>
          <t>CC BY 3.0 IGO</t>
        </is>
      </c>
      <c r="J263" s="4" t="inlineStr">
        <is>
          <t>open_download</t>
        </is>
      </c>
      <c r="K263" s="4" t="inlineStr">
        <is>
          <t>CSV, XML</t>
        </is>
      </c>
      <c r="L263" s="4" t="inlineStr">
        <is>
          <t>Needs a count/distance step</t>
        </is>
      </c>
      <c r="M263" s="4" t="n">
        <v>3</v>
      </c>
      <c r="N263" s="4" t="inlineStr"/>
      <c r="O263" s="19" t="inlineStr">
        <is>
          <t>Silver</t>
        </is>
      </c>
      <c r="P263" s="4" t="n">
        <v>50</v>
      </c>
      <c r="Q263" s="17" t="inlineStr">
        <is>
          <t>https://data.humdata.org/dataset/unicef-hva-pmtct-stat-num</t>
        </is>
      </c>
      <c r="R263" s="4" t="inlineStr">
        <is>
          <t>hdx_global_reported_number_of_pregnant_women_presenting_at</t>
        </is>
      </c>
    </row>
    <row r="264">
      <c r="A264" s="4" t="inlineStr">
        <is>
          <t>Health Facilities in Mekong Countries 2020</t>
        </is>
      </c>
      <c r="B264" s="4" t="inlineStr">
        <is>
          <t>Open Development Mekong</t>
        </is>
      </c>
      <c r="C264" s="4" t="inlineStr">
        <is>
          <t>health_outcome</t>
        </is>
      </c>
      <c r="D264" s="4" t="inlineStr">
        <is>
          <t>Cambodia, Lao PDR, Myanmar, Thailand, Viet Nam (bbox 5.77-26.33 N, 92.15-109.31 E)</t>
        </is>
      </c>
      <c r="E264" s="4" t="inlineStr">
        <is>
          <t>point</t>
        </is>
      </c>
      <c r="F264" s="4" t="inlineStr">
        <is>
          <t>2020 (single year; dataset reference date 2020-01-01)</t>
        </is>
      </c>
      <c r="G264" s="4" t="n">
        <v>2020</v>
      </c>
      <c r="H264" s="4" t="inlineStr">
        <is>
          <t>open</t>
        </is>
      </c>
      <c r="I264" s="4" t="inlineStr">
        <is>
          <t>Open Data Commons Open Database License (ODbL)</t>
        </is>
      </c>
      <c r="J264" s="4" t="inlineStr">
        <is>
          <t>open_download</t>
        </is>
      </c>
      <c r="K264" s="4" t="inlineStr">
        <is>
          <t>sqlite; db_table (datastore dump); geojson; kml; gpkg (shapefile download delivered as GeoPackage); wms</t>
        </is>
      </c>
      <c r="L264" s="4" t="inlineStr">
        <is>
          <t>Needs a count/distance step</t>
        </is>
      </c>
      <c r="M264" s="4" t="n">
        <v>3</v>
      </c>
      <c r="N264" s="4" t="inlineStr"/>
      <c r="O264" s="19" t="inlineStr">
        <is>
          <t>Silver</t>
        </is>
      </c>
      <c r="P264" s="4" t="n">
        <v>100</v>
      </c>
      <c r="Q264" s="17" t="inlineStr">
        <is>
          <t>https://data.opendevelopmentmekong.net/dataset/health-facilities-in-mekong-countries-2020</t>
        </is>
      </c>
      <c r="R264" s="4" t="inlineStr">
        <is>
          <t>mekong_odm_health_facilities_in_mekong_countries_2020</t>
        </is>
      </c>
    </row>
    <row r="265">
      <c r="A265" s="4" t="inlineStr">
        <is>
          <t>Health facilities in Thailand 2020</t>
        </is>
      </c>
      <c r="B265" s="4" t="inlineStr">
        <is>
          <t>Open Development Thailand</t>
        </is>
      </c>
      <c r="C265" s="4" t="inlineStr">
        <is>
          <t>health_outcome</t>
        </is>
      </c>
      <c r="D265" s="4" t="inlineStr">
        <is>
          <t>Thailand (bbox 97.70-105.60 E, 5.73-20.44 N)</t>
        </is>
      </c>
      <c r="E265" s="4" t="inlineStr">
        <is>
          <t>point</t>
        </is>
      </c>
      <c r="F265" s="4" t="inlineStr">
        <is>
          <t>2020 (single year; temporal extent start and end 2020-01-01)</t>
        </is>
      </c>
      <c r="G265" s="4" t="n">
        <v>2020</v>
      </c>
      <c r="H265" s="4" t="inlineStr">
        <is>
          <t>attribution</t>
        </is>
      </c>
      <c r="I265" s="4" t="inlineStr">
        <is>
          <t>Creative Commons Attribution (version not stated)</t>
        </is>
      </c>
      <c r="J265" s="4" t="inlineStr">
        <is>
          <t>open_download</t>
        </is>
      </c>
      <c r="K265" s="4" t="inlineStr">
        <is>
          <t>csv (Thai and English); geojson; kml; gpkg (shapefile download delivered as GeoPackage); db_table; wms</t>
        </is>
      </c>
      <c r="L265" s="4" t="inlineStr">
        <is>
          <t>Needs a count/distance step</t>
        </is>
      </c>
      <c r="M265" s="4" t="n">
        <v>3</v>
      </c>
      <c r="N265" s="4" t="inlineStr"/>
      <c r="O265" s="13" t="inlineStr">
        <is>
          <t>Gold</t>
        </is>
      </c>
      <c r="P265" s="4" t="n">
        <v>100</v>
      </c>
      <c r="Q265" s="17" t="inlineStr">
        <is>
          <t>https://data.opendevelopmentmekong.net/dataset/health-facilities-in-thailand-2020</t>
        </is>
      </c>
      <c r="R265" s="4" t="inlineStr">
        <is>
          <t>mekong_odm_health_facilities_in_thailand_2020</t>
        </is>
      </c>
    </row>
    <row r="266">
      <c r="A266" s="4" t="inlineStr">
        <is>
          <t>Health Facilities of Ghana</t>
        </is>
      </c>
      <c r="B266" s="4" t="inlineStr">
        <is>
          <t>Humanitarian OpenStreetMap Team (HOT)</t>
        </is>
      </c>
      <c r="C266" s="4" t="inlineStr">
        <is>
          <t>health_outcome</t>
        </is>
      </c>
      <c r="D266" s="4" t="inlineStr">
        <is>
          <t>GHA</t>
        </is>
      </c>
      <c r="E266" s="4" t="inlineStr">
        <is>
          <t>points (OSM)</t>
        </is>
      </c>
      <c r="F266" s="4" t="inlineStr">
        <is>
          <t>snapshot 2026-10-07</t>
        </is>
      </c>
      <c r="G266" s="4" t="n">
        <v>2026</v>
      </c>
      <c r="H266" s="4" t="inlineStr"/>
      <c r="I266" s="4" t="inlineStr">
        <is>
          <t>ODbL</t>
        </is>
      </c>
      <c r="J266" s="4" t="inlineStr">
        <is>
          <t>open_download</t>
        </is>
      </c>
      <c r="K266" s="4" t="inlineStr">
        <is>
          <t>GeoJSON, GeoPackage, GeoParquet, SHP, KML</t>
        </is>
      </c>
      <c r="L266" s="4" t="inlineStr">
        <is>
          <t>Needs a count/distance step</t>
        </is>
      </c>
      <c r="M266" s="4" t="n">
        <v>3</v>
      </c>
      <c r="N266" s="4" t="inlineStr"/>
      <c r="O266" s="19" t="inlineStr">
        <is>
          <t>Silver</t>
        </is>
      </c>
      <c r="P266" s="4" t="n">
        <v>50</v>
      </c>
      <c r="Q266" s="17" t="inlineStr">
        <is>
          <t>https://data.humdata.org/dataset/hotosm_gha_health_facilities</t>
        </is>
      </c>
      <c r="R266" s="4" t="inlineStr">
        <is>
          <t>hdx_health_facilities_of_ghana</t>
        </is>
      </c>
    </row>
    <row r="267">
      <c r="A267" s="4" t="inlineStr">
        <is>
          <t>Health Facilities of India</t>
        </is>
      </c>
      <c r="B267" s="4" t="inlineStr">
        <is>
          <t>Humanitarian OpenStreetMap Team (HOT)</t>
        </is>
      </c>
      <c r="C267" s="4" t="inlineStr">
        <is>
          <t>health_outcome</t>
        </is>
      </c>
      <c r="D267" s="4" t="inlineStr">
        <is>
          <t>IND</t>
        </is>
      </c>
      <c r="E267" s="4" t="inlineStr">
        <is>
          <t>points (OSM)</t>
        </is>
      </c>
      <c r="F267" s="4" t="inlineStr">
        <is>
          <t>snapshot 2026-10-09</t>
        </is>
      </c>
      <c r="G267" s="4" t="n">
        <v>2026</v>
      </c>
      <c r="H267" s="4" t="inlineStr"/>
      <c r="I267" s="4" t="inlineStr">
        <is>
          <t>ODbL</t>
        </is>
      </c>
      <c r="J267" s="4" t="inlineStr">
        <is>
          <t>open_download</t>
        </is>
      </c>
      <c r="K267" s="4" t="inlineStr">
        <is>
          <t>GeoJSON, GeoPackage, GeoParquet, SHP, KML</t>
        </is>
      </c>
      <c r="L267" s="4" t="inlineStr">
        <is>
          <t>Needs a count/distance step</t>
        </is>
      </c>
      <c r="M267" s="4" t="n">
        <v>3</v>
      </c>
      <c r="N267" s="4" t="inlineStr"/>
      <c r="O267" s="19" t="inlineStr">
        <is>
          <t>Silver</t>
        </is>
      </c>
      <c r="P267" s="4" t="n">
        <v>50</v>
      </c>
      <c r="Q267" s="17" t="inlineStr">
        <is>
          <t>https://data.humdata.org/dataset/hotosm_ind_health_facilities</t>
        </is>
      </c>
      <c r="R267" s="4" t="inlineStr">
        <is>
          <t>hdx_health_facilities_of_india</t>
        </is>
      </c>
    </row>
    <row r="268">
      <c r="A268" s="4" t="inlineStr">
        <is>
          <t>Health Facilities of Indonesia</t>
        </is>
      </c>
      <c r="B268" s="4" t="inlineStr">
        <is>
          <t>Humanitarian OpenStreetMap Team (HOT)</t>
        </is>
      </c>
      <c r="C268" s="4" t="inlineStr">
        <is>
          <t>health_outcome</t>
        </is>
      </c>
      <c r="D268" s="4" t="inlineStr">
        <is>
          <t>IDN</t>
        </is>
      </c>
      <c r="E268" s="4" t="inlineStr">
        <is>
          <t>points (OSM)</t>
        </is>
      </c>
      <c r="F268" s="4" t="inlineStr">
        <is>
          <t>snapshot 2026-10-09</t>
        </is>
      </c>
      <c r="G268" s="4" t="n">
        <v>2026</v>
      </c>
      <c r="H268" s="4" t="inlineStr"/>
      <c r="I268" s="4" t="inlineStr">
        <is>
          <t>ODbL</t>
        </is>
      </c>
      <c r="J268" s="4" t="inlineStr">
        <is>
          <t>open_download</t>
        </is>
      </c>
      <c r="K268" s="4" t="inlineStr">
        <is>
          <t>GeoJSON, GeoPackage, GeoParquet, SHP, KML</t>
        </is>
      </c>
      <c r="L268" s="4" t="inlineStr">
        <is>
          <t>Needs a count/distance step</t>
        </is>
      </c>
      <c r="M268" s="4" t="n">
        <v>3</v>
      </c>
      <c r="N268" s="4" t="inlineStr"/>
      <c r="O268" s="19" t="inlineStr">
        <is>
          <t>Silver</t>
        </is>
      </c>
      <c r="P268" s="4" t="n">
        <v>50</v>
      </c>
      <c r="Q268" s="17" t="inlineStr">
        <is>
          <t>https://data.humdata.org/dataset/hotosm_idn_health_facilities</t>
        </is>
      </c>
      <c r="R268" s="4" t="inlineStr">
        <is>
          <t>hdx_health_facilities_of_indonesia</t>
        </is>
      </c>
    </row>
    <row r="269">
      <c r="A269" s="4" t="inlineStr">
        <is>
          <t>Health Facilities of Kenya</t>
        </is>
      </c>
      <c r="B269" s="4" t="inlineStr">
        <is>
          <t>Humanitarian OpenStreetMap Team (HOT)</t>
        </is>
      </c>
      <c r="C269" s="4" t="inlineStr">
        <is>
          <t>health_outcome</t>
        </is>
      </c>
      <c r="D269" s="4" t="inlineStr">
        <is>
          <t>KEN</t>
        </is>
      </c>
      <c r="E269" s="4" t="inlineStr">
        <is>
          <t>points (OSM)</t>
        </is>
      </c>
      <c r="F269" s="4" t="inlineStr">
        <is>
          <t>snapshot 2026-10-12</t>
        </is>
      </c>
      <c r="G269" s="4" t="n">
        <v>2026</v>
      </c>
      <c r="H269" s="4" t="inlineStr"/>
      <c r="I269" s="4" t="inlineStr">
        <is>
          <t>ODbL</t>
        </is>
      </c>
      <c r="J269" s="4" t="inlineStr">
        <is>
          <t>open_download</t>
        </is>
      </c>
      <c r="K269" s="4" t="inlineStr">
        <is>
          <t>GeoJSON, GeoPackage, GeoParquet, SHP, KML</t>
        </is>
      </c>
      <c r="L269" s="4" t="inlineStr">
        <is>
          <t>Needs a count/distance step</t>
        </is>
      </c>
      <c r="M269" s="4" t="n">
        <v>3</v>
      </c>
      <c r="N269" s="4" t="inlineStr"/>
      <c r="O269" s="19" t="inlineStr">
        <is>
          <t>Silver</t>
        </is>
      </c>
      <c r="P269" s="4" t="n">
        <v>50</v>
      </c>
      <c r="Q269" s="17" t="inlineStr">
        <is>
          <t>https://data.humdata.org/dataset/hotosm_ken_health_facilities</t>
        </is>
      </c>
      <c r="R269" s="4" t="inlineStr">
        <is>
          <t>hdx_health_facilities_of_kenya</t>
        </is>
      </c>
    </row>
    <row r="270">
      <c r="A270" s="4" t="inlineStr">
        <is>
          <t>Health Facilities of Philippines</t>
        </is>
      </c>
      <c r="B270" s="4" t="inlineStr">
        <is>
          <t>Humanitarian OpenStreetMap Team (HOT)</t>
        </is>
      </c>
      <c r="C270" s="4" t="inlineStr">
        <is>
          <t>health_outcome</t>
        </is>
      </c>
      <c r="D270" s="4" t="inlineStr">
        <is>
          <t>PHL</t>
        </is>
      </c>
      <c r="E270" s="4" t="inlineStr">
        <is>
          <t>points (OSM)</t>
        </is>
      </c>
      <c r="F270" s="4" t="inlineStr">
        <is>
          <t>snapshot 2026-10-12</t>
        </is>
      </c>
      <c r="G270" s="4" t="n">
        <v>2026</v>
      </c>
      <c r="H270" s="4" t="inlineStr"/>
      <c r="I270" s="4" t="inlineStr">
        <is>
          <t>ODbL</t>
        </is>
      </c>
      <c r="J270" s="4" t="inlineStr">
        <is>
          <t>open_download</t>
        </is>
      </c>
      <c r="K270" s="4" t="inlineStr">
        <is>
          <t>GeoJSON, GeoPackage, GeoParquet, SHP, KML</t>
        </is>
      </c>
      <c r="L270" s="4" t="inlineStr">
        <is>
          <t>Needs a count/distance step</t>
        </is>
      </c>
      <c r="M270" s="4" t="n">
        <v>3</v>
      </c>
      <c r="N270" s="4" t="inlineStr"/>
      <c r="O270" s="19" t="inlineStr">
        <is>
          <t>Silver</t>
        </is>
      </c>
      <c r="P270" s="4" t="n">
        <v>50</v>
      </c>
      <c r="Q270" s="17" t="inlineStr">
        <is>
          <t>https://data.humdata.org/dataset/hotosm_phl_health_facilities</t>
        </is>
      </c>
      <c r="R270" s="4" t="inlineStr">
        <is>
          <t>hdx_health_facilities_of_philippines</t>
        </is>
      </c>
    </row>
    <row r="271">
      <c r="A271" s="4" t="inlineStr">
        <is>
          <t>Integrated African Health Observatory (iAHO)</t>
        </is>
      </c>
      <c r="B271" s="4" t="inlineStr">
        <is>
          <t>World Health Organization</t>
        </is>
      </c>
      <c r="C271" s="4" t="inlineStr">
        <is>
          <t>health_outcome</t>
        </is>
      </c>
      <c r="D271" s="4" t="inlineStr">
        <is>
          <t>WHO Africa Region</t>
        </is>
      </c>
      <c r="E271" s="4" t="inlineStr">
        <is>
          <t>country</t>
        </is>
      </c>
      <c r="F271" s="4" t="inlineStr"/>
      <c r="G271" s="4" t="inlineStr"/>
      <c r="H271" s="4" t="inlineStr">
        <is>
          <t>unknown</t>
        </is>
      </c>
      <c r="I271" s="4" t="inlineStr"/>
      <c r="J271" s="4" t="inlineStr">
        <is>
          <t>open_download</t>
        </is>
      </c>
      <c r="K271" s="4" t="inlineStr">
        <is>
          <t>web</t>
        </is>
      </c>
      <c r="L271" s="4" t="inlineStr">
        <is>
          <t>Not linkable as listed</t>
        </is>
      </c>
      <c r="M271" s="4" t="n">
        <v>3</v>
      </c>
      <c r="N271" s="4" t="inlineStr"/>
      <c r="O271" s="19" t="inlineStr">
        <is>
          <t>Silver</t>
        </is>
      </c>
      <c r="P271" s="4" t="n">
        <v>92</v>
      </c>
      <c r="Q271" s="17" t="inlineStr">
        <is>
          <t>https://aho.afro.who.int/</t>
        </is>
      </c>
      <c r="R271" s="4" t="inlineStr">
        <is>
          <t>global_who_afro_iaho</t>
        </is>
      </c>
    </row>
    <row r="272">
      <c r="A272" s="4" t="inlineStr">
        <is>
          <t>Interactive Atlas of Heart Disease and Stroke</t>
        </is>
      </c>
      <c r="B272" s="4" t="inlineStr">
        <is>
          <t>Centers for Disease Control and Prevention</t>
        </is>
      </c>
      <c r="C272" s="4" t="inlineStr">
        <is>
          <t>health_outcome</t>
        </is>
      </c>
      <c r="D272" s="4" t="inlineStr">
        <is>
          <t>'A map of the entire United States'; territories not mentioned</t>
        </is>
      </c>
      <c r="E272" s="4" t="inlineStr">
        <is>
          <t>tract</t>
        </is>
      </c>
      <c r="F272" s="4" t="inlineStr">
        <is>
          <t>rolling 3-year periods (e.g. 2018-2020; 2022-2024)</t>
        </is>
      </c>
      <c r="G272" s="4" t="n">
        <v>2026</v>
      </c>
      <c r="H272" s="4" t="inlineStr">
        <is>
          <t>public_domain_us_federal</t>
        </is>
      </c>
      <c r="I272" s="4" t="inlineStr"/>
      <c r="J272" s="4" t="inlineStr">
        <is>
          <t>open_download</t>
        </is>
      </c>
      <c r="K272" s="4" t="inlineStr">
        <is>
          <t>web map; csv (data.gov); shp/gdb (per 2019 CDC note)</t>
        </is>
      </c>
      <c r="L272" s="4" t="inlineStr">
        <is>
          <t>Joins today</t>
        </is>
      </c>
      <c r="M272" s="4" t="n">
        <v>3</v>
      </c>
      <c r="N272" s="4" t="inlineStr"/>
      <c r="O272" s="19" t="inlineStr">
        <is>
          <t>Silver</t>
        </is>
      </c>
      <c r="P272" s="4" t="n">
        <v>97</v>
      </c>
      <c r="Q272" s="17" t="inlineStr">
        <is>
          <t>https://www.cdc.gov/heart-disease-stroke-atlas/about/index.html</t>
        </is>
      </c>
      <c r="R272" s="4" t="inlineStr">
        <is>
          <t>us_cdc_heart_disease_stroke_atlas</t>
        </is>
      </c>
    </row>
    <row r="273">
      <c r="A273" s="4" t="inlineStr">
        <is>
          <t>Malaria Atlas Project (MAP) global rasters: Pf parasite rate, incidence, ITN coverage, accessibility to cities and healthcare travel time (Weiss et al.)</t>
        </is>
      </c>
      <c r="B273" s="4" t="inlineStr">
        <is>
          <t>Malaria Atlas Project, Telethon Kids Institute / Curtin University (formerly University of Oxford)</t>
        </is>
      </c>
      <c r="C273" s="4" t="inlineStr">
        <is>
          <t>health_outcome</t>
        </is>
      </c>
      <c r="D273" s="4" t="inlineStr">
        <is>
          <t>global (malaria-endemic regions for malaria metrics; global for accessibility)</t>
        </is>
      </c>
      <c r="E273" s="4" t="inlineStr">
        <is>
          <t>national, subnational, pixel</t>
        </is>
      </c>
      <c r="F273" s="4" t="inlineStr">
        <is>
          <t>2000-2025</t>
        </is>
      </c>
      <c r="G273" s="4" t="n">
        <v>2022</v>
      </c>
      <c r="H273" s="4" t="inlineStr"/>
      <c r="I273" s="4" t="inlineStr">
        <is>
          <t>not read</t>
        </is>
      </c>
      <c r="J273" s="4" t="inlineStr">
        <is>
          <t>open_download</t>
        </is>
      </c>
      <c r="K273" s="4" t="inlineStr">
        <is>
          <t>download (rasters and tables)</t>
        </is>
      </c>
      <c r="L273" s="4" t="inlineStr">
        <is>
          <t>Needs raster support</t>
        </is>
      </c>
      <c r="M273" s="4" t="n">
        <v>3</v>
      </c>
      <c r="N273" s="4" t="inlineStr"/>
      <c r="O273" s="19" t="inlineStr">
        <is>
          <t>Silver</t>
        </is>
      </c>
      <c r="P273" s="4" t="n">
        <v>86</v>
      </c>
      <c r="Q273" s="17" t="inlineStr">
        <is>
          <t>https://data.malariaatlas.org/</t>
        </is>
      </c>
      <c r="R273" s="4" t="inlineStr">
        <is>
          <t>global_malaria_atlas_project_rasters</t>
        </is>
      </c>
    </row>
    <row r="274">
      <c r="A274" s="4" t="inlineStr">
        <is>
          <t>Nigeria: Health facilities</t>
        </is>
      </c>
      <c r="B274" s="4" t="inlineStr">
        <is>
          <t>HDX</t>
        </is>
      </c>
      <c r="C274" s="4" t="inlineStr">
        <is>
          <t>health_outcome</t>
        </is>
      </c>
      <c r="D274" s="4" t="inlineStr">
        <is>
          <t>NGA</t>
        </is>
      </c>
      <c r="E274" s="4" t="inlineStr">
        <is>
          <t>points</t>
        </is>
      </c>
      <c r="F274" s="4" t="inlineStr">
        <is>
          <t>2020-10-06</t>
        </is>
      </c>
      <c r="G274" s="4" t="n">
        <v>2020</v>
      </c>
      <c r="H274" s="4" t="inlineStr"/>
      <c r="I274" s="4" t="inlineStr">
        <is>
          <t>CC BY</t>
        </is>
      </c>
      <c r="J274" s="4" t="inlineStr">
        <is>
          <t>open_download</t>
        </is>
      </c>
      <c r="K274" s="4" t="inlineStr">
        <is>
          <t>JSON, SHP, CSV</t>
        </is>
      </c>
      <c r="L274" s="4" t="inlineStr">
        <is>
          <t>Needs a count/distance step</t>
        </is>
      </c>
      <c r="M274" s="4" t="n">
        <v>3</v>
      </c>
      <c r="N274" s="4" t="inlineStr"/>
      <c r="O274" s="19" t="inlineStr">
        <is>
          <t>Silver</t>
        </is>
      </c>
      <c r="P274" s="4" t="n">
        <v>50</v>
      </c>
      <c r="Q274" s="17" t="inlineStr">
        <is>
          <t>https://data.humdata.org/dataset/nigeria-health-facilities</t>
        </is>
      </c>
      <c r="R274" s="4" t="inlineStr">
        <is>
          <t>hdx_nigeria_health_facilities</t>
        </is>
      </c>
    </row>
    <row r="275">
      <c r="A275" s="4" t="inlineStr">
        <is>
          <t>Nigeria: Hospitals and Clinics with registration status and Location</t>
        </is>
      </c>
      <c r="B275" s="4" t="inlineStr">
        <is>
          <t>HDX</t>
        </is>
      </c>
      <c r="C275" s="4" t="inlineStr">
        <is>
          <t>health_outcome</t>
        </is>
      </c>
      <c r="D275" s="4" t="inlineStr">
        <is>
          <t>NGA</t>
        </is>
      </c>
      <c r="E275" s="4" t="inlineStr">
        <is>
          <t>facility list with location</t>
        </is>
      </c>
      <c r="F275" s="4" t="inlineStr">
        <is>
          <t>2021-09-24</t>
        </is>
      </c>
      <c r="G275" s="4" t="n">
        <v>2021</v>
      </c>
      <c r="H275" s="4" t="inlineStr"/>
      <c r="I275" s="4" t="inlineStr">
        <is>
          <t>CC BY</t>
        </is>
      </c>
      <c r="J275" s="4" t="inlineStr">
        <is>
          <t>open_download</t>
        </is>
      </c>
      <c r="K275" s="4" t="inlineStr">
        <is>
          <t>XLSX</t>
        </is>
      </c>
      <c r="L275" s="4" t="inlineStr">
        <is>
          <t>Needs a count/distance step</t>
        </is>
      </c>
      <c r="M275" s="4" t="n">
        <v>3</v>
      </c>
      <c r="N275" s="4" t="inlineStr"/>
      <c r="O275" s="19" t="inlineStr">
        <is>
          <t>Silver</t>
        </is>
      </c>
      <c r="P275" s="4" t="n">
        <v>50</v>
      </c>
      <c r="Q275" s="17" t="inlineStr">
        <is>
          <t>https://data.humdata.org/dataset/nigeria-hospitals-and-clinics-with-registration-status-and-location</t>
        </is>
      </c>
      <c r="R275" s="4" t="inlineStr">
        <is>
          <t>hdx_nigeria_hospitals_and_clinics_with_registration_status</t>
        </is>
      </c>
    </row>
    <row r="276">
      <c r="A276" s="4" t="inlineStr">
        <is>
          <t>PLACES: Local Data for Better Health</t>
        </is>
      </c>
      <c r="B276" s="4" t="inlineStr">
        <is>
          <t>Centers for Disease Control and Prevention</t>
        </is>
      </c>
      <c r="C276" s="4" t="inlineStr">
        <is>
          <t>health_outcome</t>
        </is>
      </c>
      <c r="D276" s="4" t="inlineStr">
        <is>
          <t>United States (map alt text); 50 states + DC not stated</t>
        </is>
      </c>
      <c r="E276" s="4" t="inlineStr">
        <is>
          <t>tract</t>
        </is>
      </c>
      <c r="F276" s="4" t="inlineStr">
        <is>
          <t>Releases 2020-2025 (annual); PLACES 2025 release: 35 measures from 2023 BRFSS, 5 measures carried over from 2022 BRFSS; ACS 2019-2023 for all geographic levels; Census 2023 county population estimates</t>
        </is>
      </c>
      <c r="G276" s="4" t="n">
        <v>2023</v>
      </c>
      <c r="H276" s="4" t="inlineStr">
        <is>
          <t>public_domain_us_federal</t>
        </is>
      </c>
      <c r="I276" s="4" t="inlineStr"/>
      <c r="J276" s="4" t="inlineStr">
        <is>
          <t>open_download</t>
        </is>
      </c>
      <c r="K276" s="4" t="inlineStr">
        <is>
          <t>csv; api (Socrata/data.cdc.gov); gis</t>
        </is>
      </c>
      <c r="L276" s="4" t="inlineStr">
        <is>
          <t>Joins today</t>
        </is>
      </c>
      <c r="M276" s="4" t="n">
        <v>3</v>
      </c>
      <c r="N276" s="4" t="inlineStr"/>
      <c r="O276" s="13" t="inlineStr">
        <is>
          <t>Gold</t>
        </is>
      </c>
      <c r="P276" s="4" t="n">
        <v>93</v>
      </c>
      <c r="Q276" s="17" t="inlineStr">
        <is>
          <t>https://www.cdc.gov/places/index.html</t>
        </is>
      </c>
      <c r="R276" s="4" t="inlineStr">
        <is>
          <t>us_cdc_places</t>
        </is>
      </c>
    </row>
    <row r="277">
      <c r="A277" s="4" t="inlineStr">
        <is>
          <t>Somalia - Health Facilities</t>
        </is>
      </c>
      <c r="B277" s="4" t="inlineStr">
        <is>
          <t>World Health Organization</t>
        </is>
      </c>
      <c r="C277" s="4" t="inlineStr">
        <is>
          <t>health_outcome</t>
        </is>
      </c>
      <c r="D277" s="4" t="inlineStr">
        <is>
          <t>SOM</t>
        </is>
      </c>
      <c r="E277" s="4" t="inlineStr">
        <is>
          <t>points</t>
        </is>
      </c>
      <c r="F277" s="4" t="inlineStr">
        <is>
          <t>2022-10 to 2023-10</t>
        </is>
      </c>
      <c r="G277" s="4" t="n">
        <v>2023</v>
      </c>
      <c r="H277" s="4" t="inlineStr"/>
      <c r="I277" s="4" t="inlineStr">
        <is>
          <t>CC BY-IGO</t>
        </is>
      </c>
      <c r="J277" s="4" t="inlineStr">
        <is>
          <t>open_download</t>
        </is>
      </c>
      <c r="K277" s="4" t="inlineStr">
        <is>
          <t>SHP, XLSX</t>
        </is>
      </c>
      <c r="L277" s="4" t="inlineStr">
        <is>
          <t>Needs a count/distance step</t>
        </is>
      </c>
      <c r="M277" s="4" t="n">
        <v>3</v>
      </c>
      <c r="N277" s="4" t="inlineStr"/>
      <c r="O277" s="19" t="inlineStr">
        <is>
          <t>Silver</t>
        </is>
      </c>
      <c r="P277" s="4" t="n">
        <v>50</v>
      </c>
      <c r="Q277" s="17" t="inlineStr">
        <is>
          <t>https://data.humdata.org/dataset/somalia-health-facilities-data</t>
        </is>
      </c>
      <c r="R277" s="4" t="inlineStr">
        <is>
          <t>hdx_somalia_health_facilities</t>
        </is>
      </c>
    </row>
    <row r="278">
      <c r="A278" s="4" t="inlineStr">
        <is>
          <t>State Cancer Profiles</t>
        </is>
      </c>
      <c r="B278" s="4" t="inlineStr">
        <is>
          <t>National Cancer Institute and CDC</t>
        </is>
      </c>
      <c r="C278" s="4" t="inlineStr">
        <is>
          <t>health_outcome</t>
        </is>
      </c>
      <c r="D278" s="4" t="inlineStr">
        <is>
          <t>US (50 states, DC, Puerto Rico); also Health Service Areas, metropolitan registries, rural/urban</t>
        </is>
      </c>
      <c r="E278" s="4" t="inlineStr">
        <is>
          <t>county</t>
        </is>
      </c>
      <c r="F278" s="4" t="inlineStr">
        <is>
          <t>incidence diagnosis years through 2023 (SEER and NPCR-CSS Nov 2025 submissions); mortality through 2024; ACS and SAHIE demographics through 2024; BRFSS through 2024; county small-area estimates 2021-2023</t>
        </is>
      </c>
      <c r="G278" s="4" t="n">
        <v>2024</v>
      </c>
      <c r="H278" s="4" t="inlineStr">
        <is>
          <t>public_domain_us_federal</t>
        </is>
      </c>
      <c r="I278" s="4" t="inlineStr"/>
      <c r="J278" s="4" t="inlineStr">
        <is>
          <t>open_download (interactive tables, maps and graphs with an Export function; export format not stated; no API mentioned)</t>
        </is>
      </c>
      <c r="K278" s="4" t="inlineStr">
        <is>
          <t>web tables/maps/graphs with export (format not stated)</t>
        </is>
      </c>
      <c r="L278" s="4" t="inlineStr">
        <is>
          <t>Joins today</t>
        </is>
      </c>
      <c r="M278" s="4" t="n">
        <v>3</v>
      </c>
      <c r="N278" s="4" t="inlineStr"/>
      <c r="O278" s="13" t="inlineStr">
        <is>
          <t>Gold</t>
        </is>
      </c>
      <c r="P278" s="4" t="n">
        <v>91</v>
      </c>
      <c r="Q278" s="17" t="inlineStr">
        <is>
          <t>https://statecancerprofiles.cancer.gov/</t>
        </is>
      </c>
      <c r="R278" s="4" t="inlineStr">
        <is>
          <t>us_nci_state_cancer_profiles</t>
        </is>
      </c>
    </row>
    <row r="279">
      <c r="A279" s="4" t="inlineStr">
        <is>
          <t>U.S. Chronic Disease Indicators (CDI)</t>
        </is>
      </c>
      <c r="B279" s="4" t="inlineStr">
        <is>
          <t>Centers for Disease Control and Prevention</t>
        </is>
      </c>
      <c r="C279" s="4" t="inlineStr">
        <is>
          <t>health_outcome</t>
        </is>
      </c>
      <c r="D279" s="4" t="inlineStr">
        <is>
          <t>US: all states, DC and territories (national and state estimates)</t>
        </is>
      </c>
      <c r="E279" s="4" t="inlineStr">
        <is>
          <t>admin1</t>
        </is>
      </c>
      <c r="F279" s="4" t="inlineStr">
        <is>
          <t>not stated on page (page reviewed June 2026)</t>
        </is>
      </c>
      <c r="G279" s="4" t="n">
        <v>2026</v>
      </c>
      <c r="H279" s="4" t="inlineStr">
        <is>
          <t>public_domain_us_federal</t>
        </is>
      </c>
      <c r="I279" s="4" t="inlineStr"/>
      <c r="J279" s="4" t="inlineStr">
        <is>
          <t>open_download (CDI Data Portal on data.cdc.gov: 'create a filtered CDI dataset ... or download CDI data')</t>
        </is>
      </c>
      <c r="K279" s="4" t="inlineStr">
        <is>
          <t>csv; api (data.cdc.gov); geojson; kml</t>
        </is>
      </c>
      <c r="L279" s="4" t="inlineStr">
        <is>
          <t>Joins today</t>
        </is>
      </c>
      <c r="M279" s="4" t="n">
        <v>3</v>
      </c>
      <c r="N279" s="4" t="inlineStr"/>
      <c r="O279" s="19" t="inlineStr">
        <is>
          <t>Silver</t>
        </is>
      </c>
      <c r="P279" s="4" t="n">
        <v>92</v>
      </c>
      <c r="Q279" s="17" t="inlineStr">
        <is>
          <t>https://www.cdc.gov/cdi/index.html</t>
        </is>
      </c>
      <c r="R279" s="4" t="inlineStr">
        <is>
          <t>us_cdc_chronic_disease_indicators</t>
        </is>
      </c>
    </row>
    <row r="280">
      <c r="A280" s="4" t="inlineStr">
        <is>
          <t>U.S. Small-area Life Expectancy Estimates Project (USALEEP)</t>
        </is>
      </c>
      <c r="B280" s="4" t="inlineStr">
        <is>
          <t>Centers for Disease Control and Prevention</t>
        </is>
      </c>
      <c r="C280" s="4" t="inlineStr">
        <is>
          <t>health_outcome</t>
        </is>
      </c>
      <c r="D280" s="4" t="inlineStr">
        <is>
          <t>US: all 50 states, DC and New York City (most census tracts); Census 2010 tract boundaries</t>
        </is>
      </c>
      <c r="E280" s="4" t="inlineStr">
        <is>
          <t>tract</t>
        </is>
      </c>
      <c r="F280" s="4" t="inlineStr">
        <is>
          <t>2010-2015 (single pooled period); published 2018</t>
        </is>
      </c>
      <c r="G280" s="4" t="n">
        <v>2015</v>
      </c>
      <c r="H280" s="4" t="inlineStr">
        <is>
          <t>open</t>
        </is>
      </c>
      <c r="I280" s="4" t="inlineStr">
        <is>
          <t>public domain (US Government work; 'citation as to source, however, is appreciated')</t>
        </is>
      </c>
      <c r="J280" s="4" t="inlineStr">
        <is>
          <t>open_download (CSV and XLS files per jurisdiction and national CSV files on ftp.cdc.gov)</t>
        </is>
      </c>
      <c r="K280" s="4" t="inlineStr">
        <is>
          <t>csv; xls</t>
        </is>
      </c>
      <c r="L280" s="4" t="inlineStr">
        <is>
          <t>Joins today</t>
        </is>
      </c>
      <c r="M280" s="4" t="n">
        <v>3</v>
      </c>
      <c r="N280" s="4" t="inlineStr"/>
      <c r="O280" s="13" t="inlineStr">
        <is>
          <t>Gold</t>
        </is>
      </c>
      <c r="P280" s="4" t="n">
        <v>94</v>
      </c>
      <c r="Q280" s="17" t="inlineStr">
        <is>
          <t>https://www.cdc.gov/nchs/nvss/usaleep/usaleep.html</t>
        </is>
      </c>
      <c r="R280" s="4" t="inlineStr">
        <is>
          <t>us_cdc_usaleep</t>
        </is>
      </c>
    </row>
    <row r="281">
      <c r="A281" s="4" t="inlineStr">
        <is>
          <t>United States COVID-19 Community Levels by County (archived)</t>
        </is>
      </c>
      <c r="B281" s="4" t="inlineStr">
        <is>
          <t>Centers for Disease Control and Prevention</t>
        </is>
      </c>
      <c r="C281" s="4" t="inlineStr">
        <is>
          <t>health_outcome</t>
        </is>
      </c>
      <c r="D281" s="4" t="inlineStr">
        <is>
          <t>US</t>
        </is>
      </c>
      <c r="E281" s="4" t="inlineStr">
        <is>
          <t>county</t>
        </is>
      </c>
      <c r="F281" s="4" t="inlineStr">
        <is>
          <t>2022-2023</t>
        </is>
      </c>
      <c r="G281" s="4" t="n">
        <v>2023</v>
      </c>
      <c r="H281" s="4" t="inlineStr">
        <is>
          <t>unknown</t>
        </is>
      </c>
      <c r="I281" s="4" t="inlineStr">
        <is>
          <t>public domain (US gov, assumed)</t>
        </is>
      </c>
      <c r="J281" s="4" t="inlineStr">
        <is>
          <t>open_download</t>
        </is>
      </c>
      <c r="K281" s="4" t="inlineStr">
        <is>
          <t>CSV, Socrata API</t>
        </is>
      </c>
      <c r="L281" s="4" t="inlineStr">
        <is>
          <t>Joins today</t>
        </is>
      </c>
      <c r="M281" s="4" t="n">
        <v>3</v>
      </c>
      <c r="N281" s="4" t="inlineStr"/>
      <c r="O281" s="19" t="inlineStr">
        <is>
          <t>Silver</t>
        </is>
      </c>
      <c r="P281" s="4" t="n">
        <v>92</v>
      </c>
      <c r="Q281" s="17" t="inlineStr">
        <is>
          <t>https://data.cdc.gov/Public-Health-Surveillance/United-States-COVID-19-Community-Levels-by-County/3nnm-4jni</t>
        </is>
      </c>
      <c r="R281" s="4" t="inlineStr">
        <is>
          <t>us_cdc_covid_community_levels</t>
        </is>
      </c>
    </row>
    <row r="282">
      <c r="A282" s="4" t="inlineStr">
        <is>
          <t>United States Mortality Rates by Causes of Death and Life Expectancy by County, Race, and Ethnicity 2000-2019</t>
        </is>
      </c>
      <c r="B282" s="4" t="inlineStr">
        <is>
          <t>Institute for Health Metrics and Evaluation (University of Washington)</t>
        </is>
      </c>
      <c r="C282" s="4" t="inlineStr">
        <is>
          <t>health_outcome</t>
        </is>
      </c>
      <c r="D282" s="4" t="inlineStr">
        <is>
          <t>US</t>
        </is>
      </c>
      <c r="E282" s="4" t="inlineStr">
        <is>
          <t>county</t>
        </is>
      </c>
      <c r="F282" s="4" t="inlineStr">
        <is>
          <t>1990-2023</t>
        </is>
      </c>
      <c r="G282" s="4" t="n">
        <v>2023</v>
      </c>
      <c r="H282" s="4" t="inlineStr">
        <is>
          <t>non-commercial</t>
        </is>
      </c>
      <c r="I282" s="4" t="inlineStr">
        <is>
          <t>IHME non-commercial user agreement</t>
        </is>
      </c>
      <c r="J282" s="4" t="inlineStr">
        <is>
          <t>open_download</t>
        </is>
      </c>
      <c r="K282" s="4" t="inlineStr">
        <is>
          <t>CSV</t>
        </is>
      </c>
      <c r="L282" s="4" t="inlineStr">
        <is>
          <t>Joins today</t>
        </is>
      </c>
      <c r="M282" s="4" t="n">
        <v>3</v>
      </c>
      <c r="N282" s="4" t="inlineStr"/>
      <c r="O282" s="19" t="inlineStr">
        <is>
          <t>Silver</t>
        </is>
      </c>
      <c r="P282" s="4" t="n">
        <v>88</v>
      </c>
      <c r="Q282" s="17" t="inlineStr">
        <is>
          <t>https://ghdx.healthdata.org/us-data</t>
        </is>
      </c>
      <c r="R282" s="4" t="inlineStr">
        <is>
          <t>us_ihme_county_mortality_life_expectancy</t>
        </is>
      </c>
    </row>
    <row r="283">
      <c r="A283" s="4" t="inlineStr">
        <is>
          <t>WHO Mortality Database</t>
        </is>
      </c>
      <c r="B283" s="4" t="inlineStr">
        <is>
          <t>World Health Organization</t>
        </is>
      </c>
      <c r="C283" s="4" t="inlineStr">
        <is>
          <t>health_outcome</t>
        </is>
      </c>
      <c r="D283" s="4" t="inlineStr">
        <is>
          <t>global: over 120 countries and areas (only those with at least 65% completeness published)</t>
        </is>
      </c>
      <c r="E283" s="4" t="inlineStr">
        <is>
          <t>country</t>
        </is>
      </c>
      <c r="F283" s="4" t="inlineStr">
        <is>
          <t>1950 to date (ongoing); latest data year not stated; 18-24 month reporting lag</t>
        </is>
      </c>
      <c r="G283" s="4" t="n">
        <v>2026</v>
      </c>
      <c r="H283" s="4" t="inlineStr">
        <is>
          <t>unknown</t>
        </is>
      </c>
      <c r="I283" s="4" t="inlineStr"/>
      <c r="J283" s="4" t="inlineStr">
        <is>
          <t>open_download</t>
        </is>
      </c>
      <c r="K283" s="4" t="inlineStr">
        <is>
          <t>web</t>
        </is>
      </c>
      <c r="L283" s="4" t="inlineStr">
        <is>
          <t>Not linkable as listed</t>
        </is>
      </c>
      <c r="M283" s="4" t="n">
        <v>3</v>
      </c>
      <c r="N283" s="4" t="inlineStr"/>
      <c r="O283" s="19" t="inlineStr">
        <is>
          <t>Silver</t>
        </is>
      </c>
      <c r="P283" s="4" t="n">
        <v>97</v>
      </c>
      <c r="Q283" s="17" t="inlineStr">
        <is>
          <t>https://platform.who.int/mortality</t>
        </is>
      </c>
      <c r="R283" s="4" t="inlineStr">
        <is>
          <t>global_who_mortality_database</t>
        </is>
      </c>
    </row>
    <row r="284">
      <c r="A284" s="4" t="inlineStr">
        <is>
          <t>WHO Tuberculosis data (Global TB Programme)</t>
        </is>
      </c>
      <c r="B284" s="4" t="inlineStr">
        <is>
          <t>World Health Organization</t>
        </is>
      </c>
      <c r="C284" s="4" t="inlineStr">
        <is>
          <t>health_outcome</t>
        </is>
      </c>
      <c r="D284" s="4" t="inlineStr">
        <is>
          <t>global: all countries, areas and territories reporting to WHO, plus six WHO regions and global totals</t>
        </is>
      </c>
      <c r="E284" s="4" t="inlineStr">
        <is>
          <t>country</t>
        </is>
      </c>
      <c r="F284" s="4" t="inlineStr">
        <is>
          <t>annual report series since 1997 (latest: Global tuberculosis report 2025); provisional monthly/quarterly notifications from 2020 onwards</t>
        </is>
      </c>
      <c r="G284" s="4" t="n">
        <v>2025</v>
      </c>
      <c r="H284" s="4" t="inlineStr">
        <is>
          <t>non-commercial</t>
        </is>
      </c>
      <c r="I284" s="4" t="inlineStr">
        <is>
          <t>custom terms (WHO data policy terms and conditions): royalty-free use for public health purposes with attribution to WHO; no sale or transfer of datasets to third parties; not to be used to promote a commercial enterprise; alterations beyond style need WHO authorisation</t>
        </is>
      </c>
      <c r="J284" s="4" t="inlineStr">
        <is>
          <t>open_download</t>
        </is>
      </c>
      <c r="K284" s="4" t="inlineStr">
        <is>
          <t>csv</t>
        </is>
      </c>
      <c r="L284" s="4" t="inlineStr">
        <is>
          <t>Not linkable as listed</t>
        </is>
      </c>
      <c r="M284" s="4" t="n">
        <v>3</v>
      </c>
      <c r="N284" s="4" t="inlineStr"/>
      <c r="O284" s="19" t="inlineStr">
        <is>
          <t>Silver</t>
        </is>
      </c>
      <c r="P284" s="4" t="n">
        <v>86</v>
      </c>
      <c r="Q284" s="17" t="inlineStr">
        <is>
          <t>https://www.who.int/teams/global-programme-on-tuberculosis-and-lung-health/data</t>
        </is>
      </c>
      <c r="R284" s="4" t="inlineStr">
        <is>
          <t>global_who_tb_data</t>
        </is>
      </c>
    </row>
    <row r="285">
      <c r="A285" s="4" t="inlineStr">
        <is>
          <t>Rural Urban Classification</t>
        </is>
      </c>
      <c r="B285" s="4" t="inlineStr">
        <is>
          <t>Department for Environment, Food &amp; Rural Affairs</t>
        </is>
      </c>
      <c r="C285" s="4" t="inlineStr">
        <is>
          <t>other</t>
        </is>
      </c>
      <c r="D285" s="4" t="inlineStr">
        <is>
          <t>England and Wales</t>
        </is>
      </c>
      <c r="E285" s="4" t="inlineStr">
        <is>
          <t>output_area (OA; 188,880 OAs of c. 100-625 people)</t>
        </is>
      </c>
      <c r="F285" s="4" t="inlineStr">
        <is>
          <t>2001, 2011 and 2021 census-based classifications</t>
        </is>
      </c>
      <c r="G285" s="4" t="n">
        <v>2021</v>
      </c>
      <c r="H285" s="4" t="inlineStr">
        <is>
          <t>open</t>
        </is>
      </c>
      <c r="I285" s="4" t="inlineStr">
        <is>
          <t>Open Government Licence v3.0</t>
        </is>
      </c>
      <c r="J285" s="4" t="inlineStr">
        <is>
          <t>open_download</t>
        </is>
      </c>
      <c r="K285" s="4" t="inlineStr">
        <is>
          <t>xlsx (supplementary tables); lookup format not stated</t>
        </is>
      </c>
      <c r="L285" s="4" t="inlineStr">
        <is>
          <t>Joins today</t>
        </is>
      </c>
      <c r="M285" s="4" t="n">
        <v>2</v>
      </c>
      <c r="N285" s="4" t="inlineStr"/>
      <c r="O285" s="13" t="inlineStr">
        <is>
          <t>Gold</t>
        </is>
      </c>
      <c r="P285" s="4" t="n">
        <v>93</v>
      </c>
      <c r="Q285" s="17" t="inlineStr">
        <is>
          <t>https://www.gov.uk/government/collections/rural-urban-classification</t>
        </is>
      </c>
      <c r="R285" s="4" t="inlineStr">
        <is>
          <t>gb_defra_ons_rural_urban_classification</t>
        </is>
      </c>
    </row>
    <row r="286">
      <c r="A286" s="4" t="inlineStr">
        <is>
          <t>UCDP Georeferenced Event Dataset (GED)</t>
        </is>
      </c>
      <c r="B286" s="4" t="inlineStr">
        <is>
          <t>Uppsala University</t>
        </is>
      </c>
      <c r="C286" s="4" t="inlineStr">
        <is>
          <t>other</t>
        </is>
      </c>
      <c r="D286" s="4" t="inlineStr">
        <is>
          <t>global</t>
        </is>
      </c>
      <c r="E286" s="4" t="inlineStr">
        <is>
          <t>point</t>
        </is>
      </c>
      <c r="F286" s="4" t="inlineStr">
        <is>
          <t>1989-2025 (only via the required citation 'Organized violence 1989-2025'; the GED entry itself gives no years)</t>
        </is>
      </c>
      <c r="G286" s="4" t="n">
        <v>2025</v>
      </c>
      <c r="H286" s="4" t="inlineStr">
        <is>
          <t>open</t>
        </is>
      </c>
      <c r="I286" s="4" t="inlineStr">
        <is>
          <t>CC BY 4.0</t>
        </is>
      </c>
      <c r="J286" s="4" t="inlineStr">
        <is>
          <t>open_download</t>
        </is>
      </c>
      <c r="K286" s="4" t="inlineStr">
        <is>
          <t>csv; xlsx</t>
        </is>
      </c>
      <c r="L286" s="4" t="inlineStr">
        <is>
          <t>Needs a count/distance step</t>
        </is>
      </c>
      <c r="M286" s="4" t="n">
        <v>1</v>
      </c>
      <c r="N286" s="4" t="inlineStr"/>
      <c r="O286" s="19" t="inlineStr">
        <is>
          <t>Silver</t>
        </is>
      </c>
      <c r="P286" s="4" t="n">
        <v>88</v>
      </c>
      <c r="Q286" s="17" t="inlineStr">
        <is>
          <t>https://ucdp.uu.se/downloads/</t>
        </is>
      </c>
      <c r="R286" s="4" t="inlineStr">
        <is>
          <t>global_ucdp_ged</t>
        </is>
      </c>
    </row>
    <row r="287">
      <c r="A287" s="4" t="inlineStr">
        <is>
          <t>UK Data Service</t>
        </is>
      </c>
      <c r="B287" s="4" t="inlineStr">
        <is>
          <t>UK Data Service (ESRC)</t>
        </is>
      </c>
      <c r="C287" s="4" t="inlineStr">
        <is>
          <t>other</t>
        </is>
      </c>
      <c r="D287" s="4" t="inlineStr">
        <is>
          <t>GB</t>
        </is>
      </c>
      <c r="E287" s="4" t="inlineStr">
        <is>
          <t>unknown</t>
        </is>
      </c>
      <c r="F287" s="4" t="inlineStr"/>
      <c r="G287" s="4" t="inlineStr"/>
      <c r="H287" s="4" t="inlineStr">
        <is>
          <t>registration</t>
        </is>
      </c>
      <c r="I287" s="4" t="inlineStr">
        <is>
          <t>mixed by access tier: Open = Open Government Licence or Creative Commons licences (no registration); Safeguarded = registration + End User Licence Agreement (some with Special Licence User Agreement, no commercial use); Controlled = application + Secure Access User Agreement (SecureLab), no commercial use</t>
        </is>
      </c>
      <c r="J287" s="4" t="inlineStr">
        <is>
          <t>registration</t>
        </is>
      </c>
      <c r="K287" s="4" t="inlineStr"/>
      <c r="L287" s="4" t="inlineStr">
        <is>
          <t>Unknown</t>
        </is>
      </c>
      <c r="M287" s="4" t="n">
        <v>1</v>
      </c>
      <c r="N287" s="4" t="inlineStr"/>
      <c r="O287" s="19" t="inlineStr">
        <is>
          <t>Silver</t>
        </is>
      </c>
      <c r="P287" s="4" t="n">
        <v>79</v>
      </c>
      <c r="Q287" s="17" t="inlineStr">
        <is>
          <t>https://ukdataservice.ac.uk/find-data/</t>
        </is>
      </c>
      <c r="R287" s="4" t="inlineStr">
        <is>
          <t>gb_ukds_uk_data_service</t>
        </is>
      </c>
    </row>
    <row r="288">
      <c r="A288" s="4" t="inlineStr">
        <is>
          <t>Access to Healthy Assets &amp; Hazards (AHAH)</t>
        </is>
      </c>
      <c r="B288" s="4" t="inlineStr">
        <is>
          <t>Geographic Data Service (Smart Data Research UK; formerly CDRC)</t>
        </is>
      </c>
      <c r="C288" s="4" t="inlineStr">
        <is>
          <t>sdoh</t>
        </is>
      </c>
      <c r="D288" s="4" t="inlineStr">
        <is>
          <t>Great Britain (43,064 small areas)</t>
        </is>
      </c>
      <c r="E288" s="4" t="inlineStr">
        <is>
          <t>lsoa (2021 LSOAs for England and Wales; 2022 Data Zones for Scotland)</t>
        </is>
      </c>
      <c r="F288" s="4" t="inlineStr">
        <is>
          <t>v1 2016; v2 2017; v3 late 2022; v4 late 2024; v5 Feb 2026; v5.1 May 2026; temporal coverage April 2024 to December 2025</t>
        </is>
      </c>
      <c r="G288" s="4" t="n">
        <v>2025</v>
      </c>
      <c r="H288" s="4" t="inlineStr">
        <is>
          <t>open</t>
        </is>
      </c>
      <c r="I288" s="4" t="inlineStr">
        <is>
          <t>Open Government Licence v3</t>
        </is>
      </c>
      <c r="J288" s="4" t="inlineStr">
        <is>
          <t>registration</t>
        </is>
      </c>
      <c r="K288" s="4" t="inlineStr">
        <is>
          <t>csv; parquet (geofile)</t>
        </is>
      </c>
      <c r="L288" s="4" t="inlineStr">
        <is>
          <t>Joins today</t>
        </is>
      </c>
      <c r="M288" s="4" t="n">
        <v>3</v>
      </c>
      <c r="N288" s="4" t="inlineStr"/>
      <c r="O288" s="19" t="inlineStr">
        <is>
          <t>Silver</t>
        </is>
      </c>
      <c r="P288" s="4" t="n">
        <v>95</v>
      </c>
      <c r="Q288" s="17" t="inlineStr">
        <is>
          <t>https://data.geods.ac.uk/dataset/access-to-healthy-assets-hazards-ahah</t>
        </is>
      </c>
      <c r="R288" s="4" t="inlineStr">
        <is>
          <t>gb_geods_ahah</t>
        </is>
      </c>
    </row>
    <row r="289">
      <c r="A289" s="4" t="inlineStr">
        <is>
          <t>AHRQ Community-Level Health (CLH) Database (formerly the SDOH Database)</t>
        </is>
      </c>
      <c r="B289" s="4" t="inlineStr">
        <is>
          <t>Agency for Healthcare Research and Quality</t>
        </is>
      </c>
      <c r="C289" s="4" t="inlineStr">
        <is>
          <t>sdoh</t>
        </is>
      </c>
      <c r="D289" s="4" t="inlineStr">
        <is>
          <t>US</t>
        </is>
      </c>
      <c r="E289" s="4" t="inlineStr">
        <is>
          <t>block group</t>
        </is>
      </c>
      <c r="F289" s="4" t="inlineStr">
        <is>
          <t>2009-2023</t>
        </is>
      </c>
      <c r="G289" s="4" t="n">
        <v>2023</v>
      </c>
      <c r="H289" s="4" t="inlineStr">
        <is>
          <t>public_domain_us_federal</t>
        </is>
      </c>
      <c r="I289" s="4" t="inlineStr"/>
      <c r="J289" s="4" t="inlineStr">
        <is>
          <t>open_download</t>
        </is>
      </c>
      <c r="K289" s="4" t="inlineStr">
        <is>
          <t>XLSX</t>
        </is>
      </c>
      <c r="L289" s="4" t="inlineStr">
        <is>
          <t>Joins today</t>
        </is>
      </c>
      <c r="M289" s="4" t="n">
        <v>3</v>
      </c>
      <c r="N289" s="4" t="inlineStr"/>
      <c r="O289" s="19" t="inlineStr">
        <is>
          <t>Silver</t>
        </is>
      </c>
      <c r="P289" s="4" t="n">
        <v>92</v>
      </c>
      <c r="Q289" s="17" t="inlineStr">
        <is>
          <t>https://www.ahrq.gov/data/innovations/clh-data.html</t>
        </is>
      </c>
      <c r="R289" s="4" t="inlineStr">
        <is>
          <t>us_ahrq_sdoh_database</t>
        </is>
      </c>
    </row>
    <row r="290">
      <c r="A290" s="4" t="inlineStr">
        <is>
          <t>Area Deprivation Index (Neighborhood Atlas)</t>
        </is>
      </c>
      <c r="B290" s="4" t="inlineStr">
        <is>
          <t>University of Wisconsin-Madison</t>
        </is>
      </c>
      <c r="C290" s="4" t="inlineStr">
        <is>
          <t>sdoh</t>
        </is>
      </c>
      <c r="D290" s="4" t="inlineStr">
        <is>
          <t>US (nation, states, DC, Puerto Rico)</t>
        </is>
      </c>
      <c r="E290" s="4" t="inlineStr">
        <is>
          <t>block_group</t>
        </is>
      </c>
      <c r="F290" s="4" t="inlineStr">
        <is>
          <t>2024 ADI (current mapped version); 2020 ADI in PDF map selector; built on ACS 5-year data (vintages not named)</t>
        </is>
      </c>
      <c r="G290" s="4" t="n">
        <v>2024</v>
      </c>
      <c r="H290" s="4" t="inlineStr">
        <is>
          <t>registration</t>
        </is>
      </c>
      <c r="I290" s="4" t="inlineStr">
        <is>
          <t>Neighborhood Atlas Terms of Use (free account required; agree to terms at signup; citation of Kind &amp; Buckingham NEJM 2018 required)</t>
        </is>
      </c>
      <c r="J290" s="4" t="inlineStr">
        <is>
          <t>registration</t>
        </is>
      </c>
      <c r="K290" s="4" t="inlineStr">
        <is>
          <t>pdf maps (data file format not stated)</t>
        </is>
      </c>
      <c r="L290" s="4" t="inlineStr">
        <is>
          <t>Joins today</t>
        </is>
      </c>
      <c r="M290" s="4" t="n">
        <v>3</v>
      </c>
      <c r="N290" s="4" t="inlineStr"/>
      <c r="O290" s="19" t="inlineStr">
        <is>
          <t>Silver</t>
        </is>
      </c>
      <c r="P290" s="4" t="n">
        <v>79</v>
      </c>
      <c r="Q290" s="17" t="inlineStr">
        <is>
          <t>https://www.neighborhoodatlas.medicine.wisc.edu/</t>
        </is>
      </c>
      <c r="R290" s="4" t="inlineStr">
        <is>
          <t>us_uwisc_adi</t>
        </is>
      </c>
    </row>
    <row r="291">
      <c r="A291" s="4" t="inlineStr">
        <is>
          <t>Area Health Resources Files (AHRF)</t>
        </is>
      </c>
      <c r="B291" s="4" t="inlineStr">
        <is>
          <t>Health Resources and Services Administration</t>
        </is>
      </c>
      <c r="C291" s="4" t="inlineStr">
        <is>
          <t>sdoh</t>
        </is>
      </c>
      <c r="D291" s="4" t="inlineStr">
        <is>
          <t>US (50 states, DC, Guam, Puerto Rico, US Virgin Islands) plus national totals</t>
        </is>
      </c>
      <c r="E291" s="4" t="inlineStr">
        <is>
          <t>county</t>
        </is>
      </c>
      <c r="F291" s="4" t="inlineStr">
        <is>
          <t>County-level annual releases 1999-2000 through 2024-2025; state/national 2012-2013 through 2024-2025; dashboard years 2019-2024; latest data year differs by variable</t>
        </is>
      </c>
      <c r="G291" s="4" t="n">
        <v>2025</v>
      </c>
      <c r="H291" s="4" t="inlineStr">
        <is>
          <t>open</t>
        </is>
      </c>
      <c r="I291" s="4" t="inlineStr">
        <is>
          <t>Usage limitations: None (stated on dashboard and download pages); no formal licence named; publisher HRSA/BHW/NCHWA (US federal)</t>
        </is>
      </c>
      <c r="J291" s="4" t="inlineStr">
        <is>
          <t>open_download</t>
        </is>
      </c>
      <c r="K291" s="4" t="inlineStr">
        <is>
          <t>csv (2022-2023 onward); sas; ascii (older vintages); xlsx/pdf (dashboard export)</t>
        </is>
      </c>
      <c r="L291" s="4" t="inlineStr">
        <is>
          <t>Joins today</t>
        </is>
      </c>
      <c r="M291" s="4" t="n">
        <v>3</v>
      </c>
      <c r="N291" s="4" t="inlineStr"/>
      <c r="O291" s="13" t="inlineStr">
        <is>
          <t>Gold</t>
        </is>
      </c>
      <c r="P291" s="4" t="n">
        <v>91</v>
      </c>
      <c r="Q291" s="17" t="inlineStr">
        <is>
          <t>https://data.hrsa.gov/topics/health-workforce/ahrf</t>
        </is>
      </c>
      <c r="R291" s="4" t="inlineStr">
        <is>
          <t>us_hrsa_ahrf</t>
        </is>
      </c>
    </row>
    <row r="292">
      <c r="A292" s="4" t="inlineStr">
        <is>
          <t>Atlas da Vulnerabilidade Social (Indice de Vulnerabilidade Social, IVS)</t>
        </is>
      </c>
      <c r="B292" s="4" t="inlineStr">
        <is>
          <t>Instituto de Pesquisa Economica Aplicada (IPEA)</t>
        </is>
      </c>
      <c r="C292" s="4" t="inlineStr">
        <is>
          <t>sdoh</t>
        </is>
      </c>
      <c r="D292" s="4" t="inlineStr">
        <is>
          <t>BR</t>
        </is>
      </c>
      <c r="E292" s="4" t="inlineStr">
        <is>
          <t>UDH (sub-municipal), municipality</t>
        </is>
      </c>
      <c r="F292" s="4" t="inlineStr">
        <is>
          <t>census-based 2000, 2010; annual PNAD-based series for UFs/RMs (per brief)</t>
        </is>
      </c>
      <c r="G292" s="4" t="n">
        <v>2010</v>
      </c>
      <c r="H292" s="4" t="inlineStr"/>
      <c r="I292" s="4" t="inlineStr"/>
      <c r="J292" s="4" t="inlineStr">
        <is>
          <t>open_download</t>
        </is>
      </c>
      <c r="K292" s="4" t="inlineStr">
        <is>
          <t>database + shapefiles</t>
        </is>
      </c>
      <c r="L292" s="4" t="inlineStr">
        <is>
          <t>Joins today</t>
        </is>
      </c>
      <c r="M292" s="4" t="n">
        <v>3</v>
      </c>
      <c r="N292" s="4" t="inlineStr"/>
      <c r="O292" s="19" t="inlineStr">
        <is>
          <t>Silver</t>
        </is>
      </c>
      <c r="P292" s="4" t="n">
        <v>68</v>
      </c>
      <c r="Q292" s="17" t="inlineStr">
        <is>
          <t>http://ivs.ipea.gov.br/</t>
        </is>
      </c>
      <c r="R292" s="4" t="inlineStr">
        <is>
          <t>br_ipea_ivs</t>
        </is>
      </c>
    </row>
    <row r="293">
      <c r="A293" s="4" t="inlineStr">
        <is>
          <t>Atlas de distribucion de renta de los hogares</t>
        </is>
      </c>
      <c r="B293" s="4" t="inlineStr">
        <is>
          <t>Instituto Nacional de Estadistica (INE)</t>
        </is>
      </c>
      <c r="C293" s="4" t="inlineStr">
        <is>
          <t>sdoh</t>
        </is>
      </c>
      <c r="D293" s="4" t="inlineStr">
        <is>
          <t>Spain (todo el territorio nacional): municipalities, districts, census sections; also islands, provinces, autonomous communities</t>
        </is>
      </c>
      <c r="E293" s="4" t="inlineStr">
        <is>
          <t>seccion_censal (census section; small area below district and municipality)</t>
        </is>
      </c>
      <c r="F293" s="4" t="inlineStr">
        <is>
          <t>latest: Año 2024 (published 19/10/2026); earlier years not listed on pages read</t>
        </is>
      </c>
      <c r="G293" s="4" t="n">
        <v>2024</v>
      </c>
      <c r="H293" s="4" t="inlineStr">
        <is>
          <t>open</t>
        </is>
      </c>
      <c r="I293" s="4" t="inlineStr">
        <is>
          <t>CC BY 4.0 (footer text reads 'licencia CC BY-SA 4.0' but the licence link points to creativecommons.org/licenses/by/4.0/)</t>
        </is>
      </c>
      <c r="J293" s="4" t="inlineStr">
        <is>
          <t>open_download</t>
        </is>
      </c>
      <c r="K293" s="4" t="inlineStr">
        <is>
          <t>interactive map; downloadable tables (INEbase)</t>
        </is>
      </c>
      <c r="L293" s="4" t="inlineStr">
        <is>
          <t>Joins today</t>
        </is>
      </c>
      <c r="M293" s="4" t="n">
        <v>3</v>
      </c>
      <c r="N293" s="4" t="inlineStr"/>
      <c r="O293" s="19" t="inlineStr">
        <is>
          <t>Silver</t>
        </is>
      </c>
      <c r="P293" s="4" t="n">
        <v>94</v>
      </c>
      <c r="Q293" s="17" t="inlineStr">
        <is>
          <t>https://www.ine.es/dyngs/INEbase/es/operacion.htm?c=Estadistica_C&amp;cid=1254736177088&amp;menu=ultiDatos&amp;idp=1254735976608</t>
        </is>
      </c>
      <c r="R293" s="4" t="inlineStr">
        <is>
          <t>es_ine_atlas_renta</t>
        </is>
      </c>
    </row>
    <row r="294">
      <c r="A294" s="4" t="inlineStr">
        <is>
          <t>CDC/ATSDR Social Vulnerability Index (SVI)</t>
        </is>
      </c>
      <c r="B294" s="4" t="inlineStr">
        <is>
          <t>CDC/ATSDR</t>
        </is>
      </c>
      <c r="C294" s="4" t="inlineStr">
        <is>
          <t>sdoh</t>
        </is>
      </c>
      <c r="D294" s="4" t="inlineStr">
        <is>
          <t>US database and State databases (per citation template)</t>
        </is>
      </c>
      <c r="E294" s="4" t="inlineStr">
        <is>
          <t>tract</t>
        </is>
      </c>
      <c r="F294" s="4" t="inlineStr">
        <is>
          <t>databases for 2000, 2010, 2014, 2016, 2018, 2020, 2022 (5-year ACS from 2010 onward)</t>
        </is>
      </c>
      <c r="G294" s="4" t="n">
        <v>2022</v>
      </c>
      <c r="H294" s="4" t="inlineStr">
        <is>
          <t>public_domain_us_federal</t>
        </is>
      </c>
      <c r="I294" s="4" t="inlineStr"/>
      <c r="J294" s="4" t="inlineStr"/>
      <c r="K294" s="4" t="inlineStr">
        <is>
          <t>csv;shp;gdb</t>
        </is>
      </c>
      <c r="L294" s="4" t="inlineStr">
        <is>
          <t>Joins today</t>
        </is>
      </c>
      <c r="M294" s="4" t="n">
        <v>3</v>
      </c>
      <c r="N294" s="4" t="inlineStr">
        <is>
          <t>fl_2018_svi_tract;fl_2020_svi_county;fl_2020_svi_tract;fl_2022_svi_tract;ma_2018_svi_tract;ma_2020_svi_tract;ma_2022_svi_tract;mdc_2018_svi_tract;mdc_2020_svi_tract;mdc_2022_svi_tract;us_2018_svi_county</t>
        </is>
      </c>
      <c r="O294" s="19" t="inlineStr">
        <is>
          <t>Silver</t>
        </is>
      </c>
      <c r="P294" s="4" t="n">
        <v>97</v>
      </c>
      <c r="Q294" s="17" t="inlineStr">
        <is>
          <t>https://www.atsdr.cdc.gov/place-health/php/svi/svi-data-documentation-download.html</t>
        </is>
      </c>
      <c r="R294" s="4" t="inlineStr">
        <is>
          <t>us_cdc_svi</t>
        </is>
      </c>
    </row>
    <row r="295">
      <c r="A295" s="4" t="inlineStr">
        <is>
          <t>Child Opportunity Index (COI 3.0)</t>
        </is>
      </c>
      <c r="B295" s="4" t="inlineStr">
        <is>
          <t>Brandeis University</t>
        </is>
      </c>
      <c r="C295" s="4" t="inlineStr">
        <is>
          <t>sdoh</t>
        </is>
      </c>
      <c r="D295" s="4" t="inlineStr">
        <is>
          <t>US</t>
        </is>
      </c>
      <c r="E295" s="4" t="inlineStr">
        <is>
          <t>census tract</t>
        </is>
      </c>
      <c r="F295" s="4" t="inlineStr">
        <is>
          <t>2012-2024</t>
        </is>
      </c>
      <c r="G295" s="4" t="n">
        <v>2024</v>
      </c>
      <c r="H295" s="4" t="inlineStr"/>
      <c r="I295" s="4" t="inlineStr"/>
      <c r="J295" s="4" t="inlineStr">
        <is>
          <t>open_download</t>
        </is>
      </c>
      <c r="K295" s="4" t="inlineStr">
        <is>
          <t>CSV</t>
        </is>
      </c>
      <c r="L295" s="4" t="inlineStr">
        <is>
          <t>Joins today</t>
        </is>
      </c>
      <c r="M295" s="4" t="n">
        <v>3</v>
      </c>
      <c r="N295" s="4" t="inlineStr"/>
      <c r="O295" s="19" t="inlineStr">
        <is>
          <t>Silver</t>
        </is>
      </c>
      <c r="P295" s="4" t="n">
        <v>75</v>
      </c>
      <c r="Q295" s="17" t="inlineStr">
        <is>
          <t>https://www.diversitydatakids.org/child-opportunity-index</t>
        </is>
      </c>
      <c r="R295" s="4" t="inlineStr">
        <is>
          <t>us_brandeis_coi</t>
        </is>
      </c>
    </row>
    <row r="296">
      <c r="A296" s="4" t="inlineStr">
        <is>
          <t>Community Resilience Estimates (CRE)</t>
        </is>
      </c>
      <c r="B296" s="4" t="inlineStr">
        <is>
          <t>U.S. Census Bureau</t>
        </is>
      </c>
      <c r="C296" s="4" t="inlineStr">
        <is>
          <t>sdoh</t>
        </is>
      </c>
      <c r="D296" s="4" t="inlineStr">
        <is>
          <t>U.S. (states, counties, tracts); separate CRE for Puerto Rico product (commonwealth, municipio, tract)</t>
        </is>
      </c>
      <c r="E296" s="4" t="inlineStr">
        <is>
          <t>tract</t>
        </is>
      </c>
      <c r="F296" s="4" t="inlineStr">
        <is>
          <t>vintages 2016-2024 (annual files)</t>
        </is>
      </c>
      <c r="G296" s="4" t="n">
        <v>2024</v>
      </c>
      <c r="H296" s="4" t="inlineStr">
        <is>
          <t>public_domain_us_federal</t>
        </is>
      </c>
      <c r="I296" s="4" t="inlineStr"/>
      <c r="J296" s="4" t="inlineStr">
        <is>
          <t>open_download; api</t>
        </is>
      </c>
      <c r="K296" s="4" t="inlineStr">
        <is>
          <t>csv; xlsx</t>
        </is>
      </c>
      <c r="L296" s="4" t="inlineStr">
        <is>
          <t>Joins today</t>
        </is>
      </c>
      <c r="M296" s="4" t="n">
        <v>3</v>
      </c>
      <c r="N296" s="4" t="inlineStr"/>
      <c r="O296" s="13" t="inlineStr">
        <is>
          <t>Gold</t>
        </is>
      </c>
      <c r="P296" s="4" t="n">
        <v>93</v>
      </c>
      <c r="Q296" s="17" t="inlineStr">
        <is>
          <t>https://www.census.gov/programs-surveys/community-resilience-estimates.html</t>
        </is>
      </c>
      <c r="R296" s="4" t="inlineStr">
        <is>
          <t>us_census_community_resilience_estimates</t>
        </is>
      </c>
    </row>
    <row r="297">
      <c r="A297" s="4" t="inlineStr">
        <is>
          <t>Comprehensive Housing Affordability Strategy (CHAS) data</t>
        </is>
      </c>
      <c r="B297" s="4" t="inlineStr">
        <is>
          <t>HUD</t>
        </is>
      </c>
      <c r="C297" s="4" t="inlineStr">
        <is>
          <t>sdoh</t>
        </is>
      </c>
      <c r="D297" s="4" t="inlineStr">
        <is>
          <t>US</t>
        </is>
      </c>
      <c r="E297" s="4" t="inlineStr">
        <is>
          <t>block group (091), tract (080)</t>
        </is>
      </c>
      <c r="F297" s="4" t="inlineStr">
        <is>
          <t>2018-2022 ACS 5-yr (latest)</t>
        </is>
      </c>
      <c r="G297" s="4" t="n">
        <v>2022</v>
      </c>
      <c r="H297" s="4" t="inlineStr">
        <is>
          <t>unknown</t>
        </is>
      </c>
      <c r="I297" s="4" t="inlineStr">
        <is>
          <t>public domain (US gov, assumed)</t>
        </is>
      </c>
      <c r="J297" s="4" t="inlineStr">
        <is>
          <t>open_download</t>
        </is>
      </c>
      <c r="K297" s="4" t="inlineStr">
        <is>
          <t>CSV, API</t>
        </is>
      </c>
      <c r="L297" s="4" t="inlineStr">
        <is>
          <t>Joins today</t>
        </is>
      </c>
      <c r="M297" s="4" t="n">
        <v>3</v>
      </c>
      <c r="N297" s="4" t="inlineStr"/>
      <c r="O297" s="13" t="inlineStr">
        <is>
          <t>Gold</t>
        </is>
      </c>
      <c r="P297" s="4" t="n">
        <v>92</v>
      </c>
      <c r="Q297" s="17" t="inlineStr">
        <is>
          <t>https://www.huduser.gov/portal/datasets/cp.html</t>
        </is>
      </c>
      <c r="R297" s="4" t="inlineStr">
        <is>
          <t>us_hud_chas</t>
        </is>
      </c>
    </row>
    <row r="298">
      <c r="A298" s="4" t="inlineStr">
        <is>
          <t>English Indices of Deprivation</t>
        </is>
      </c>
      <c r="B298" s="4" t="inlineStr">
        <is>
          <t>Ministry of Housing, Communities and Local Government</t>
        </is>
      </c>
      <c r="C298" s="4" t="inlineStr">
        <is>
          <t>sdoh</t>
        </is>
      </c>
      <c r="D298" s="4" t="inlineStr">
        <is>
          <t>England</t>
        </is>
      </c>
      <c r="E298" s="4" t="inlineStr">
        <is>
          <t>lsoa</t>
        </is>
      </c>
      <c r="F298" s="4" t="inlineStr">
        <is>
          <t>releases 2000, 2004, 2007, 2010, 2015, 2019, 2025; latest IoD 2025 published 30 Oct 2025 (page updated 17 Nov 2025)</t>
        </is>
      </c>
      <c r="G298" s="4" t="n">
        <v>2025</v>
      </c>
      <c r="H298" s="4" t="inlineStr">
        <is>
          <t>open</t>
        </is>
      </c>
      <c r="I298" s="4" t="inlineStr">
        <is>
          <t>Open Government Licence v3.0</t>
        </is>
      </c>
      <c r="J298" s="4" t="inlineStr">
        <is>
          <t>open_download</t>
        </is>
      </c>
      <c r="K298" s="4" t="inlineStr">
        <is>
          <t>xlsx; csv; geopackage (mentioned, not in file list)</t>
        </is>
      </c>
      <c r="L298" s="4" t="inlineStr">
        <is>
          <t>Unknown</t>
        </is>
      </c>
      <c r="M298" s="4" t="n">
        <v>3</v>
      </c>
      <c r="N298" s="4" t="inlineStr"/>
      <c r="O298" s="19" t="inlineStr">
        <is>
          <t>Silver</t>
        </is>
      </c>
      <c r="P298" s="4" t="n">
        <v>91</v>
      </c>
      <c r="Q298" s="17" t="inlineStr">
        <is>
          <t>https://www.gov.uk/government/collections/english-indices-of-deprivation</t>
        </is>
      </c>
      <c r="R298" s="4" t="inlineStr">
        <is>
          <t>gb_mhclg_imd_england</t>
        </is>
      </c>
    </row>
    <row r="299">
      <c r="A299" s="4" t="inlineStr">
        <is>
          <t>Environmental Justice Index (EJI)</t>
        </is>
      </c>
      <c r="B299" s="4" t="inlineStr">
        <is>
          <t>CDC/ATSDR</t>
        </is>
      </c>
      <c r="C299" s="4" t="inlineStr">
        <is>
          <t>sdoh</t>
        </is>
      </c>
      <c r="D299" s="4" t="inlineStr">
        <is>
          <t>national ('first national, place-based tool'; ranks every census tract)</t>
        </is>
      </c>
      <c r="E299" s="4" t="inlineStr">
        <is>
          <t>tract</t>
        </is>
      </c>
      <c r="F299" s="4" t="inlineStr">
        <is>
          <t>2022 and 2024 editions (file checked: 2024)</t>
        </is>
      </c>
      <c r="G299" s="4" t="n">
        <v>2024</v>
      </c>
      <c r="H299" s="4" t="inlineStr">
        <is>
          <t>public_domain_us_federal</t>
        </is>
      </c>
      <c r="I299" s="4" t="inlineStr"/>
      <c r="J299" s="4" t="inlineStr">
        <is>
          <t>open_download</t>
        </is>
      </c>
      <c r="K299" s="4" t="inlineStr">
        <is>
          <t>CSV (GEOID, 170 columns); Geodatabase (tract MultiPolygon, ESRI:102003); data dictionary included</t>
        </is>
      </c>
      <c r="L299" s="4" t="inlineStr">
        <is>
          <t>Joins today</t>
        </is>
      </c>
      <c r="M299" s="4" t="n">
        <v>3</v>
      </c>
      <c r="N299" s="4" t="inlineStr"/>
      <c r="O299" s="19" t="inlineStr">
        <is>
          <t>Silver</t>
        </is>
      </c>
      <c r="P299" s="4" t="n">
        <v>97</v>
      </c>
      <c r="Q299" s="17" t="inlineStr">
        <is>
          <t>https://www.atsdr.cdc.gov/place-health/php/eji/index.html</t>
        </is>
      </c>
      <c r="R299" s="4" t="inlineStr">
        <is>
          <t>us_cdc_eji</t>
        </is>
      </c>
    </row>
    <row r="300">
      <c r="A300" s="4" t="inlineStr">
        <is>
          <t>Eurostat regional statistics (Regions database)</t>
        </is>
      </c>
      <c r="B300" s="4" t="inlineStr">
        <is>
          <t>Eurostat</t>
        </is>
      </c>
      <c r="C300" s="4" t="inlineStr">
        <is>
          <t>sdoh</t>
        </is>
      </c>
      <c r="D300" s="4" t="inlineStr">
        <is>
          <t>EU;EFTA;candidate countries</t>
        </is>
      </c>
      <c r="E300" s="4" t="inlineStr">
        <is>
          <t>admin2</t>
        </is>
      </c>
      <c r="F300" s="4" t="inlineStr">
        <is>
          <t>varies by dataset; annual</t>
        </is>
      </c>
      <c r="G300" s="4" t="inlineStr"/>
      <c r="H300" s="4" t="inlineStr">
        <is>
          <t>attribution</t>
        </is>
      </c>
      <c r="I300" s="4" t="inlineStr">
        <is>
          <t>Eurostat copyright notice: re-use of statistical data authorised for commercial and non-commercial purposes provided the source is acknowledged; editorial content CC BY 4.0; exceptions for third-party material and for data on countries other than EU, EFTA and acceding/candidate countries (non-commercial only)</t>
        </is>
      </c>
      <c r="J300" s="4" t="inlineStr">
        <is>
          <t>api; open_download (bulk download)</t>
        </is>
      </c>
      <c r="K300" s="4" t="inlineStr">
        <is>
          <t>api (SDMX, JSON-stat);tsv;csv</t>
        </is>
      </c>
      <c r="L300" s="4" t="inlineStr">
        <is>
          <t>Joins today</t>
        </is>
      </c>
      <c r="M300" s="4" t="n">
        <v>3</v>
      </c>
      <c r="N300" s="4" t="inlineStr"/>
      <c r="O300" s="19" t="inlineStr">
        <is>
          <t>Silver</t>
        </is>
      </c>
      <c r="P300" s="4" t="n">
        <v>96</v>
      </c>
      <c r="Q300" s="17" t="inlineStr">
        <is>
          <t>https://ec.europa.eu/eurostat/web/regions/database</t>
        </is>
      </c>
      <c r="R300" s="4" t="inlineStr">
        <is>
          <t>eu_eurostat_regional_statistics</t>
        </is>
      </c>
    </row>
    <row r="301">
      <c r="A301" s="4" t="inlineStr">
        <is>
          <t>Eviction Lab national eviction data</t>
        </is>
      </c>
      <c r="B301" s="4" t="inlineStr">
        <is>
          <t>Princeton University</t>
        </is>
      </c>
      <c r="C301" s="4" t="inlineStr">
        <is>
          <t>sdoh</t>
        </is>
      </c>
      <c r="D301" s="4" t="inlineStr">
        <is>
          <t>US (50 states + DC;modeled where records missing);US (50 states + DC)</t>
        </is>
      </c>
      <c r="E301" s="4" t="inlineStr">
        <is>
          <t>census tract / ZIP</t>
        </is>
      </c>
      <c r="F301" s="4" t="inlineStr">
        <is>
          <t>2020-2026</t>
        </is>
      </c>
      <c r="G301" s="4" t="n">
        <v>2026</v>
      </c>
      <c r="H301" s="4" t="inlineStr">
        <is>
          <t>attribution</t>
        </is>
      </c>
      <c r="I301" s="4" t="inlineStr">
        <is>
          <t>cite-as requirement; not an open license</t>
        </is>
      </c>
      <c r="J301" s="4" t="inlineStr">
        <is>
          <t>open_download</t>
        </is>
      </c>
      <c r="K301" s="4" t="inlineStr">
        <is>
          <t>CSV</t>
        </is>
      </c>
      <c r="L301" s="4" t="inlineStr">
        <is>
          <t>Joins today</t>
        </is>
      </c>
      <c r="M301" s="4" t="n">
        <v>3</v>
      </c>
      <c r="N301" s="4" t="inlineStr"/>
      <c r="O301" s="19" t="inlineStr">
        <is>
          <t>Silver</t>
        </is>
      </c>
      <c r="P301" s="4" t="n">
        <v>92</v>
      </c>
      <c r="Q301" s="17" t="inlineStr">
        <is>
          <t>https://evictionlab.org/eviction-tracking/get-the-data/</t>
        </is>
      </c>
      <c r="R301" s="4" t="inlineStr">
        <is>
          <t>us_eviction_lab</t>
        </is>
      </c>
    </row>
    <row r="302">
      <c r="A302" s="4" t="inlineStr">
        <is>
          <t>Fair Market Rents (FMR) and Small Area FMRs</t>
        </is>
      </c>
      <c r="B302" s="4" t="inlineStr">
        <is>
          <t>HUD</t>
        </is>
      </c>
      <c r="C302" s="4" t="inlineStr">
        <is>
          <t>sdoh</t>
        </is>
      </c>
      <c r="D302" s="4" t="inlineStr">
        <is>
          <t>US incl. PR and territories</t>
        </is>
      </c>
      <c r="E302" s="4" t="inlineStr">
        <is>
          <t>ZIP (Small Area FMR); county</t>
        </is>
      </c>
      <c r="F302" s="4" t="inlineStr">
        <is>
          <t>FY2023-FY2027</t>
        </is>
      </c>
      <c r="G302" s="4" t="n">
        <v>2027</v>
      </c>
      <c r="H302" s="4" t="inlineStr">
        <is>
          <t>unknown</t>
        </is>
      </c>
      <c r="I302" s="4" t="inlineStr">
        <is>
          <t>public domain (US gov, assumed)</t>
        </is>
      </c>
      <c r="J302" s="4" t="inlineStr">
        <is>
          <t>open_download</t>
        </is>
      </c>
      <c r="K302" s="4" t="inlineStr">
        <is>
          <t>XLSX, API</t>
        </is>
      </c>
      <c r="L302" s="4" t="inlineStr">
        <is>
          <t>Joins today</t>
        </is>
      </c>
      <c r="M302" s="4" t="n">
        <v>3</v>
      </c>
      <c r="N302" s="4" t="inlineStr"/>
      <c r="O302" s="19" t="inlineStr">
        <is>
          <t>Silver</t>
        </is>
      </c>
      <c r="P302" s="4" t="n">
        <v>84</v>
      </c>
      <c r="Q302" s="17" t="inlineStr">
        <is>
          <t>https://www.huduser.gov/portal/datasets/fmr.html</t>
        </is>
      </c>
      <c r="R302" s="4" t="inlineStr">
        <is>
          <t>us_hud_fair_market_rents</t>
        </is>
      </c>
    </row>
    <row r="303">
      <c r="A303" s="4" t="inlineStr">
        <is>
          <t>Global Subnational Poverty Atlas (GSAP)</t>
        </is>
      </c>
      <c r="B303" s="4" t="inlineStr">
        <is>
          <t>World Bank</t>
        </is>
      </c>
      <c r="C303" s="4" t="inlineStr">
        <is>
          <t>sdoh</t>
        </is>
      </c>
      <c r="D303" s="4" t="inlineStr">
        <is>
          <t>global (more than 168 economies)</t>
        </is>
      </c>
      <c r="E303" s="4" t="inlineStr">
        <is>
          <t>admin1</t>
        </is>
      </c>
      <c r="F303" s="4" t="inlineStr">
        <is>
          <t>estimates for 2010, 2013, 2019, 2021, 2023 and 2024 per description (ZIP files for 2010, 2013, 2019, 2021, 2023); metadata 'Temporal Coverage' field says 1999-2022</t>
        </is>
      </c>
      <c r="G303" s="4" t="n">
        <v>2024</v>
      </c>
      <c r="H303" s="4" t="inlineStr">
        <is>
          <t>open</t>
        </is>
      </c>
      <c r="I303" s="4" t="inlineStr">
        <is>
          <t>CC BY 4.0 (Creative Commons Attribution 4.0)</t>
        </is>
      </c>
      <c r="J303" s="4" t="inlineStr">
        <is>
          <t>open_download</t>
        </is>
      </c>
      <c r="K303" s="4" t="inlineStr">
        <is>
          <t>xlsx; zip (contents not described on page)</t>
        </is>
      </c>
      <c r="L303" s="4" t="inlineStr">
        <is>
          <t>Unknown</t>
        </is>
      </c>
      <c r="M303" s="4" t="n">
        <v>3</v>
      </c>
      <c r="N303" s="4" t="inlineStr"/>
      <c r="O303" s="19" t="inlineStr">
        <is>
          <t>Silver</t>
        </is>
      </c>
      <c r="P303" s="4" t="n">
        <v>92</v>
      </c>
      <c r="Q303" s="17" t="inlineStr">
        <is>
          <t>https://datacatalog.worldbank.org/search/dataset/0042041/global-subnational-atlas-of-poverty</t>
        </is>
      </c>
      <c r="R303" s="4" t="inlineStr">
        <is>
          <t>global_worldbank_gsap</t>
        </is>
      </c>
    </row>
    <row r="304">
      <c r="A304" s="4" t="inlineStr">
        <is>
          <t>Health Center Service Delivery and Look-Alike Sites</t>
        </is>
      </c>
      <c r="B304" s="4" t="inlineStr">
        <is>
          <t>Health Resources and Services Administration</t>
        </is>
      </c>
      <c r="C304" s="4" t="inlineStr">
        <is>
          <t>sdoh</t>
        </is>
      </c>
      <c r="D304" s="4" t="inlineStr">
        <is>
          <t>US; territories</t>
        </is>
      </c>
      <c r="E304" s="4" t="inlineStr">
        <is>
          <t>address</t>
        </is>
      </c>
      <c r="F304" s="4" t="inlineStr">
        <is>
          <t>current snapshot, Updated 10/21/2026; vintage tagged to 118th Congressional Districts</t>
        </is>
      </c>
      <c r="G304" s="4" t="n">
        <v>2026</v>
      </c>
      <c r="H304" s="4" t="inlineStr">
        <is>
          <t>open</t>
        </is>
      </c>
      <c r="I304" s="4" t="inlineStr">
        <is>
          <t>Usage limitations: None (no formal licence named)</t>
        </is>
      </c>
      <c r="J304" s="4" t="inlineStr">
        <is>
          <t>open_download</t>
        </is>
      </c>
      <c r="K304" s="4" t="inlineStr">
        <is>
          <t>csv; xlsx (metadata xlsx)</t>
        </is>
      </c>
      <c r="L304" s="4" t="inlineStr">
        <is>
          <t>Needs a count/distance step</t>
        </is>
      </c>
      <c r="M304" s="4" t="n">
        <v>3</v>
      </c>
      <c r="N304" s="4" t="inlineStr"/>
      <c r="O304" s="19" t="inlineStr">
        <is>
          <t>Silver</t>
        </is>
      </c>
      <c r="P304" s="4" t="n">
        <v>81</v>
      </c>
      <c r="Q304" s="17" t="inlineStr">
        <is>
          <t>https://data.hrsa.gov/data/download</t>
        </is>
      </c>
      <c r="R304" s="4" t="inlineStr">
        <is>
          <t>us_hrsa_health_center_sites</t>
        </is>
      </c>
    </row>
    <row r="305">
      <c r="A305" s="4" t="inlineStr">
        <is>
          <t>Health Professional Shortage Areas (HPSA) and Medically Underserved Areas/Populations (MUA/P)</t>
        </is>
      </c>
      <c r="B305" s="4" t="inlineStr">
        <is>
          <t>Health Resources and Services Administration</t>
        </is>
      </c>
      <c r="C305" s="4" t="inlineStr">
        <is>
          <t>sdoh</t>
        </is>
      </c>
      <c r="D305" s="4" t="inlineStr">
        <is>
          <t>throughout the United States (territories not stated)</t>
        </is>
      </c>
      <c r="E305" s="4" t="inlineStr">
        <is>
          <t>point</t>
        </is>
      </c>
      <c r="F305" s="4" t="inlineStr">
        <is>
          <t>current designations, Updated 10/21/2026</t>
        </is>
      </c>
      <c r="G305" s="4" t="n">
        <v>2026</v>
      </c>
      <c r="H305" s="4" t="inlineStr">
        <is>
          <t>open</t>
        </is>
      </c>
      <c r="I305" s="4" t="inlineStr">
        <is>
          <t>Usage limitations: None (no formal licence named)</t>
        </is>
      </c>
      <c r="J305" s="4" t="inlineStr">
        <is>
          <t>open_download</t>
        </is>
      </c>
      <c r="K305" s="4" t="inlineStr">
        <is>
          <t>xlsx; csv; shp; pdf (quarterly summary)</t>
        </is>
      </c>
      <c r="L305" s="4" t="inlineStr">
        <is>
          <t>Needs a count/distance step</t>
        </is>
      </c>
      <c r="M305" s="4" t="n">
        <v>3</v>
      </c>
      <c r="N305" s="4" t="inlineStr"/>
      <c r="O305" s="19" t="inlineStr">
        <is>
          <t>Silver</t>
        </is>
      </c>
      <c r="P305" s="4" t="n">
        <v>92</v>
      </c>
      <c r="Q305" s="17" t="inlineStr">
        <is>
          <t>https://data.hrsa.gov/topics/health-workforce/shortage-areas</t>
        </is>
      </c>
      <c r="R305" s="4" t="inlineStr">
        <is>
          <t>us_hrsa_hpsa_mua</t>
        </is>
      </c>
    </row>
    <row r="306">
      <c r="A306" s="4" t="inlineStr">
        <is>
          <t>HIFLD Open: Hospitals</t>
        </is>
      </c>
      <c r="B306" s="4" t="inlineStr">
        <is>
          <t>U.S. Department of Homeland Security</t>
        </is>
      </c>
      <c r="C306" s="4" t="inlineStr">
        <is>
          <t>sdoh</t>
        </is>
      </c>
      <c r="D306" s="4" t="inlineStr">
        <is>
          <t>US; DC; territories</t>
        </is>
      </c>
      <c r="E306" s="4" t="inlineStr">
        <is>
          <t>point</t>
        </is>
      </c>
      <c r="F306" s="4" t="inlineStr">
        <is>
          <t>2025 snapshot</t>
        </is>
      </c>
      <c r="G306" s="4" t="n">
        <v>2025</v>
      </c>
      <c r="H306" s="4" t="inlineStr">
        <is>
          <t>unknown</t>
        </is>
      </c>
      <c r="I306" s="4" t="inlineStr">
        <is>
          <t>not stated on page (DataLumos/ICPSR terms; US gov source)</t>
        </is>
      </c>
      <c r="J306" s="4" t="inlineStr">
        <is>
          <t>open_download</t>
        </is>
      </c>
      <c r="K306" s="4" t="inlineStr">
        <is>
          <t>GeoJSON, GeoPackage, SHP ZIP</t>
        </is>
      </c>
      <c r="L306" s="4" t="inlineStr">
        <is>
          <t>Needs a count/distance step</t>
        </is>
      </c>
      <c r="M306" s="4" t="n">
        <v>3</v>
      </c>
      <c r="N306" s="4" t="inlineStr"/>
      <c r="O306" s="19" t="inlineStr">
        <is>
          <t>Silver</t>
        </is>
      </c>
      <c r="P306" s="4" t="n">
        <v>84</v>
      </c>
      <c r="Q306" s="17" t="inlineStr">
        <is>
          <t>https://www.datalumos.org/datalumos/project/240592/version/V1/view</t>
        </is>
      </c>
      <c r="R306" s="4" t="inlineStr">
        <is>
          <t>us_hifld_hospitals</t>
        </is>
      </c>
    </row>
    <row r="307">
      <c r="A307" s="4" t="inlineStr">
        <is>
          <t>Hospital General Information (Care Compare / Provider Data Catalog)</t>
        </is>
      </c>
      <c r="B307" s="4" t="inlineStr">
        <is>
          <t>Centers for Medicare &amp; Medicaid Services</t>
        </is>
      </c>
      <c r="C307" s="4" t="inlineStr">
        <is>
          <t>sdoh</t>
        </is>
      </c>
      <c r="D307" s="4" t="inlineStr">
        <is>
          <t>US; territories</t>
        </is>
      </c>
      <c r="E307" s="4" t="inlineStr">
        <is>
          <t>point (address/ZIP; needs geocoding)</t>
        </is>
      </c>
      <c r="F307" s="4" t="inlineStr">
        <is>
          <t>current</t>
        </is>
      </c>
      <c r="G307" s="4" t="n">
        <v>2026</v>
      </c>
      <c r="H307" s="4" t="inlineStr">
        <is>
          <t>unknown</t>
        </is>
      </c>
      <c r="I307" s="4" t="inlineStr">
        <is>
          <t>public domain (US gov, assumed)</t>
        </is>
      </c>
      <c r="J307" s="4" t="inlineStr">
        <is>
          <t>open_download</t>
        </is>
      </c>
      <c r="K307" s="4" t="inlineStr">
        <is>
          <t>CSV, API</t>
        </is>
      </c>
      <c r="L307" s="4" t="inlineStr">
        <is>
          <t>Needs a count/distance step</t>
        </is>
      </c>
      <c r="M307" s="4" t="n">
        <v>3</v>
      </c>
      <c r="N307" s="4" t="inlineStr"/>
      <c r="O307" s="19" t="inlineStr">
        <is>
          <t>Silver</t>
        </is>
      </c>
      <c r="P307" s="4" t="n">
        <v>88</v>
      </c>
      <c r="Q307" s="17" t="inlineStr">
        <is>
          <t>https://data.cms.gov/provider-data/dataset/xubh-q36u</t>
        </is>
      </c>
      <c r="R307" s="4" t="inlineStr">
        <is>
          <t>us_cms_hospital_general_information</t>
        </is>
      </c>
    </row>
    <row r="308">
      <c r="A308" s="4" t="inlineStr">
        <is>
          <t>Indices de marginacion 2020</t>
        </is>
      </c>
      <c r="B308" s="4" t="inlineStr">
        <is>
          <t>Consejo Nacional de Poblacion (CONAPO)</t>
        </is>
      </c>
      <c r="C308" s="4" t="inlineStr">
        <is>
          <t>sdoh</t>
        </is>
      </c>
      <c r="D308" s="4" t="inlineStr">
        <is>
          <t>Mexico (implied: entidades federativas, municipios, Censo de Población y Vivienda 2020; not stated as national)</t>
        </is>
      </c>
      <c r="E308" s="4" t="inlineStr">
        <is>
          <t>polygon (colonia, new in 2020; also AGEB urbana, localidad, municipio, entidad)</t>
        </is>
      </c>
      <c r="F308" s="4" t="inlineStr">
        <is>
          <t>2020 (Censo 2020 based; published 4 Oct 2021); 2010 and 2015 DP2 estimates for entidad/municipio as reference only</t>
        </is>
      </c>
      <c r="G308" s="4" t="n">
        <v>2020</v>
      </c>
      <c r="H308" s="4" t="inlineStr">
        <is>
          <t>non-commercial</t>
        </is>
      </c>
      <c r="I308" s="4" t="inlineStr">
        <is>
          <t>custom terms: gob.mx site Términos y Condiciones (personal use only; no modification, public/commercial display or redistribution). No dataset-specific licence on the landing page.</t>
        </is>
      </c>
      <c r="J308" s="4" t="inlineStr">
        <is>
          <t>open_download</t>
        </is>
      </c>
      <c r="K308" s="4" t="inlineStr">
        <is>
          <t>xls; xlsx; shp (zip); rar (R scripts); pdf</t>
        </is>
      </c>
      <c r="L308" s="4" t="inlineStr">
        <is>
          <t>Joins today</t>
        </is>
      </c>
      <c r="M308" s="4" t="n">
        <v>3</v>
      </c>
      <c r="N308" s="4" t="inlineStr"/>
      <c r="O308" s="19" t="inlineStr">
        <is>
          <t>Silver</t>
        </is>
      </c>
      <c r="P308" s="4" t="n">
        <v>91</v>
      </c>
      <c r="Q308" s="17" t="inlineStr">
        <is>
          <t>https://www.gob.mx/conapo/documentos/indices-de-marginacion-2020-284372</t>
        </is>
      </c>
      <c r="R308" s="4" t="inlineStr">
        <is>
          <t>mx_conapo_indice_marginacion</t>
        </is>
      </c>
    </row>
    <row r="309">
      <c r="A309" s="4" t="inlineStr">
        <is>
          <t>Living Standards Measurement Study (LSMS)</t>
        </is>
      </c>
      <c r="B309" s="4" t="inlineStr">
        <is>
          <t>World Bank</t>
        </is>
      </c>
      <c r="C309" s="4" t="inlineStr">
        <is>
          <t>sdoh</t>
        </is>
      </c>
      <c r="D309" s="4" t="inlineStr">
        <is>
          <t>43 countries/economies, 164 studies in the Microdata Library LSMS collection; HFPS rounds for Burkina Faso, Ethiopia, Malawi, Nigeria, Tanzania, Uganda</t>
        </is>
      </c>
      <c r="E309" s="4" t="inlineStr">
        <is>
          <t>unknown</t>
        </is>
      </c>
      <c r="F309" s="4" t="inlineStr">
        <is>
          <t>study years visible in catalog from 1985 (Peru ENNIV) to 2022 (Ethiopia COVID-19 Vaccination Survey); program initiated 1980</t>
        </is>
      </c>
      <c r="G309" s="4" t="n">
        <v>2022</v>
      </c>
      <c r="H309" s="4" t="inlineStr">
        <is>
          <t>unknown</t>
        </is>
      </c>
      <c r="I309" s="4" t="inlineStr"/>
      <c r="J309" s="4" t="inlineStr">
        <is>
          <t>registration</t>
        </is>
      </c>
      <c r="K309" s="4" t="inlineStr">
        <is>
          <t>various</t>
        </is>
      </c>
      <c r="L309" s="4" t="inlineStr">
        <is>
          <t>Not linkable as listed</t>
        </is>
      </c>
      <c r="M309" s="4" t="n">
        <v>3</v>
      </c>
      <c r="N309" s="4" t="inlineStr"/>
      <c r="O309" s="19" t="inlineStr">
        <is>
          <t>Silver</t>
        </is>
      </c>
      <c r="P309" s="4" t="n">
        <v>90</v>
      </c>
      <c r="Q309" s="17" t="inlineStr">
        <is>
          <t>https://www.worldbank.org/en/programs/lsms</t>
        </is>
      </c>
      <c r="R309" s="4" t="inlineStr">
        <is>
          <t>global_worldbank_lsms</t>
        </is>
      </c>
    </row>
    <row r="310">
      <c r="A310" s="4" t="inlineStr">
        <is>
          <t>Minority Health Index (MHI; formerly Minority Health Social Vulnerability Index)</t>
        </is>
      </c>
      <c r="B310" s="4" t="inlineStr">
        <is>
          <t>U.S. Department of Health and Human Services</t>
        </is>
      </c>
      <c r="C310" s="4" t="inlineStr">
        <is>
          <t>sdoh</t>
        </is>
      </c>
      <c r="D310" s="4" t="inlineStr">
        <is>
          <t>US: counties within each state and the District of Columbia</t>
        </is>
      </c>
      <c r="E310" s="4" t="inlineStr">
        <is>
          <t>county</t>
        </is>
      </c>
      <c r="F310" s="4" t="inlineStr">
        <is>
          <t>2022 vintage (ACS 2018–2022 5-year estimates for ACS variables); MHI last updated June 2025</t>
        </is>
      </c>
      <c r="G310" s="4" t="n">
        <v>2022</v>
      </c>
      <c r="H310" s="4" t="inlineStr">
        <is>
          <t>public_domain_us_federal</t>
        </is>
      </c>
      <c r="I310" s="4" t="inlineStr"/>
      <c r="J310" s="4" t="inlineStr">
        <is>
          <t>open_download</t>
        </is>
      </c>
      <c r="K310" s="4" t="inlineStr">
        <is>
          <t>csv; xlsx (data dictionary); web map (CDC OneMap)</t>
        </is>
      </c>
      <c r="L310" s="4" t="inlineStr">
        <is>
          <t>Joins today</t>
        </is>
      </c>
      <c r="M310" s="4" t="n">
        <v>3</v>
      </c>
      <c r="N310" s="4" t="inlineStr"/>
      <c r="O310" s="13" t="inlineStr">
        <is>
          <t>Gold</t>
        </is>
      </c>
      <c r="P310" s="4" t="n">
        <v>93</v>
      </c>
      <c r="Q310" s="17" t="inlineStr">
        <is>
          <t>https://minorityhealth.hhs.gov/minority-health-svi</t>
        </is>
      </c>
      <c r="R310" s="4" t="inlineStr">
        <is>
          <t>us_hhs_omh_minority_health_index</t>
        </is>
      </c>
    </row>
    <row r="311">
      <c r="A311" s="4" t="inlineStr">
        <is>
          <t>NaNDA: Health Care Services by Census Tract and ZCTA</t>
        </is>
      </c>
      <c r="B311" s="4" t="inlineStr">
        <is>
          <t>University of Michigan</t>
        </is>
      </c>
      <c r="C311" s="4" t="inlineStr">
        <is>
          <t>sdoh</t>
        </is>
      </c>
      <c r="D311" s="4" t="inlineStr">
        <is>
          <t>US</t>
        </is>
      </c>
      <c r="E311" s="4" t="inlineStr">
        <is>
          <t>census tract, ZCTA</t>
        </is>
      </c>
      <c r="F311" s="4" t="inlineStr">
        <is>
          <t>1990-2022</t>
        </is>
      </c>
      <c r="G311" s="4" t="n">
        <v>2026</v>
      </c>
      <c r="H311" s="4" t="inlineStr"/>
      <c r="I311" s="4" t="inlineStr">
        <is>
          <t>ICPSR terms (free download; account needed)</t>
        </is>
      </c>
      <c r="J311" s="4" t="inlineStr">
        <is>
          <t>open_download</t>
        </is>
      </c>
      <c r="K311" s="4" t="inlineStr">
        <is>
          <t>via ICPSR</t>
        </is>
      </c>
      <c r="L311" s="4" t="inlineStr">
        <is>
          <t>Joins today</t>
        </is>
      </c>
      <c r="M311" s="4" t="n">
        <v>3</v>
      </c>
      <c r="N311" s="4" t="inlineStr"/>
      <c r="O311" s="19" t="inlineStr">
        <is>
          <t>Silver</t>
        </is>
      </c>
      <c r="P311" s="4" t="n">
        <v>50</v>
      </c>
      <c r="Q311" s="17" t="inlineStr">
        <is>
          <t>https://nanda.isr.umich.edu/2026/04/09/12-nanda-datasets-updated-through-2022/</t>
        </is>
      </c>
      <c r="R311" s="4" t="inlineStr">
        <is>
          <t>us_umich_nanda_health_care</t>
        </is>
      </c>
    </row>
    <row r="312">
      <c r="A312" s="4" t="inlineStr">
        <is>
          <t>Nursing Home Provider Information (Care Compare)</t>
        </is>
      </c>
      <c r="B312" s="4" t="inlineStr">
        <is>
          <t>Centers for Medicare &amp; Medicaid Services</t>
        </is>
      </c>
      <c r="C312" s="4" t="inlineStr">
        <is>
          <t>sdoh</t>
        </is>
      </c>
      <c r="D312" s="4" t="inlineStr">
        <is>
          <t>US; territories</t>
        </is>
      </c>
      <c r="E312" s="4" t="inlineStr">
        <is>
          <t>point (address/ZIP; needs geocoding)</t>
        </is>
      </c>
      <c r="F312" s="4" t="inlineStr">
        <is>
          <t>current</t>
        </is>
      </c>
      <c r="G312" s="4" t="n">
        <v>2026</v>
      </c>
      <c r="H312" s="4" t="inlineStr">
        <is>
          <t>unknown</t>
        </is>
      </c>
      <c r="I312" s="4" t="inlineStr">
        <is>
          <t>public domain (US gov, assumed)</t>
        </is>
      </c>
      <c r="J312" s="4" t="inlineStr">
        <is>
          <t>open_download</t>
        </is>
      </c>
      <c r="K312" s="4" t="inlineStr">
        <is>
          <t>CSV, API</t>
        </is>
      </c>
      <c r="L312" s="4" t="inlineStr">
        <is>
          <t>Needs a count/distance step</t>
        </is>
      </c>
      <c r="M312" s="4" t="n">
        <v>3</v>
      </c>
      <c r="N312" s="4" t="inlineStr"/>
      <c r="O312" s="19" t="inlineStr">
        <is>
          <t>Silver</t>
        </is>
      </c>
      <c r="P312" s="4" t="n">
        <v>88</v>
      </c>
      <c r="Q312" s="17" t="inlineStr">
        <is>
          <t>https://data.cms.gov/provider-data/dataset/4pq5-n9py</t>
        </is>
      </c>
      <c r="R312" s="4" t="inlineStr">
        <is>
          <t>us_cms_nursing_home_provider_info</t>
        </is>
      </c>
    </row>
    <row r="313">
      <c r="A313" s="4" t="inlineStr">
        <is>
          <t>OpenFEMA NFIP Redacted Claims (v3; v2 FIMA NFIP Redacted Claims deprecated)</t>
        </is>
      </c>
      <c r="B313" s="4" t="inlineStr">
        <is>
          <t>FEMA</t>
        </is>
      </c>
      <c r="C313" s="4" t="inlineStr">
        <is>
          <t>sdoh</t>
        </is>
      </c>
      <c r="D313" s="4" t="inlineStr">
        <is>
          <t>US (implied by state abbreviation and county FIPS fields; not explicitly stated)</t>
        </is>
      </c>
      <c r="E313" s="4" t="inlineStr">
        <is>
          <t>point (lat/long rounded to one decimal place); censusBlockGroupFips is the finest exact key</t>
        </is>
      </c>
      <c r="F313" s="4" t="inlineStr">
        <is>
          <t>range not stated (yearOfLoss/dateOfLoss fields present); v2 Last Data Refresh 2026-06-01, data frozen as of 06/01/2026</t>
        </is>
      </c>
      <c r="G313" s="4" t="n">
        <v>2026</v>
      </c>
      <c r="H313" s="4" t="inlineStr">
        <is>
          <t>registration</t>
        </is>
      </c>
      <c r="I313" s="4" t="inlineStr">
        <is>
          <t>custom terms: OpenFEMA Terms and Conditions (acceptance of terms required; use limited to statistical research/reporting; no reidentification; citation of endpoint and access date required; no licence name, public domain not stated)</t>
        </is>
      </c>
      <c r="J313" s="4" t="inlineStr">
        <is>
          <t>open_download</t>
        </is>
      </c>
      <c r="K313" s="4" t="inlineStr">
        <is>
          <t>csv; parquet; api (json)</t>
        </is>
      </c>
      <c r="L313" s="4" t="inlineStr">
        <is>
          <t>Needs a count/distance step</t>
        </is>
      </c>
      <c r="M313" s="4" t="n">
        <v>3</v>
      </c>
      <c r="N313" s="4" t="inlineStr"/>
      <c r="O313" s="19" t="inlineStr">
        <is>
          <t>Silver</t>
        </is>
      </c>
      <c r="P313" s="4" t="n">
        <v>84</v>
      </c>
      <c r="Q313" s="17" t="inlineStr">
        <is>
          <t>https://www.fema.gov/openfema-data-page/fima-nfip-redacted-claims-v2</t>
        </is>
      </c>
      <c r="R313" s="4" t="inlineStr">
        <is>
          <t>us_fema_openfema_nfip_claims</t>
        </is>
      </c>
    </row>
    <row r="314">
      <c r="A314" s="4" t="inlineStr">
        <is>
          <t>Provider of Services (POS) File - Hospital and Non-Hospital Facilities</t>
        </is>
      </c>
      <c r="B314" s="4" t="inlineStr">
        <is>
          <t>Centers for Medicare &amp; Medicaid Services</t>
        </is>
      </c>
      <c r="C314" s="4" t="inlineStr">
        <is>
          <t>sdoh</t>
        </is>
      </c>
      <c r="D314" s="4" t="inlineStr">
        <is>
          <t>US; territories</t>
        </is>
      </c>
      <c r="E314" s="4" t="inlineStr">
        <is>
          <t>address (needs geocoding); CMS Certification Number</t>
        </is>
      </c>
      <c r="F314" s="4" t="inlineStr">
        <is>
          <t>quarterly; latest Q3 2026</t>
        </is>
      </c>
      <c r="G314" s="4" t="inlineStr">
        <is>
          <t>current</t>
        </is>
      </c>
      <c r="H314" s="4" t="inlineStr">
        <is>
          <t>public_domain_us_federal</t>
        </is>
      </c>
      <c r="I314" s="4" t="inlineStr">
        <is>
          <t>US federal (WG rule)</t>
        </is>
      </c>
      <c r="J314" s="4" t="inlineStr">
        <is>
          <t>open_download</t>
        </is>
      </c>
      <c r="K314" s="4" t="inlineStr">
        <is>
          <t>download, API</t>
        </is>
      </c>
      <c r="L314" s="4" t="inlineStr">
        <is>
          <t>Needs a count/distance step</t>
        </is>
      </c>
      <c r="M314" s="4" t="n">
        <v>3</v>
      </c>
      <c r="N314" s="4" t="inlineStr"/>
      <c r="O314" s="19" t="inlineStr">
        <is>
          <t>Silver</t>
        </is>
      </c>
      <c r="P314" s="4" t="n">
        <v>80</v>
      </c>
      <c r="Q314" s="17" t="inlineStr">
        <is>
          <t>https://data.cms.gov/provider-characteristics/hospitals-and-other-facilities/provider-of-services-file-hospital-non-hospital-facilities</t>
        </is>
      </c>
      <c r="R314" s="4" t="inlineStr">
        <is>
          <t>us_cms_provider_of_services</t>
        </is>
      </c>
    </row>
    <row r="315">
      <c r="A315" s="4" t="inlineStr">
        <is>
          <t>Revenus à la commune en France</t>
        </is>
      </c>
      <c r="B315" s="4" t="inlineStr">
        <is>
          <t>Geoptis</t>
        </is>
      </c>
      <c r="C315" s="4" t="inlineStr">
        <is>
          <t>sdoh</t>
        </is>
      </c>
      <c r="D315" s="4" t="inlineStr">
        <is>
          <t>France métropolitaine et DOM-COM (zones country:fr)</t>
        </is>
      </c>
      <c r="E315" s="4" t="inlineStr">
        <is>
          <t>admin3 (fr:commune)</t>
        </is>
      </c>
      <c r="F315" s="4" t="inlineStr">
        <is>
          <t>2024 (single year; temporal_coverage 2024-01-01 to 2024-12-31 in DCAT metadata)</t>
        </is>
      </c>
      <c r="G315" s="4" t="n">
        <v>2024</v>
      </c>
      <c r="H315" s="4" t="inlineStr">
        <is>
          <t>open</t>
        </is>
      </c>
      <c r="I315" s="4" t="inlineStr">
        <is>
          <t>Licence Ouverte / Open Licence version 2.0 (lov2)</t>
        </is>
      </c>
      <c r="J315" s="4" t="inlineStr">
        <is>
          <t>open_download</t>
        </is>
      </c>
      <c r="K315" s="4" t="inlineStr">
        <is>
          <t>shp.zip; xlsx</t>
        </is>
      </c>
      <c r="L315" s="4" t="inlineStr">
        <is>
          <t>Joins today</t>
        </is>
      </c>
      <c r="M315" s="4" t="n">
        <v>3</v>
      </c>
      <c r="N315" s="4" t="inlineStr"/>
      <c r="O315" s="19" t="inlineStr">
        <is>
          <t>Silver</t>
        </is>
      </c>
      <c r="P315" s="4" t="n">
        <v>89</v>
      </c>
      <c r="Q315" s="17" t="inlineStr">
        <is>
          <t>https://www.data.gouv.fr/datasets/revenus-a-la-commune-en-france</t>
        </is>
      </c>
      <c r="R315" s="4" t="inlineStr">
        <is>
          <t>fr_datagouv_revenus_la_commune_en_france</t>
        </is>
      </c>
    </row>
    <row r="316">
      <c r="A316" s="4" t="inlineStr">
        <is>
          <t>Safe Drinking Water Information System (SDWIS) Federal Data Warehouse / SDWA dataset</t>
        </is>
      </c>
      <c r="B316" s="4" t="inlineStr">
        <is>
          <t>US EPA</t>
        </is>
      </c>
      <c r="C316" s="4" t="inlineStr">
        <is>
          <t>sdoh</t>
        </is>
      </c>
      <c r="D316" s="4" t="inlineStr">
        <is>
          <t>US national ('National download of Safe Drinking Water Act data'; 'states' = any entity with primacy under SDWA); territories/tribal not listed</t>
        </is>
      </c>
      <c r="E316" s="4" t="inlineStr">
        <is>
          <t>county (systems located by 'city or county served'; no geometry)</t>
        </is>
      </c>
      <c r="F316" s="4" t="inlineStr">
        <is>
          <t>ongoing (ECHO SDWA dataset 'compiled from the latest refresh' of SDWIS, 'updated quarterly'); year range not stated (ECHO notes data quality before November 2000 is unknown)</t>
        </is>
      </c>
      <c r="G316" s="4" t="n">
        <v>2026</v>
      </c>
      <c r="H316" s="4" t="inlineStr">
        <is>
          <t>public_domain_us_federal</t>
        </is>
      </c>
      <c r="I316" s="4" t="inlineStr"/>
      <c r="J316" s="4" t="inlineStr">
        <is>
          <t>open_download</t>
        </is>
      </c>
      <c r="K316" s="4" t="inlineStr">
        <is>
          <t>zip of comma-delimited text (csv) per ECHO general statement; web report filters (SDWIS Fed Reports)</t>
        </is>
      </c>
      <c r="L316" s="4" t="inlineStr">
        <is>
          <t>Joins today</t>
        </is>
      </c>
      <c r="M316" s="4" t="n">
        <v>3</v>
      </c>
      <c r="N316" s="4" t="inlineStr"/>
      <c r="O316" s="19" t="inlineStr">
        <is>
          <t>Silver</t>
        </is>
      </c>
      <c r="P316" s="4" t="n">
        <v>83</v>
      </c>
      <c r="Q316" s="17" t="inlineStr">
        <is>
          <t>https://www.epa.gov/ground-water-and-drinking-water/safe-drinking-water-information-system-sdwis-federal-reporting</t>
        </is>
      </c>
      <c r="R316" s="4" t="inlineStr">
        <is>
          <t>us_epa_sdwis_federal</t>
        </is>
      </c>
    </row>
    <row r="317">
      <c r="A317" s="4" t="inlineStr">
        <is>
          <t>Small Area Health Insurance Estimates (SAHIE)</t>
        </is>
      </c>
      <c r="B317" s="4" t="inlineStr">
        <is>
          <t>U.S. Census Bureau</t>
        </is>
      </c>
      <c r="C317" s="4" t="inlineStr">
        <is>
          <t>sdoh</t>
        </is>
      </c>
      <c r="D317" s="4" t="inlineStr">
        <is>
          <t>US ('all counties in the U.S.'; 'Counties and States')</t>
        </is>
      </c>
      <c r="E317" s="4" t="inlineStr">
        <is>
          <t>county</t>
        </is>
      </c>
      <c r="F317" s="4" t="inlineStr">
        <is>
          <t>2008-2024 annual (ACS-based); supplemental 2023; experimental 2000 (CPS-based)</t>
        </is>
      </c>
      <c r="G317" s="4" t="n">
        <v>2024</v>
      </c>
      <c r="H317" s="4" t="inlineStr">
        <is>
          <t>public_domain_us_federal</t>
        </is>
      </c>
      <c r="I317" s="4" t="inlineStr"/>
      <c r="J317" s="4" t="inlineStr">
        <is>
          <t>open_download</t>
        </is>
      </c>
      <c r="K317" s="4" t="inlineStr">
        <is>
          <t>csv (zip per year, e.g. sahie-2024-csv.zip); pdf file layout</t>
        </is>
      </c>
      <c r="L317" s="4" t="inlineStr">
        <is>
          <t>Joins today</t>
        </is>
      </c>
      <c r="M317" s="4" t="n">
        <v>3</v>
      </c>
      <c r="N317" s="4" t="inlineStr"/>
      <c r="O317" s="13" t="inlineStr">
        <is>
          <t>Gold</t>
        </is>
      </c>
      <c r="P317" s="4" t="n">
        <v>93</v>
      </c>
      <c r="Q317" s="17" t="inlineStr">
        <is>
          <t>https://www.census.gov/programs-surveys/sahie.html</t>
        </is>
      </c>
      <c r="R317" s="4" t="inlineStr">
        <is>
          <t>us_census_sahie</t>
        </is>
      </c>
    </row>
    <row r="318">
      <c r="A318" s="4" t="inlineStr">
        <is>
          <t>Small Area Income and Poverty Estimates (SAIPE)</t>
        </is>
      </c>
      <c r="B318" s="4" t="inlineStr">
        <is>
          <t>U.S. Census Bureau</t>
        </is>
      </c>
      <c r="C318" s="4" t="inlineStr">
        <is>
          <t>sdoh</t>
        </is>
      </c>
      <c r="D318" s="4" t="inlineStr">
        <is>
          <t>US (50 states, DC) and all counties; all 13,000+ school districts</t>
        </is>
      </c>
      <c r="E318" s="4" t="inlineStr">
        <is>
          <t>county (school districts also provided; not in vocabulary)</t>
        </is>
      </c>
      <c r="F318" s="4" t="inlineStr">
        <is>
          <t>annual vintages (2022, 2023, 2024 listed); child-poverty time series 2007-2024; latest 2024 (state/county released January 2026, school district February 2026)</t>
        </is>
      </c>
      <c r="G318" s="4" t="n">
        <v>2024</v>
      </c>
      <c r="H318" s="4" t="inlineStr">
        <is>
          <t>public_domain_us_federal</t>
        </is>
      </c>
      <c r="I318" s="4" t="inlineStr"/>
      <c r="J318" s="4" t="inlineStr">
        <is>
          <t>open_download</t>
        </is>
      </c>
      <c r="K318" s="4" t="inlineStr">
        <is>
          <t>txt (data only, no headers); xls</t>
        </is>
      </c>
      <c r="L318" s="4" t="inlineStr">
        <is>
          <t>Joins today</t>
        </is>
      </c>
      <c r="M318" s="4" t="n">
        <v>3</v>
      </c>
      <c r="N318" s="4" t="inlineStr"/>
      <c r="O318" s="13" t="inlineStr">
        <is>
          <t>Gold</t>
        </is>
      </c>
      <c r="P318" s="4" t="n">
        <v>93</v>
      </c>
      <c r="Q318" s="17" t="inlineStr">
        <is>
          <t>https://www.census.gov/programs-surveys/saipe.html</t>
        </is>
      </c>
      <c r="R318" s="4" t="inlineStr">
        <is>
          <t>us_census_saipe</t>
        </is>
      </c>
    </row>
    <row r="319">
      <c r="A319" s="4" t="inlineStr">
        <is>
          <t>Social Capital Atlas</t>
        </is>
      </c>
      <c r="B319" s="4" t="inlineStr">
        <is>
          <t>Opportunity Insights (Harvard University)</t>
        </is>
      </c>
      <c r="C319" s="4" t="inlineStr">
        <is>
          <t>sdoh</t>
        </is>
      </c>
      <c r="D319" s="4" t="inlineStr">
        <is>
          <t>US ('every school, college, and ZIP code in the United States')</t>
        </is>
      </c>
      <c r="E319" s="4" t="inlineStr">
        <is>
          <t>zip (files by County, ZIP Code, High School, College)</t>
        </is>
      </c>
      <c r="F319" s="4" t="inlineStr">
        <is>
          <t>year not stated on page</t>
        </is>
      </c>
      <c r="G319" s="4" t="n">
        <v>2022</v>
      </c>
      <c r="H319" s="4" t="inlineStr">
        <is>
          <t>unknown</t>
        </is>
      </c>
      <c r="I319" s="4" t="inlineStr"/>
      <c r="J319" s="4" t="inlineStr">
        <is>
          <t>open_download</t>
        </is>
      </c>
      <c r="K319" s="4" t="inlineStr">
        <is>
          <t>csv; pdf readme; zip replication package</t>
        </is>
      </c>
      <c r="L319" s="4" t="inlineStr">
        <is>
          <t>Joins today</t>
        </is>
      </c>
      <c r="M319" s="4" t="n">
        <v>3</v>
      </c>
      <c r="N319" s="4" t="inlineStr"/>
      <c r="O319" s="19" t="inlineStr">
        <is>
          <t>Silver</t>
        </is>
      </c>
      <c r="P319" s="4" t="n">
        <v>91</v>
      </c>
      <c r="Q319" s="17" t="inlineStr">
        <is>
          <t>https://opportunityinsights.org/data/</t>
        </is>
      </c>
      <c r="R319" s="4" t="inlineStr">
        <is>
          <t>us_opportunity_insights_social_capital_atlas</t>
        </is>
      </c>
    </row>
    <row r="320">
      <c r="A320" s="4" t="inlineStr">
        <is>
          <t>Social Deprivation Index (SDI)</t>
        </is>
      </c>
      <c r="B320" s="4" t="inlineStr">
        <is>
          <t>American Academy of Family Physicians</t>
        </is>
      </c>
      <c r="C320" s="4" t="inlineStr">
        <is>
          <t>sdoh</t>
        </is>
      </c>
      <c r="D320" s="4" t="inlineStr">
        <is>
          <t>US (50 states and DC); all counties, tracts, ZCTAs and PCSAs</t>
        </is>
      </c>
      <c r="E320" s="4" t="inlineStr">
        <is>
          <t>tract (also county, zcta, PCSA v3.1)</t>
        </is>
      </c>
      <c r="F320" s="4" t="inlineStr">
        <is>
          <t>ACS 5-year based releases: 2012 (2008-2012 ACS), 2015, 2016, 2017, 2018, 2022 (2018-2022 ACS); latest 2022 SDI; FAQ inconsistently says 2020 is most recent</t>
        </is>
      </c>
      <c r="G320" s="4" t="n">
        <v>2022</v>
      </c>
      <c r="H320" s="4" t="inlineStr">
        <is>
          <t>non-commercial</t>
        </is>
      </c>
      <c r="I320" s="4" t="inlineStr">
        <is>
          <t>custom terms: AAFP website Terms of Use - material may be downloaded, viewed and printed for personal and noncommercial use only; no copying, modifying, distributing or creating derivative works; no data-specific licence</t>
        </is>
      </c>
      <c r="J320" s="4" t="inlineStr">
        <is>
          <t>open_download</t>
        </is>
      </c>
      <c r="K320" s="4" t="inlineStr">
        <is>
          <t>csv</t>
        </is>
      </c>
      <c r="L320" s="4" t="inlineStr">
        <is>
          <t>Joins today</t>
        </is>
      </c>
      <c r="M320" s="4" t="n">
        <v>3</v>
      </c>
      <c r="N320" s="4" t="inlineStr"/>
      <c r="O320" s="19" t="inlineStr">
        <is>
          <t>Silver</t>
        </is>
      </c>
      <c r="P320" s="4" t="n">
        <v>86</v>
      </c>
      <c r="Q320" s="17" t="inlineStr">
        <is>
          <t>https://www.graham-center.org/maps-data-tools/social-deprivation-index.html</t>
        </is>
      </c>
      <c r="R320" s="4" t="inlineStr">
        <is>
          <t>us_rgc_sdi</t>
        </is>
      </c>
    </row>
    <row r="321">
      <c r="A321" s="4" t="inlineStr">
        <is>
          <t>Socio-Economic Indexes for Areas (SEIFA)</t>
        </is>
      </c>
      <c r="B321" s="4" t="inlineStr">
        <is>
          <t>Australian Bureau of Statistics (ABS)</t>
        </is>
      </c>
      <c r="C321" s="4" t="inlineStr">
        <is>
          <t>sdoh</t>
        </is>
      </c>
      <c r="D321" s="4" t="inlineStr">
        <is>
          <t>Australia ('all LGAs in Australia')</t>
        </is>
      </c>
      <c r="E321" s="4" t="inlineStr">
        <is>
          <t>SA1 (ABS Statistical Area Level 1; polygon) - finer than the listed postcode_small_area; also SA2, LGA, POA, SAL</t>
        </is>
      </c>
      <c r="F321" s="4" t="inlineStr">
        <is>
          <t>census-based: 2006 (data only), 2011, 2016, 2021; latest reference period 2021, released 27/04/2023 (updated 09/05/2023; post-release changes to 06/10/2023)</t>
        </is>
      </c>
      <c r="G321" s="4" t="n">
        <v>2021</v>
      </c>
      <c r="H321" s="4" t="inlineStr">
        <is>
          <t>open</t>
        </is>
      </c>
      <c r="I321" s="4" t="inlineStr">
        <is>
          <t>CC BY 4.0 ('All material presented on this website is provided under a Creative Commons Attribution 4.0 International licence'; excludes logos, trademarks, microdata, third-party content, Census branding)</t>
        </is>
      </c>
      <c r="J321" s="4" t="inlineStr">
        <is>
          <t>open_download</t>
        </is>
      </c>
      <c r="K321" s="4" t="inlineStr">
        <is>
          <t>xlsx data cubes; zip archives of xlsx; ArcGIS web services (statmaps.abs.gov.au); Data Explorer; TableBuilder</t>
        </is>
      </c>
      <c r="L321" s="4" t="inlineStr">
        <is>
          <t>Joins today</t>
        </is>
      </c>
      <c r="M321" s="4" t="n">
        <v>3</v>
      </c>
      <c r="N321" s="4" t="inlineStr"/>
      <c r="O321" s="19" t="inlineStr">
        <is>
          <t>Silver</t>
        </is>
      </c>
      <c r="P321" s="4" t="n">
        <v>86</v>
      </c>
      <c r="Q321" s="17" t="inlineStr">
        <is>
          <t>https://www.abs.gov.au/statistics/people/people-and-communities/socio-economic-indexes-areas-seifa-australia/latest-release</t>
        </is>
      </c>
      <c r="R321" s="4" t="inlineStr">
        <is>
          <t>au_abs_seifa</t>
        </is>
      </c>
    </row>
    <row r="322">
      <c r="A322" s="4" t="inlineStr">
        <is>
          <t>VA Facilities API (Lighthouse)</t>
        </is>
      </c>
      <c r="B322" s="4" t="inlineStr">
        <is>
          <t>U.S. Department of Veterans Affairs</t>
        </is>
      </c>
      <c r="C322" s="4" t="inlineStr">
        <is>
          <t>sdoh</t>
        </is>
      </c>
      <c r="D322" s="4" t="inlineStr">
        <is>
          <t>US; territories</t>
        </is>
      </c>
      <c r="E322" s="4" t="inlineStr">
        <is>
          <t>point</t>
        </is>
      </c>
      <c r="F322" s="4" t="inlineStr">
        <is>
          <t>not stated; data.gov record issued 2021-01-22, modified 2026-08-11</t>
        </is>
      </c>
      <c r="G322" s="4" t="n">
        <v>2026</v>
      </c>
      <c r="H322" s="4" t="inlineStr">
        <is>
          <t>open</t>
        </is>
      </c>
      <c r="I322" s="4" t="inlineStr">
        <is>
          <t>Creative Commons CC0 1.0 Public Domain (data.gov listing)</t>
        </is>
      </c>
      <c r="J322" s="4" t="inlineStr">
        <is>
          <t>api</t>
        </is>
      </c>
      <c r="K322" s="4" t="inlineStr">
        <is>
          <t>api (HTML resource only listed on data.gov)</t>
        </is>
      </c>
      <c r="L322" s="4" t="inlineStr">
        <is>
          <t>Needs a count/distance step</t>
        </is>
      </c>
      <c r="M322" s="4" t="n">
        <v>3</v>
      </c>
      <c r="N322" s="4" t="inlineStr"/>
      <c r="O322" s="19" t="inlineStr">
        <is>
          <t>Silver</t>
        </is>
      </c>
      <c r="P322" s="4" t="n">
        <v>75</v>
      </c>
      <c r="Q322" s="17" t="inlineStr">
        <is>
          <t>https://developer.va.gov/explore/api/va-facilities</t>
        </is>
      </c>
      <c r="R322" s="4" t="inlineStr">
        <is>
          <t>us_va_facilities_api</t>
        </is>
      </c>
    </row>
    <row r="323">
      <c r="A323" s="4" t="inlineStr">
        <is>
          <t>World Bank Microdata Library</t>
        </is>
      </c>
      <c r="B323" s="4" t="inlineStr">
        <is>
          <t>World Bank</t>
        </is>
      </c>
      <c r="C323" s="4" t="inlineStr">
        <is>
          <t>sdoh</t>
        </is>
      </c>
      <c r="D323" s="4" t="inlineStr">
        <is>
          <t>7141 datasets; countries in latest additions include Burkina Faso, Argentina, Angola, Ethiopia, Sierra Leone</t>
        </is>
      </c>
      <c r="E323" s="4" t="inlineStr">
        <is>
          <t>unknown</t>
        </is>
      </c>
      <c r="F323" s="4" t="inlineStr">
        <is>
          <t>not stated for the catalogue; 'Latest additions' list datasets dated e.g. 2024</t>
        </is>
      </c>
      <c r="G323" s="4" t="n">
        <v>2024</v>
      </c>
      <c r="H323" s="4" t="inlineStr">
        <is>
          <t>registration</t>
        </is>
      </c>
      <c r="I323" s="4" t="inlineStr">
        <is>
          <t>custom terms of use, per-dataset access type: Open Access (no login, commercial and non-commercial use), Direct Access (agree on download), Public Use (registration + conditions, research only), Licensed (documented application + signed agreement), External (repository's own terms), No Access</t>
        </is>
      </c>
      <c r="J323" s="4" t="inlineStr">
        <is>
          <t>registration</t>
        </is>
      </c>
      <c r="K323" s="4" t="inlineStr">
        <is>
          <t>various;api (metadata)</t>
        </is>
      </c>
      <c r="L323" s="4" t="inlineStr">
        <is>
          <t>Not linkable as listed</t>
        </is>
      </c>
      <c r="M323" s="4" t="n">
        <v>3</v>
      </c>
      <c r="N323" s="4" t="inlineStr"/>
      <c r="O323" s="19" t="inlineStr">
        <is>
          <t>Silver</t>
        </is>
      </c>
      <c r="P323" s="4" t="n">
        <v>75</v>
      </c>
      <c r="Q323" s="17" t="inlineStr">
        <is>
          <t>https://microdata.worldbank.org/index.php/home</t>
        </is>
      </c>
      <c r="R323" s="4" t="inlineStr">
        <is>
          <t>global_worldbank_microdata_library</t>
        </is>
      </c>
    </row>
    <row r="324">
      <c r="A324" s="4" t="inlineStr">
        <is>
          <t>Air Toxics Screening Assessment (AirToxScreen) (successor to NATA)</t>
        </is>
      </c>
      <c r="B324" s="4" t="inlineStr">
        <is>
          <t>US EPA</t>
        </is>
      </c>
      <c r="C324" s="4" t="inlineStr">
        <is>
          <t>toxics</t>
        </is>
      </c>
      <c r="D324" s="4" t="inlineStr">
        <is>
          <t>US (all 50 states, DC, Puerto Rico, US Virgin Islands)</t>
        </is>
      </c>
      <c r="E324" s="4" t="inlineStr">
        <is>
          <t>block</t>
        </is>
      </c>
      <c r="F324" s="4" t="inlineStr">
        <is>
          <t>2020 (single assessment year; builds on 2020 NEI)</t>
        </is>
      </c>
      <c r="G324" s="4" t="n">
        <v>2020</v>
      </c>
      <c r="H324" s="4" t="inlineStr">
        <is>
          <t>open</t>
        </is>
      </c>
      <c r="I324" s="4" t="inlineStr">
        <is>
          <t>No licence on landing page. EPA Disclaimers: 'Unless otherwise specified, geospatial data produced by the EPA is by default in the public domain' (17 U.S.C. 105); documents 'may be freely distributed and used for non-commercial, scientific and educational purposes'</t>
        </is>
      </c>
      <c r="J324" s="4" t="inlineStr">
        <is>
          <t>open_download</t>
        </is>
      </c>
      <c r="K324" s="4" t="inlineStr">
        <is>
          <t>xlsx; zip (contents not stated); gaftp directory listings</t>
        </is>
      </c>
      <c r="L324" s="4" t="inlineStr">
        <is>
          <t>Joins today</t>
        </is>
      </c>
      <c r="M324" s="4" t="n">
        <v>3</v>
      </c>
      <c r="N324" s="4" t="inlineStr"/>
      <c r="O324" s="19" t="inlineStr">
        <is>
          <t>Silver</t>
        </is>
      </c>
      <c r="P324" s="4" t="n">
        <v>86</v>
      </c>
      <c r="Q324" s="17" t="inlineStr">
        <is>
          <t>https://www.epa.gov/AirToxScreen/2020-airtoxscreen-assessment-results</t>
        </is>
      </c>
      <c r="R324" s="4" t="inlineStr">
        <is>
          <t>us_epa_airtoxscreen</t>
        </is>
      </c>
    </row>
    <row r="325">
      <c r="A325" s="4" t="inlineStr">
        <is>
          <t>CalEnviroScreen 4.0</t>
        </is>
      </c>
      <c r="B325" s="4" t="inlineStr">
        <is>
          <t>State of California</t>
        </is>
      </c>
      <c r="C325" s="4" t="inlineStr">
        <is>
          <t>toxics</t>
        </is>
      </c>
      <c r="D325" s="4" t="inlineStr">
        <is>
          <t>California (Spatial coverage field; 'every census tract in the state')</t>
        </is>
      </c>
      <c r="E325" s="4" t="inlineStr">
        <is>
          <t>tract</t>
        </is>
      </c>
      <c r="F325" s="4" t="inlineStr">
        <is>
          <t>Years of underlying data not stated; resource filenames carry '_f_2021'; catalog record created 2023-01-10, resources last updated Oct 2026</t>
        </is>
      </c>
      <c r="G325" s="4" t="n">
        <v>2021</v>
      </c>
      <c r="H325" s="4" t="inlineStr">
        <is>
          <t>open</t>
        </is>
      </c>
      <c r="I325" s="4" t="inlineStr">
        <is>
          <t>License: 'License not specified'; Rights: 'No restrictions on public use'; Public Access Level: Public</t>
        </is>
      </c>
      <c r="J325" s="4" t="inlineStr">
        <is>
          <t>open_download</t>
        </is>
      </c>
      <c r="K325" s="4" t="inlineStr">
        <is>
          <t>xlsx; shp; gdb</t>
        </is>
      </c>
      <c r="L325" s="4" t="inlineStr">
        <is>
          <t>Joins today</t>
        </is>
      </c>
      <c r="M325" s="4" t="n">
        <v>3</v>
      </c>
      <c r="N325" s="4" t="inlineStr"/>
      <c r="O325" s="19" t="inlineStr">
        <is>
          <t>Silver</t>
        </is>
      </c>
      <c r="P325" s="4" t="n">
        <v>97</v>
      </c>
      <c r="Q325" s="17" t="inlineStr">
        <is>
          <t>https://catalog.data.gov/dataset/calenviroscreen-4-0</t>
        </is>
      </c>
      <c r="R325" s="4" t="inlineStr">
        <is>
          <t>us_ca_oehha_calenviroscreen</t>
        </is>
      </c>
    </row>
    <row r="326">
      <c r="A326" s="4" t="inlineStr">
        <is>
          <t>Cleanups in My Community (CIMC) / ACRES Brownfields properties</t>
        </is>
      </c>
      <c r="B326" s="4" t="inlineStr">
        <is>
          <t>US EPA</t>
        </is>
      </c>
      <c r="C326" s="4" t="inlineStr">
        <is>
          <t>toxics</t>
        </is>
      </c>
      <c r="D326" s="4" t="inlineStr">
        <is>
          <t>US (whole USA; states and territories)</t>
        </is>
      </c>
      <c r="E326" s="4" t="inlineStr">
        <is>
          <t>point</t>
        </is>
      </c>
      <c r="F326" s="4" t="inlineStr">
        <is>
          <t>current</t>
        </is>
      </c>
      <c r="G326" s="4" t="inlineStr">
        <is>
          <t>current</t>
        </is>
      </c>
      <c r="H326" s="4" t="inlineStr">
        <is>
          <t>public_domain_us_federal</t>
        </is>
      </c>
      <c r="I326" s="4" t="inlineStr"/>
      <c r="J326" s="4" t="inlineStr">
        <is>
          <t>open_download</t>
        </is>
      </c>
      <c r="K326" s="4" t="inlineStr">
        <is>
          <t>gdb (zip: all sites, Superfund, Brownfields); ArcGIS REST MapServer (map22.epa.gov); spreadsheet export from list results</t>
        </is>
      </c>
      <c r="L326" s="4" t="inlineStr">
        <is>
          <t>Needs a count/distance step</t>
        </is>
      </c>
      <c r="M326" s="4" t="n">
        <v>3</v>
      </c>
      <c r="N326" s="4" t="inlineStr"/>
      <c r="O326" s="19" t="inlineStr">
        <is>
          <t>Silver</t>
        </is>
      </c>
      <c r="P326" s="4" t="n">
        <v>97</v>
      </c>
      <c r="Q326" s="17" t="inlineStr">
        <is>
          <t>https://www.epa.gov/cleanups/cleanups-my-community</t>
        </is>
      </c>
      <c r="R326" s="4" t="inlineStr">
        <is>
          <t>us_epa_brownfields_acres_cimc</t>
        </is>
      </c>
    </row>
    <row r="327">
      <c r="A327" s="4" t="inlineStr">
        <is>
          <t>ECHO Data Downloads (ECHO Exporter, SDWA, RCRAInfo, ICIS-NPDES, ICIS-Air, Air Emissions datasets)</t>
        </is>
      </c>
      <c r="B327" s="4" t="inlineStr">
        <is>
          <t>US EPA</t>
        </is>
      </c>
      <c r="C327" s="4" t="inlineStr">
        <is>
          <t>toxics</t>
        </is>
      </c>
      <c r="D327" s="4" t="inlineStr">
        <is>
          <t>US (national downloads; jurisdiction subsets by state, territory, region; no state list)</t>
        </is>
      </c>
      <c r="E327" s="4" t="inlineStr">
        <is>
          <t>point</t>
        </is>
      </c>
      <c r="F327" s="4" t="inlineStr">
        <is>
          <t>DMR datasets 'Years Prior To FY2009' through FY2026; 'data quality before November 2000 has not been assessed'; AFS frozen as of 2014-10-17; ongoing (weekly refresh)</t>
        </is>
      </c>
      <c r="G327" s="4" t="n">
        <v>2026</v>
      </c>
      <c r="H327" s="4" t="inlineStr">
        <is>
          <t>open</t>
        </is>
      </c>
      <c r="I327" s="4" t="inlineStr">
        <is>
          <t>No licence on the ECHO page. EPA Disclaimers (footer link): 'Unless otherwise specified, geospatial data produced by the EPA is by default in the public domain'; EPA 'documents' may be 'freely distributed and used for non-commercial, scientific and educational purposes'</t>
        </is>
      </c>
      <c r="J327" s="4" t="inlineStr">
        <is>
          <t>open_download</t>
        </is>
      </c>
      <c r="K327" s="4" t="inlineStr">
        <is>
          <t>csv (zip); xlsx (column summary); pdf (AFS summary)</t>
        </is>
      </c>
      <c r="L327" s="4" t="inlineStr">
        <is>
          <t>Needs a count/distance step</t>
        </is>
      </c>
      <c r="M327" s="4" t="n">
        <v>3</v>
      </c>
      <c r="N327" s="4" t="inlineStr"/>
      <c r="O327" s="19" t="inlineStr">
        <is>
          <t>Silver</t>
        </is>
      </c>
      <c r="P327" s="4" t="n">
        <v>89</v>
      </c>
      <c r="Q327" s="17" t="inlineStr">
        <is>
          <t>https://echo.epa.gov/tools/data-downloads</t>
        </is>
      </c>
      <c r="R327" s="4" t="inlineStr">
        <is>
          <t>us_epa_echo_downloads</t>
        </is>
      </c>
    </row>
    <row r="328">
      <c r="A328" s="4" t="inlineStr">
        <is>
          <t>Envirofacts / DMAP-EF RESTful Data Service API (TRI, SDWIS, FRS, RCRAInfo, Superfund tables)</t>
        </is>
      </c>
      <c r="B328" s="4" t="inlineStr">
        <is>
          <t>US EPA</t>
        </is>
      </c>
      <c r="C328" s="4" t="inlineStr">
        <is>
          <t>toxics</t>
        </is>
      </c>
      <c r="D328" s="4" t="inlineStr">
        <is>
          <t>US (USPS ZIP codes; 'A valid City Name in the United States')</t>
        </is>
      </c>
      <c r="E328" s="4" t="inlineStr">
        <is>
          <t>zip (explicit in UV Index and zip_code filters); facility-level tables referenced without stating coordinates</t>
        </is>
      </c>
      <c r="F328" s="4" t="inlineStr">
        <is>
          <t>current</t>
        </is>
      </c>
      <c r="G328" s="4" t="inlineStr">
        <is>
          <t>current</t>
        </is>
      </c>
      <c r="H328" s="4" t="inlineStr">
        <is>
          <t>open</t>
        </is>
      </c>
      <c r="I328" s="4" t="inlineStr">
        <is>
          <t>No licence on the Web Services page. EPA Disclaimers (footer link): EPA geospatial data public domain by default; EPA documents 'non-commercial, scientific and educational purposes'</t>
        </is>
      </c>
      <c r="J328" s="4" t="inlineStr">
        <is>
          <t>api</t>
        </is>
      </c>
      <c r="K328" s="4" t="inlineStr">
        <is>
          <t>api only: json (default), csv, excel, html, jsonp, parquet, pdf, xml</t>
        </is>
      </c>
      <c r="L328" s="4" t="inlineStr">
        <is>
          <t>Needs a count/distance step</t>
        </is>
      </c>
      <c r="M328" s="4" t="n">
        <v>3</v>
      </c>
      <c r="N328" s="4" t="inlineStr"/>
      <c r="O328" s="19" t="inlineStr">
        <is>
          <t>Silver</t>
        </is>
      </c>
      <c r="P328" s="4" t="n">
        <v>82</v>
      </c>
      <c r="Q328" s="17" t="inlineStr">
        <is>
          <t>https://www.epa.gov/enviro/web-services</t>
        </is>
      </c>
      <c r="R328" s="4" t="inlineStr">
        <is>
          <t>us_epa_envirofacts_api</t>
        </is>
      </c>
    </row>
    <row r="329">
      <c r="A329" s="4" t="inlineStr">
        <is>
          <t>Estimated Annual Agricultural Pesticide Use (Pesticide National Synthesis Project)</t>
        </is>
      </c>
      <c r="B329" s="4" t="inlineStr">
        <is>
          <t>USGS</t>
        </is>
      </c>
      <c r="C329" s="4" t="inlineStr">
        <is>
          <t>toxics</t>
        </is>
      </c>
      <c r="D329" s="4" t="inlineStr">
        <is>
          <t>conterminous United States (2017 and 2018 preliminary files exclude California)</t>
        </is>
      </c>
      <c r="E329" s="4" t="inlineStr">
        <is>
          <t>county</t>
        </is>
      </c>
      <c r="F329" s="4" t="inlineStr">
        <is>
          <t>1992-2012 final (txt per year); 2013-2017 final (USGS data release); 2018-2019 preliminary (data releases); 2018-22 final 'will be published in December 2026'; thereafter annual preliminary estimates</t>
        </is>
      </c>
      <c r="G329" s="4" t="n">
        <v>2019</v>
      </c>
      <c r="H329" s="4" t="inlineStr">
        <is>
          <t>public_domain_us_federal</t>
        </is>
      </c>
      <c r="I329" s="4" t="inlineStr"/>
      <c r="J329" s="4" t="inlineStr">
        <is>
          <t>open_download</t>
        </is>
      </c>
      <c r="K329" s="4" t="inlineStr">
        <is>
          <t>txt (1992-2012, archived preliminary 2013-2014); zip (archived preliminary 2015-2018); USGS data releases (format not stated) for 2013-2017, 2018, 2019</t>
        </is>
      </c>
      <c r="L329" s="4" t="inlineStr">
        <is>
          <t>Joins today</t>
        </is>
      </c>
      <c r="M329" s="4" t="n">
        <v>3</v>
      </c>
      <c r="N329" s="4" t="inlineStr"/>
      <c r="O329" s="13" t="inlineStr">
        <is>
          <t>Gold</t>
        </is>
      </c>
      <c r="P329" s="4" t="n">
        <v>91</v>
      </c>
      <c r="Q329" s="17" t="inlineStr">
        <is>
          <t>https://water.usgs.gov/nawqa/pnsp/usage/maps/</t>
        </is>
      </c>
      <c r="R329" s="4" t="inlineStr">
        <is>
          <t>us_usgs_pesticide_use_pnsp</t>
        </is>
      </c>
    </row>
    <row r="330">
      <c r="A330" s="4" t="inlineStr">
        <is>
          <t>Facility Registry Service (FRS) downloads and API</t>
        </is>
      </c>
      <c r="B330" s="4" t="inlineStr">
        <is>
          <t>US EPA</t>
        </is>
      </c>
      <c r="C330" s="4" t="inlineStr">
        <is>
          <t>toxics</t>
        </is>
      </c>
      <c r="D330" s="4" t="inlineStr">
        <is>
          <t>US (State and National versions; by EPA Region for KML; territories not mentioned)</t>
        </is>
      </c>
      <c r="E330" s="4" t="inlineStr">
        <is>
          <t>point</t>
        </is>
      </c>
      <c r="F330" s="4" t="inlineStr">
        <is>
          <t>ongoing ('Updated monthly'); no start year stated</t>
        </is>
      </c>
      <c r="G330" s="4" t="n">
        <v>2026</v>
      </c>
      <c r="H330" s="4" t="inlineStr">
        <is>
          <t>open</t>
        </is>
      </c>
      <c r="I330" s="4" t="inlineStr">
        <is>
          <t>No licence on the FRS page. EPA Disclaimers (footer link): 'Unless otherwise specified, geospatial data produced by the EPA is by default in the public domain'</t>
        </is>
      </c>
      <c r="J330" s="4" t="inlineStr">
        <is>
          <t>open_download</t>
        </is>
      </c>
      <c r="K330" s="4" t="inlineStr">
        <is>
          <t>csv; kmz/kml; api (json, xml, csv, excel, jsonp); ArcGIS REST map service</t>
        </is>
      </c>
      <c r="L330" s="4" t="inlineStr">
        <is>
          <t>Needs a count/distance step</t>
        </is>
      </c>
      <c r="M330" s="4" t="n">
        <v>3</v>
      </c>
      <c r="N330" s="4" t="inlineStr"/>
      <c r="O330" s="19" t="inlineStr">
        <is>
          <t>Silver</t>
        </is>
      </c>
      <c r="P330" s="4" t="n">
        <v>88</v>
      </c>
      <c r="Q330" s="17" t="inlineStr">
        <is>
          <t>https://www.epa.gov/frs/frs-data-resources</t>
        </is>
      </c>
      <c r="R330" s="4" t="inlineStr">
        <is>
          <t>us_epa_frs</t>
        </is>
      </c>
    </row>
    <row r="331">
      <c r="A331" s="4" t="inlineStr">
        <is>
          <t>FracFocus Chemical Disclosure Registry data download</t>
        </is>
      </c>
      <c r="B331" s="4" t="inlineStr">
        <is>
          <t>FracFocus</t>
        </is>
      </c>
      <c r="C331" s="4" t="inlineStr">
        <is>
          <t>toxics</t>
        </is>
      </c>
      <c r="D331" s="4" t="inlineStr">
        <is>
          <t>US implied (state agencies require disclosures); no state list on page or FAQ</t>
        </is>
      </c>
      <c r="E331" s="4" t="inlineStr">
        <is>
          <t>point</t>
        </is>
      </c>
      <c r="F331" s="4" t="inlineStr">
        <is>
          <t>FracFocus 1.0 header-only Jan 2011 to 2013-05-31; 2.0-4.0 header and chemical data 'November 2012 to present'; FAQ: 'Only wells fractured after January 1, 2011'</t>
        </is>
      </c>
      <c r="G331" s="4" t="n">
        <v>2026</v>
      </c>
      <c r="H331" s="4" t="inlineStr">
        <is>
          <t>registration</t>
        </is>
      </c>
      <c r="I331" s="4" t="inlineStr">
        <is>
          <t>custom terms of use (click-through): 'Downloaded data may be aggregated or combined with other datasets, but the FracFocus data may not be altered in any way'; 'FracFocus does not warrant the data in any way'; users must abide by website terms and conditions</t>
        </is>
      </c>
      <c r="J331" s="4" t="inlineStr">
        <is>
          <t>open_download</t>
        </is>
      </c>
      <c r="K331" s="4" t="inlineStr">
        <is>
          <t>csv (zip); MS SQL Server backup (zip)</t>
        </is>
      </c>
      <c r="L331" s="4" t="inlineStr">
        <is>
          <t>Needs a count/distance step</t>
        </is>
      </c>
      <c r="M331" s="4" t="n">
        <v>3</v>
      </c>
      <c r="N331" s="4" t="inlineStr"/>
      <c r="O331" s="19" t="inlineStr">
        <is>
          <t>Silver</t>
        </is>
      </c>
      <c r="P331" s="4" t="n">
        <v>86</v>
      </c>
      <c r="Q331" s="17" t="inlineStr">
        <is>
          <t>https://fracfocus.org/data-download</t>
        </is>
      </c>
      <c r="R331" s="4" t="inlineStr">
        <is>
          <t>us_fracfocus_disclosures</t>
        </is>
      </c>
    </row>
    <row r="332">
      <c r="A332" s="4" t="inlineStr">
        <is>
          <t>Industrial Reporting under the IED and E-PRTR (Industrial Reporting Database)</t>
        </is>
      </c>
      <c r="B332" s="4" t="inlineStr">
        <is>
          <t>European Environment Agency</t>
        </is>
      </c>
      <c r="C332" s="4" t="inlineStr">
        <is>
          <t>toxics</t>
        </is>
      </c>
      <c r="D332" s="4" t="inlineStr">
        <is>
          <t>EU Member States plus Iceland, Liechtenstein, Norway, Serbia, Switzerland, United Kingdom (30 country keywords)</t>
        </is>
      </c>
      <c r="E332" s="4" t="inlineStr">
        <is>
          <t>facility/installation site (vector, EPSG:4326, 10 m resolution in companion spatial record; geometry type not stated)</t>
        </is>
      </c>
      <c r="F332" s="4" t="inlineStr">
        <is>
          <t>2007-01-01 to 2021-12-31 (E-PRTR releases 2007-2021; LCP 2016-2021; IED installations 2017-2020) for this v9 record; some countries incomplete for 2018-2021</t>
        </is>
      </c>
      <c r="G332" s="4" t="n">
        <v>2021</v>
      </c>
      <c r="H332" s="4" t="inlineStr">
        <is>
          <t>open</t>
        </is>
      </c>
      <c r="I332" s="4" t="inlineStr">
        <is>
          <t>CC BY 4.0 ('License CC-BY 4.0 ... Copyright holder: European Environment Agency (EEA)')</t>
        </is>
      </c>
      <c r="J332" s="4" t="inlineStr">
        <is>
          <t>open_download</t>
        </is>
      </c>
      <c r="K332" s="4" t="inlineStr">
        <is>
          <t>tabular: xls/xlsx; mdb/accdb; csv/txt/sql. spatial record: gpkg; gdb; ArcGIS REST map services</t>
        </is>
      </c>
      <c r="L332" s="4" t="inlineStr">
        <is>
          <t>Needs a count/distance step</t>
        </is>
      </c>
      <c r="M332" s="4" t="n">
        <v>3</v>
      </c>
      <c r="N332" s="4" t="inlineStr"/>
      <c r="O332" s="19" t="inlineStr">
        <is>
          <t>Silver</t>
        </is>
      </c>
      <c r="P332" s="4" t="n">
        <v>93</v>
      </c>
      <c r="Q332" s="17" t="inlineStr">
        <is>
          <t>https://sdi.eea.europa.eu/catalogue/srv/api/records/3da7d329-beea-4a7b-89bc-d45fc1c4b8ac</t>
        </is>
      </c>
      <c r="R332" s="4" t="inlineStr">
        <is>
          <t>eu_eea_industrial_reporting_eprtr</t>
        </is>
      </c>
    </row>
    <row r="333">
      <c r="A333" s="4" t="inlineStr">
        <is>
          <t>NATA / AirToxScreen replication dataset 1996-2019 (tract and county risk tables)</t>
        </is>
      </c>
      <c r="B333" s="4" t="inlineStr">
        <is>
          <t>Zenodo (community deposit)</t>
        </is>
      </c>
      <c r="C333" s="4" t="inlineStr">
        <is>
          <t>toxics</t>
        </is>
      </c>
      <c r="D333" s="4" t="inlineStr">
        <is>
          <t>US (filenames 'US'; 1996 described as contiguous United States; no overall statement)</t>
        </is>
      </c>
      <c r="E333" s="4" t="inlineStr">
        <is>
          <t>tract</t>
        </is>
      </c>
      <c r="F333" s="4" t="inlineStr">
        <is>
          <t>1996, 1999, 2002, 2005, 2011, 2014, 2017, 2018, 2019, 2020 (NATA through 2014; AirToxScreen 2017 onward)</t>
        </is>
      </c>
      <c r="G333" s="4" t="n">
        <v>2020</v>
      </c>
      <c r="H333" s="4" t="inlineStr">
        <is>
          <t>open</t>
        </is>
      </c>
      <c r="I333" s="4" t="inlineStr">
        <is>
          <t>Creative Commons Attribution 4.0 International</t>
        </is>
      </c>
      <c r="J333" s="4" t="inlineStr">
        <is>
          <t>open_download</t>
        </is>
      </c>
      <c r="K333" s="4" t="inlineStr">
        <is>
          <t>zip (10 files, 22.5 MB to 3.8 GB; contents format not stated)</t>
        </is>
      </c>
      <c r="L333" s="4" t="inlineStr">
        <is>
          <t>Joins today</t>
        </is>
      </c>
      <c r="M333" s="4" t="n">
        <v>3</v>
      </c>
      <c r="N333" s="4" t="inlineStr"/>
      <c r="O333" s="13" t="inlineStr">
        <is>
          <t>Gold</t>
        </is>
      </c>
      <c r="P333" s="4" t="n">
        <v>95</v>
      </c>
      <c r="Q333" s="17" t="inlineStr">
        <is>
          <t>https://zenodo-rdm.web.cern.ch/records/17187663</t>
        </is>
      </c>
      <c r="R333" s="4" t="inlineStr">
        <is>
          <t>us_zenodo_nata_replication_1996_2019</t>
        </is>
      </c>
    </row>
    <row r="334">
      <c r="A334" s="4" t="inlineStr">
        <is>
          <t>National Emissions Inventory (NEI)</t>
        </is>
      </c>
      <c r="B334" s="4" t="inlineStr">
        <is>
          <t>US EPA</t>
        </is>
      </c>
      <c r="C334" s="4" t="inlineStr">
        <is>
          <t>toxics</t>
        </is>
      </c>
      <c r="D334" s="4" t="inlineStr">
        <is>
          <t>US nationwide (state list includes DC, Puerto Rico, Virgin Islands, 'Fed Waters' and 'Tribal')</t>
        </is>
      </c>
      <c r="E334" s="4" t="inlineStr">
        <is>
          <t>point</t>
        </is>
      </c>
      <c r="F334" s="4" t="inlineStr">
        <is>
          <t>2020 (inventory year of the 2020 NEI); supporting-data page also links a '2023 NEI Documentation' page</t>
        </is>
      </c>
      <c r="G334" s="4" t="n">
        <v>2020</v>
      </c>
      <c r="H334" s="4" t="inlineStr">
        <is>
          <t>public_domain_us_federal</t>
        </is>
      </c>
      <c r="I334" s="4" t="inlineStr"/>
      <c r="J334" s="4" t="inlineStr">
        <is>
          <t>open_download</t>
        </is>
      </c>
      <c r="K334" s="4" t="inlineStr">
        <is>
          <t>csv (zip); xlsx; SMOKE flat files (zip)</t>
        </is>
      </c>
      <c r="L334" s="4" t="inlineStr">
        <is>
          <t>Needs a count/distance step</t>
        </is>
      </c>
      <c r="M334" s="4" t="n">
        <v>3</v>
      </c>
      <c r="N334" s="4" t="inlineStr"/>
      <c r="O334" s="13" t="inlineStr">
        <is>
          <t>Gold</t>
        </is>
      </c>
      <c r="P334" s="4" t="n">
        <v>93</v>
      </c>
      <c r="Q334" s="17" t="inlineStr">
        <is>
          <t>https://www.epa.gov/air-emissions-inventories/2020-national-emissions-inventory-nei-data</t>
        </is>
      </c>
      <c r="R334" s="4" t="inlineStr">
        <is>
          <t>us_epa_nei</t>
        </is>
      </c>
    </row>
    <row r="335">
      <c r="A335" s="4" t="inlineStr">
        <is>
          <t>Pesticide Use Reporting (PUR) / CalPIP</t>
        </is>
      </c>
      <c r="B335" s="4" t="inlineStr">
        <is>
          <t>California Department of Pesticide Regulation (CDPR)</t>
        </is>
      </c>
      <c r="C335" s="4" t="inlineStr">
        <is>
          <t>toxics</t>
        </is>
      </c>
      <c r="D335" s="4" t="inlineStr">
        <is>
          <t>California (state-wide; county summary reports)</t>
        </is>
      </c>
      <c r="E335" s="4" t="inlineStr">
        <is>
          <t>polygon (PLS Township-Range-Section, via 'GIS Files for Plotting Pesticide Use by Township, Section, Range'); page also says 'PUR data is collected at the county level'</t>
        </is>
      </c>
      <c r="F335" s="4" t="inlineStr">
        <is>
          <t>1970-present (archived raw data files back to 1970; annual summary data 2017-2023; older annual PDF reports 1989-2016 by records request; 'PUR data is continually updated')</t>
        </is>
      </c>
      <c r="G335" s="4" t="n">
        <v>2026</v>
      </c>
      <c r="H335" s="4" t="inlineStr">
        <is>
          <t>open</t>
        </is>
      </c>
      <c r="I335" s="4" t="inlineStr">
        <is>
          <t>public domain (CDPR Conditions of Use: 'Unless otherwise indicated, information presented on this website is considered part of the public domain'; copyrighted items such as photographs/publications excepted)</t>
        </is>
      </c>
      <c r="J335" s="4" t="inlineStr">
        <is>
          <t>open_download</t>
        </is>
      </c>
      <c r="K335" s="4" t="inlineStr">
        <is>
          <t>txt (zip archives); GIS files (format not named); PDF reports; CalPIP web query</t>
        </is>
      </c>
      <c r="L335" s="4" t="inlineStr">
        <is>
          <t>Joins today</t>
        </is>
      </c>
      <c r="M335" s="4" t="n">
        <v>3</v>
      </c>
      <c r="N335" s="4" t="inlineStr"/>
      <c r="O335" s="19" t="inlineStr">
        <is>
          <t>Silver</t>
        </is>
      </c>
      <c r="P335" s="4" t="n">
        <v>86</v>
      </c>
      <c r="Q335" s="17" t="inlineStr">
        <is>
          <t>https://www.cdpr.ca.gov/pesticide-use-in-california/pesticide-use-reporting/</t>
        </is>
      </c>
      <c r="R335" s="4" t="inlineStr">
        <is>
          <t>us_cdpr_pesticide_use_reporting</t>
        </is>
      </c>
    </row>
    <row r="336">
      <c r="A336" s="4" t="inlineStr">
        <is>
          <t>PHMSA Pipeline Incident Flagged Files (serious, significant and all reported incidents)</t>
        </is>
      </c>
      <c r="B336" s="4" t="inlineStr">
        <is>
          <t>US DOT</t>
        </is>
      </c>
      <c r="C336" s="4" t="inlineStr">
        <is>
          <t>toxics</t>
        </is>
      </c>
      <c r="D336" s="4" t="inlineStr">
        <is>
          <t>US</t>
        </is>
      </c>
      <c r="E336" s="4" t="inlineStr">
        <is>
          <t>county</t>
        </is>
      </c>
      <c r="F336" s="4" t="inlineStr">
        <is>
          <t>'20-year trends' series (years not stated); issued 2018-12-17; dataset last updated 2026-09-03</t>
        </is>
      </c>
      <c r="G336" s="4" t="n">
        <v>2026</v>
      </c>
      <c r="H336" s="4" t="inlineStr">
        <is>
          <t>public_domain_us_federal</t>
        </is>
      </c>
      <c r="I336" s="4" t="inlineStr"/>
      <c r="J336" s="4" t="inlineStr">
        <is>
          <t>open_download</t>
        </is>
      </c>
      <c r="K336" s="4" t="inlineStr">
        <is>
          <t>zip (contents format not stated)</t>
        </is>
      </c>
      <c r="L336" s="4" t="inlineStr">
        <is>
          <t>Needs a count/distance step</t>
        </is>
      </c>
      <c r="M336" s="4" t="n">
        <v>3</v>
      </c>
      <c r="N336" s="4" t="inlineStr"/>
      <c r="O336" s="19" t="inlineStr">
        <is>
          <t>Silver</t>
        </is>
      </c>
      <c r="P336" s="4" t="n">
        <v>85</v>
      </c>
      <c r="Q336" s="17" t="inlineStr">
        <is>
          <t>https://catalog.data.gov/dataset/pipeline-incident-flagged-files</t>
        </is>
      </c>
      <c r="R336" s="4" t="inlineStr">
        <is>
          <t>us_phmsa_pipeline_incident_flagged_files</t>
        </is>
      </c>
    </row>
    <row r="337">
      <c r="A337" s="4" t="inlineStr">
        <is>
          <t>Risk Management Program (RMP) regulated facilities</t>
        </is>
      </c>
      <c r="B337" s="4" t="inlineStr">
        <is>
          <t>US EPA</t>
        </is>
      </c>
      <c r="C337" s="4" t="inlineStr">
        <is>
          <t>toxics</t>
        </is>
      </c>
      <c r="D337" s="4" t="inlineStr">
        <is>
          <t>US</t>
        </is>
      </c>
      <c r="E337" s="4" t="inlineStr">
        <is>
          <t>point</t>
        </is>
      </c>
      <c r="F337" s="4" t="inlineStr">
        <is>
          <t>current</t>
        </is>
      </c>
      <c r="G337" s="4" t="inlineStr">
        <is>
          <t>current</t>
        </is>
      </c>
      <c r="H337" s="4" t="inlineStr">
        <is>
          <t>public_domain_us_federal</t>
        </is>
      </c>
      <c r="I337" s="4" t="inlineStr"/>
      <c r="J337" s="4" t="inlineStr">
        <is>
          <t>restricted</t>
        </is>
      </c>
      <c r="K337" s="4" t="inlineStr">
        <is>
          <t>via FRS geospatial download (kmz/csv) and ECHO/Envirofacts</t>
        </is>
      </c>
      <c r="L337" s="4" t="inlineStr">
        <is>
          <t>Needs a count/distance step</t>
        </is>
      </c>
      <c r="M337" s="4" t="n">
        <v>3</v>
      </c>
      <c r="N337" s="4" t="inlineStr"/>
      <c r="O337" s="19" t="inlineStr">
        <is>
          <t>Silver</t>
        </is>
      </c>
      <c r="P337" s="4" t="n">
        <v>85</v>
      </c>
      <c r="Q337" s="17" t="inlineStr">
        <is>
          <t>https://www.epa.gov/rmp</t>
        </is>
      </c>
      <c r="R337" s="4" t="inlineStr">
        <is>
          <t>us_epa_rmp_facilities</t>
        </is>
      </c>
    </row>
    <row r="338">
      <c r="A338" s="4" t="inlineStr">
        <is>
          <t>Risk-Screening Environmental Indicators (RSEI) Geographic Microdata and EasyRSEI</t>
        </is>
      </c>
      <c r="B338" s="4" t="inlineStr">
        <is>
          <t>US EPA</t>
        </is>
      </c>
      <c r="C338" s="4" t="inlineStr">
        <is>
          <t>toxics</t>
        </is>
      </c>
      <c r="D338" s="4" t="inlineStr">
        <is>
          <t>US and its territories (every grid cell); also state-level aggregated files</t>
        </is>
      </c>
      <c r="E338" s="4" t="inlineStr">
        <is>
          <t>grid_810m (810 m x 810 m grid cells; also block group, tract and ZIP aggregations)</t>
        </is>
      </c>
      <c r="F338" s="4" t="inlineStr">
        <is>
          <t>1988-2022 annual (TRI reporting years; v2.3.12 RY2022). FTP public release for v2.3.12 covers 2020-2022; extended 1988-2022 microdata by request; EasyRSEI dashboard 2013-2022, all-years dashboard from 1988</t>
        </is>
      </c>
      <c r="G338" s="4" t="n">
        <v>2022</v>
      </c>
      <c r="H338" s="4" t="inlineStr">
        <is>
          <t>public_domain_us_federal</t>
        </is>
      </c>
      <c r="I338" s="4" t="inlineStr"/>
      <c r="J338" s="4" t="inlineStr">
        <is>
          <t>open_download</t>
        </is>
      </c>
      <c r="K338" s="4" t="inlineStr">
        <is>
          <t>csv; shp (grid shapefiles); Microsoft Access (RSEI Queries); xlsx (data dictionary tables)</t>
        </is>
      </c>
      <c r="L338" s="4" t="inlineStr">
        <is>
          <t>Needs raster support</t>
        </is>
      </c>
      <c r="M338" s="4" t="n">
        <v>3</v>
      </c>
      <c r="N338" s="4" t="inlineStr"/>
      <c r="O338" s="13" t="inlineStr">
        <is>
          <t>Gold</t>
        </is>
      </c>
      <c r="P338" s="4" t="n">
        <v>93</v>
      </c>
      <c r="Q338" s="17" t="inlineStr">
        <is>
          <t>https://www.epa.gov/rsei/ways-get-rsei-results</t>
        </is>
      </c>
      <c r="R338" s="4" t="inlineStr">
        <is>
          <t>us_epa_rsei</t>
        </is>
      </c>
    </row>
    <row r="339">
      <c r="A339" s="4" t="inlineStr">
        <is>
          <t>RSEI Geographic Microdata (RSEI-GM)</t>
        </is>
      </c>
      <c r="B339" s="4" t="inlineStr">
        <is>
          <t>US EPA</t>
        </is>
      </c>
      <c r="C339" s="4" t="inlineStr">
        <is>
          <t>toxics</t>
        </is>
      </c>
      <c r="D339" s="4" t="inlineStr">
        <is>
          <t>RSEI model covers the U.S. and its territories (microdata coverage not stated separately)</t>
        </is>
      </c>
      <c r="E339" s="4" t="inlineStr">
        <is>
          <t>grid_810m</t>
        </is>
      </c>
      <c r="F339" s="4" t="inlineStr">
        <is>
          <t>1988-2022 TRI reporting years (RSEI Version 2.3.12, RY 2022); three most recent years (2020-2022) as grid-cell downloads, full 1988-2022 extended set on request</t>
        </is>
      </c>
      <c r="G339" s="4" t="n">
        <v>2022</v>
      </c>
      <c r="H339" s="4" t="inlineStr">
        <is>
          <t>public_domain_us_federal</t>
        </is>
      </c>
      <c r="I339" s="4" t="inlineStr"/>
      <c r="J339" s="4" t="inlineStr">
        <is>
          <t>open_download (2020-2022 grid-cell files on EPA FTP, no key); request (full 1988-2022 extended set via Contact Us form)</t>
        </is>
      </c>
      <c r="K339" s="4" t="inlineStr">
        <is>
          <t>shp (grid templates and crosswalks); microdata file format not stated on pages read</t>
        </is>
      </c>
      <c r="L339" s="4" t="inlineStr">
        <is>
          <t>Needs raster support</t>
        </is>
      </c>
      <c r="M339" s="4" t="n">
        <v>3</v>
      </c>
      <c r="N339" s="4" t="inlineStr"/>
      <c r="O339" s="13" t="inlineStr">
        <is>
          <t>Gold</t>
        </is>
      </c>
      <c r="P339" s="4" t="n">
        <v>93</v>
      </c>
      <c r="Q339" s="17" t="inlineStr">
        <is>
          <t>https://www.epa.gov/rsei/rsei-geographic-microdata-rsei-gm</t>
        </is>
      </c>
      <c r="R339" s="4" t="inlineStr">
        <is>
          <t>us_epa_rsei_gm</t>
        </is>
      </c>
    </row>
    <row r="340">
      <c r="A340" s="4" t="inlineStr">
        <is>
          <t>SDWIS Service Line Inventory report (lead service lines by state/system)</t>
        </is>
      </c>
      <c r="B340" s="4" t="inlineStr">
        <is>
          <t>US EPA</t>
        </is>
      </c>
      <c r="C340" s="4" t="inlineStr">
        <is>
          <t>toxics</t>
        </is>
      </c>
      <c r="D340" s="4" t="inlineStr">
        <is>
          <t>US: all EPA Regions 1-10, states, territories (Guam, Puerto Rico, US Virgin Islands) and Navajo Nation</t>
        </is>
      </c>
      <c r="E340" s="4" t="inlineStr">
        <is>
          <t>admin1 (state / primacy agency; counts also by public water system, which is not a geographic unit)</t>
        </is>
      </c>
      <c r="F340" s="4" t="inlineStr">
        <is>
          <t>submission quarters 2025Q1-2026Q3 offered as filter values</t>
        </is>
      </c>
      <c r="G340" s="4" t="n">
        <v>2026</v>
      </c>
      <c r="H340" s="4" t="inlineStr">
        <is>
          <t>public_domain_us_federal</t>
        </is>
      </c>
      <c r="I340" s="4" t="inlineStr"/>
      <c r="J340" s="4" t="inlineStr">
        <is>
          <t>open_download</t>
        </is>
      </c>
      <c r="K340" s="4" t="inlineStr">
        <is>
          <t>web dashboard/table only (table 'service_line_inventories'); no CSV/Excel link seen</t>
        </is>
      </c>
      <c r="L340" s="4" t="inlineStr">
        <is>
          <t>Joins today</t>
        </is>
      </c>
      <c r="M340" s="4" t="n">
        <v>3</v>
      </c>
      <c r="N340" s="4" t="inlineStr"/>
      <c r="O340" s="19" t="inlineStr">
        <is>
          <t>Silver</t>
        </is>
      </c>
      <c r="P340" s="4" t="n">
        <v>91</v>
      </c>
      <c r="Q340" s="17" t="inlineStr">
        <is>
          <t>https://sdwis.epa.gov/ords/sfdw_pub/r/sfdw/sdwis_fed_reports_public/service-line-inventory</t>
        </is>
      </c>
      <c r="R340" s="4" t="inlineStr">
        <is>
          <t>us_epa_sdwis_lead_service_line_inventory</t>
        </is>
      </c>
    </row>
    <row r="341">
      <c r="A341" s="4" t="inlineStr">
        <is>
          <t>Toxics Release Inventory (TRI) Basic Data Files</t>
        </is>
      </c>
      <c r="B341" s="4" t="inlineStr">
        <is>
          <t>US EPA</t>
        </is>
      </c>
      <c r="C341" s="4" t="inlineStr">
        <is>
          <t>toxics</t>
        </is>
      </c>
      <c r="D341" s="4" t="inlineStr">
        <is>
          <t>US as a whole plus 50 states, DC, AS, GU, MP, PR, VI; federal and tribal facilities included in all files</t>
        </is>
      </c>
      <c r="E341" s="4" t="inlineStr">
        <is>
          <t>point</t>
        </is>
      </c>
      <c r="F341" s="4" t="inlineStr">
        <is>
          <t>1987–2024 annual (calendar/reporting years; forms processed as of 2025-11-05)</t>
        </is>
      </c>
      <c r="G341" s="4" t="n">
        <v>2024</v>
      </c>
      <c r="H341" s="4" t="inlineStr">
        <is>
          <t>public_domain_us_federal</t>
        </is>
      </c>
      <c r="I341" s="4" t="inlineStr"/>
      <c r="J341" s="4" t="inlineStr">
        <is>
          <t>open_download</t>
        </is>
      </c>
      <c r="K341" s="4" t="inlineStr">
        <is>
          <t>csv</t>
        </is>
      </c>
      <c r="L341" s="4" t="inlineStr">
        <is>
          <t>Needs a count/distance step</t>
        </is>
      </c>
      <c r="M341" s="4" t="n">
        <v>3</v>
      </c>
      <c r="N341" s="4" t="inlineStr"/>
      <c r="O341" s="13" t="inlineStr">
        <is>
          <t>Gold</t>
        </is>
      </c>
      <c r="P341" s="4" t="n">
        <v>98</v>
      </c>
      <c r="Q341" s="17" t="inlineStr">
        <is>
          <t>https://www.epa.gov/toxics-release-inventory-tri-program/tri-basic-data-files-calendar-years-1987-present</t>
        </is>
      </c>
      <c r="R341" s="4" t="inlineStr">
        <is>
          <t>us_epa_tri</t>
        </is>
      </c>
    </row>
    <row r="342">
      <c r="A342" s="4" t="inlineStr">
        <is>
          <t>Unregulated Contaminant Monitoring Rule (UCMR) Occurrence Data</t>
        </is>
      </c>
      <c r="B342" s="4" t="inlineStr">
        <is>
          <t>US EPA</t>
        </is>
      </c>
      <c r="C342" s="4" t="inlineStr">
        <is>
          <t>toxics</t>
        </is>
      </c>
      <c r="D342" s="4" t="inlineStr">
        <is>
          <t>US public water systems (files offered 'by State'; UCM-State Round 1 covered 40 states and primacy entities); territories/tribes not stated</t>
        </is>
      </c>
      <c r="E342" s="4" t="inlineStr">
        <is>
          <t>admin1 (state; results are per public water system, PWS ID, which is not a geographic unit)</t>
        </is>
      </c>
      <c r="F342" s="4" t="inlineStr">
        <is>
          <t>UCMR 1 2001-2005; UCMR 2 2008-2010; UCMR 3 2013-2015; UCMR 4 2018-2020; UCMR 5 2023-2025 (final dataset released August 2026); UCM-State Rounds 1988-1992 and 1993-1997</t>
        </is>
      </c>
      <c r="G342" s="4" t="n">
        <v>2025</v>
      </c>
      <c r="H342" s="4" t="inlineStr">
        <is>
          <t>public_domain_us_federal</t>
        </is>
      </c>
      <c r="I342" s="4" t="inlineStr"/>
      <c r="J342" s="4" t="inlineStr">
        <is>
          <t>open_download</t>
        </is>
      </c>
      <c r="K342" s="4" t="inlineStr">
        <is>
          <t>txt (zip, by cycle/state/method classification); xlsx via Data Finder (max 1M records); MS Access and Excel PivotTables (zip) for UCM-State rounds; PDF summaries</t>
        </is>
      </c>
      <c r="L342" s="4" t="inlineStr">
        <is>
          <t>Joins today</t>
        </is>
      </c>
      <c r="M342" s="4" t="n">
        <v>3</v>
      </c>
      <c r="N342" s="4" t="inlineStr"/>
      <c r="O342" s="19" t="inlineStr">
        <is>
          <t>Silver</t>
        </is>
      </c>
      <c r="P342" s="4" t="n">
        <v>93</v>
      </c>
      <c r="Q342" s="17" t="inlineStr">
        <is>
          <t>https://www.epa.gov/dwucmr/occurrence-data-unregulated-contaminant-monitoring-rule</t>
        </is>
      </c>
      <c r="R342" s="4" t="inlineStr">
        <is>
          <t>us_epa_ucmr</t>
        </is>
      </c>
    </row>
    <row r="343">
      <c r="A343" s="4" t="inlineStr">
        <is>
          <t>USMIN Mineral Deposit Database, Abandoned Mine Lands Inventory and prospect/mine features from topographic maps</t>
        </is>
      </c>
      <c r="B343" s="4" t="inlineStr">
        <is>
          <t>USGS</t>
        </is>
      </c>
      <c r="C343" s="4" t="inlineStr">
        <is>
          <t>toxics</t>
        </is>
      </c>
      <c r="D343" s="4" t="inlineStr">
        <is>
          <t>US: 50 states, DC and Puerto Rico (ScienceBase ver. 10.0); landing page caption says 'western part of the conterminous US' for topo-map features</t>
        </is>
      </c>
      <c r="E343" s="4" t="inlineStr">
        <is>
          <t>point</t>
        </is>
      </c>
      <c r="F343" s="4" t="inlineStr">
        <is>
          <t>source topographic maps late 1800s–2006; data releases 2016–2026 (Prospect/Mine Features ver. 10.0 May 2023; consolidated release 2025-09-18; National Mine Waste Inventory listed 2026-01-19)</t>
        </is>
      </c>
      <c r="G343" s="4" t="n">
        <v>2026</v>
      </c>
      <c r="H343" s="4" t="inlineStr">
        <is>
          <t>public_domain_us_federal</t>
        </is>
      </c>
      <c r="I343" s="4" t="inlineStr"/>
      <c r="J343" s="4" t="inlineStr">
        <is>
          <t>open_download</t>
        </is>
      </c>
      <c r="K343" s="4" t="inlineStr">
        <is>
          <t>shp; gdb; csv (data dictionary only); FGDC XML metadata</t>
        </is>
      </c>
      <c r="L343" s="4" t="inlineStr">
        <is>
          <t>Needs a count/distance step</t>
        </is>
      </c>
      <c r="M343" s="4" t="n">
        <v>3</v>
      </c>
      <c r="N343" s="4" t="inlineStr"/>
      <c r="O343" s="13" t="inlineStr">
        <is>
          <t>Gold</t>
        </is>
      </c>
      <c r="P343" s="4" t="n">
        <v>98</v>
      </c>
      <c r="Q343" s="17" t="inlineStr">
        <is>
          <t>https://www.usgs.gov/centers/gggsc/science/usmin-mineral-deposit-database</t>
        </is>
      </c>
      <c r="R343" s="4" t="inlineStr">
        <is>
          <t>us_usgs_usmin_mines</t>
        </is>
      </c>
    </row>
    <row r="344">
      <c r="A344" s="4" t="inlineStr">
        <is>
          <t>EPA UCMR 3 (2013-2015) occurrence data</t>
        </is>
      </c>
      <c r="B344" s="4" t="inlineStr">
        <is>
          <t>US EPA</t>
        </is>
      </c>
      <c r="C344" s="4" t="inlineStr">
        <is>
          <t>water</t>
        </is>
      </c>
      <c r="D344" s="4" t="inlineStr">
        <is>
          <t>US public water systems</t>
        </is>
      </c>
      <c r="E344" s="4" t="inlineStr">
        <is>
          <t>pws (water system)</t>
        </is>
      </c>
      <c r="F344" s="4" t="inlineStr">
        <is>
          <t>2013-2016 (collection dates in the file; the inventory said 2013-2015)</t>
        </is>
      </c>
      <c r="G344" s="4" t="n">
        <v>2015</v>
      </c>
      <c r="H344" s="4" t="inlineStr">
        <is>
          <t>public_domain_us_federal</t>
        </is>
      </c>
      <c r="I344" s="4" t="inlineStr"/>
      <c r="J344" s="4" t="inlineStr">
        <is>
          <t>open_download</t>
        </is>
      </c>
      <c r="K344" s="4" t="inlineStr">
        <is>
          <t>txt (zip)</t>
        </is>
      </c>
      <c r="L344" s="4" t="inlineStr">
        <is>
          <t>Needs a count/distance step</t>
        </is>
      </c>
      <c r="M344" s="4" t="n">
        <v>3</v>
      </c>
      <c r="N344" s="4" t="inlineStr"/>
      <c r="O344" s="19" t="inlineStr">
        <is>
          <t>Silver</t>
        </is>
      </c>
      <c r="P344" s="4" t="n">
        <v>85</v>
      </c>
      <c r="Q344" s="17" t="inlineStr">
        <is>
          <t>https://www.epa.gov/dwucmr/occurrence-data-unregulated-contaminant-monitoring-rule</t>
        </is>
      </c>
      <c r="R344" s="4" t="inlineStr">
        <is>
          <t>us_epa_ucmr3_occurrence</t>
        </is>
      </c>
    </row>
    <row r="345">
      <c r="A345" s="4" t="inlineStr">
        <is>
          <t>Cyanobacteria Assessment Network (CyAN): Cyanobacteria Index satellite products</t>
        </is>
      </c>
      <c r="B345" s="4" t="inlineStr">
        <is>
          <t>NASA</t>
        </is>
      </c>
      <c r="C345" s="4" t="inlineStr">
        <is>
          <t>water</t>
        </is>
      </c>
      <c r="D345" s="4" t="inlineStr">
        <is>
          <t>CONUS and Alaska</t>
        </is>
      </c>
      <c r="E345" s="4" t="inlineStr">
        <is>
          <t>grid_300m</t>
        </is>
      </c>
      <c r="F345" s="4" t="inlineStr">
        <is>
          <t>2002-2012; 2016-present</t>
        </is>
      </c>
      <c r="G345" s="4" t="n">
        <v>2026</v>
      </c>
      <c r="H345" s="4" t="inlineStr">
        <is>
          <t>public_domain_us_federal</t>
        </is>
      </c>
      <c r="I345" s="4" t="inlineStr"/>
      <c r="J345" s="4" t="inlineStr">
        <is>
          <t>open_download (tool; login not stated)</t>
        </is>
      </c>
      <c r="K345" s="4" t="inlineStr">
        <is>
          <t>geotiff; shp (tiles, lakes)</t>
        </is>
      </c>
      <c r="L345" s="4" t="inlineStr">
        <is>
          <t>Needs raster support</t>
        </is>
      </c>
      <c r="M345" s="4" t="n">
        <v>2</v>
      </c>
      <c r="N345" s="4" t="inlineStr"/>
      <c r="O345" s="19" t="inlineStr">
        <is>
          <t>Silver</t>
        </is>
      </c>
      <c r="P345" s="4" t="n">
        <v>90</v>
      </c>
      <c r="Q345" s="17" t="inlineStr">
        <is>
          <t>https://www.earthdata.nasa.gov/data/projects/cyan</t>
        </is>
      </c>
      <c r="R345" s="4" t="inlineStr">
        <is>
          <t>global_nasa_cyan</t>
        </is>
      </c>
    </row>
    <row r="346">
      <c r="A346" s="4" t="inlineStr">
        <is>
          <t>EPA UCMR 5 occurrence data (Unregulated Contaminant Monitoring Rule, 5th cycle)</t>
        </is>
      </c>
      <c r="B346" s="4" t="inlineStr">
        <is>
          <t>US EPA</t>
        </is>
      </c>
      <c r="C346" s="4" t="inlineStr">
        <is>
          <t>water quality</t>
        </is>
      </c>
      <c r="D346" s="4" t="inlineStr">
        <is>
          <t>US public water systems (10,313 PWSID in UCMR5_All)</t>
        </is>
      </c>
      <c r="E346" s="4" t="inlineStr">
        <is>
          <t>pws (water system)</t>
        </is>
      </c>
      <c r="F346" s="4" t="inlineStr">
        <is>
          <t>2023-2026 (collection dates to 2026-06-17; final dataset Aug 2026, refreshed 2026-10-15)</t>
        </is>
      </c>
      <c r="G346" s="4" t="inlineStr"/>
      <c r="H346" s="4" t="inlineStr">
        <is>
          <t>public_domain_us_federal</t>
        </is>
      </c>
      <c r="I346" s="4" t="inlineStr"/>
      <c r="J346" s="4" t="inlineStr">
        <is>
          <t>open_download</t>
        </is>
      </c>
      <c r="K346" s="4" t="inlineStr">
        <is>
          <t>txt (zip, tab-delimited); PWSID-to-ZIP file included</t>
        </is>
      </c>
      <c r="L346" s="4" t="inlineStr"/>
      <c r="M346" s="4" t="inlineStr"/>
      <c r="N346" s="4" t="inlineStr"/>
      <c r="O346" s="19" t="inlineStr">
        <is>
          <t>Silver</t>
        </is>
      </c>
      <c r="P346" s="4" t="inlineStr"/>
      <c r="Q346" s="17" t="inlineStr">
        <is>
          <t>https://www.epa.gov/dwucmr/occurrence-data-unregulated-contaminant-monitoring-rule</t>
        </is>
      </c>
      <c r="R346" s="4" t="inlineStr">
        <is>
          <t>us_epa_ucmr5_occurrence</t>
        </is>
      </c>
    </row>
  </sheetData>
  <autoFilter ref="A1:R346"/>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8" customWidth="1" min="2" max="2"/>
    <col width="30" customWidth="1" min="3" max="3"/>
    <col width="70" customWidth="1" min="4" max="4"/>
    <col width="8" customWidth="1" min="5" max="5"/>
    <col width="45" customWidth="1" min="6" max="6"/>
    <col width="35" customWidth="1" min="7" max="7"/>
    <col width="28" customWidth="1" min="8" max="8"/>
  </cols>
  <sheetData>
    <row r="1" ht="32" customHeight="1">
      <c r="A1" s="12" t="inlineStr">
        <is>
          <t>Domain</t>
        </is>
      </c>
      <c r="B1" s="12" t="inlineStr">
        <is>
          <t>Dataset</t>
        </is>
      </c>
      <c r="C1" s="12" t="inlineStr">
        <is>
          <t>Reason</t>
        </is>
      </c>
      <c r="D1" s="12" t="inlineStr">
        <is>
          <t>What to confirm</t>
        </is>
      </c>
      <c r="E1" s="12" t="inlineStr">
        <is>
          <t>Shortlist</t>
        </is>
      </c>
      <c r="F1" s="12" t="inlineStr">
        <is>
          <t>Landing page</t>
        </is>
      </c>
      <c r="G1" s="12" t="inlineStr">
        <is>
          <t>Archive copy</t>
        </is>
      </c>
      <c r="H1" s="12" t="inlineStr">
        <is>
          <t>id</t>
        </is>
      </c>
    </row>
    <row r="2">
      <c r="A2" s="4" t="inlineStr">
        <is>
          <t>admin.ch</t>
        </is>
      </c>
      <c r="B2" s="4" t="inlineStr">
        <is>
          <t>STATPOP - Population and households, hectare grid (GEOSTAT)</t>
        </is>
      </c>
      <c r="C2" s="4" t="inlineStr">
        <is>
          <t>fetcher got a challenge/empty page</t>
        </is>
      </c>
      <c r="D2" s="4" t="inlineStr">
        <is>
          <t>page loads and names this dataset; not retired or discontinued; licence / terms; years covered and latest year; finest spatial unit (listed: grid_100m); access route; download formats</t>
        </is>
      </c>
      <c r="E2" s="4" t="inlineStr"/>
      <c r="F2" s="17" t="inlineStr">
        <is>
          <t>https://www.bfs.admin.ch/bfs/en/home/services/geostat/swiss-federal-statistics-geodata/population-buildings-dwellings-persons/population-housholds-from-2010.html</t>
        </is>
      </c>
      <c r="G2" s="17" t="inlineStr">
        <is>
          <t>https://web.archive.org/web/20260520075218/https://www.bfs.admin.ch/bfs/en/home/services/geostat/swiss-federal-statistics-geodata/population-buildings-dwellings-persons/population-housholds-from-2010.html</t>
        </is>
      </c>
      <c r="H2" s="4" t="inlineStr">
        <is>
          <t>ch_bfs_statpop_hectare</t>
        </is>
      </c>
    </row>
    <row r="3">
      <c r="A3" s="4" t="inlineStr">
        <is>
          <t>arcgis.com</t>
        </is>
      </c>
      <c r="B3" s="4" t="inlineStr">
        <is>
          <t>WFIGS Interagency Fire Perimeters (current and full history)</t>
        </is>
      </c>
      <c r="C3" s="4" t="inlineStr">
        <is>
          <t>fetcher got a challenge/empty page</t>
        </is>
      </c>
      <c r="D3" s="4" t="inlineStr">
        <is>
          <t>page loads and names this dataset; not retired or discontinued; licence / terms; years covered and latest year; finest spatial unit (listed: polygon); access route; download formats</t>
        </is>
      </c>
      <c r="E3" s="4" t="inlineStr">
        <is>
          <t>yes</t>
        </is>
      </c>
      <c r="F3" s="17" t="inlineStr">
        <is>
          <t>https://data-nifc.opendata.arcgis.com/</t>
        </is>
      </c>
      <c r="G3" s="17" t="inlineStr">
        <is>
          <t>https://web.archive.org/web/20261002064241/https://data-nifc.opendata.arcgis.com/</t>
        </is>
      </c>
      <c r="H3" s="4" t="inlineStr">
        <is>
          <t>us_nifc_wfigs_fire_perimeters</t>
        </is>
      </c>
    </row>
    <row r="4">
      <c r="A4" s="4" t="inlineStr">
        <is>
          <t>arcgis.com</t>
        </is>
      </c>
      <c r="B4" s="4" t="inlineStr">
        <is>
          <t>2015 Miami-Dade County DEM (10ft, 30ft, 100ft)</t>
        </is>
      </c>
      <c r="C4" s="4" t="inlineStr">
        <is>
          <t>fetcher got a challenge/empty page</t>
        </is>
      </c>
      <c r="D4" s="4" t="inlineStr">
        <is>
          <t>page loads and names this dataset; not retired or discontinued; licence / terms; years covered and latest year; finest spatial unit (listed: grid_); access route; download formats</t>
        </is>
      </c>
      <c r="E4" s="4" t="inlineStr"/>
      <c r="F4" s="17" t="inlineStr">
        <is>
          <t>https://gis-mdc.opendata.arcgis.com/documents/MDC::2015-miami-dade-county-dem-10ft/about</t>
        </is>
      </c>
      <c r="G4" s="17" t="inlineStr">
        <is>
          <t>https://web.archive.org/web/20260122142655/https://gis-mdc.opendata.arcgis.com/documents/MDC::2015-miami-dade-county-dem-10ft/about</t>
        </is>
      </c>
      <c r="H4" s="4" t="inlineStr">
        <is>
          <t>us_mdc_2015_dem</t>
        </is>
      </c>
    </row>
    <row r="5">
      <c r="A5" s="4" t="inlineStr">
        <is>
          <t>arcgis.com</t>
        </is>
      </c>
      <c r="B5" s="4" t="inlineStr">
        <is>
          <t>City of Miami Comission Districts</t>
        </is>
      </c>
      <c r="C5" s="4" t="inlineStr">
        <is>
          <t>fetcher got a challenge/empty page</t>
        </is>
      </c>
      <c r="D5" s="4" t="inlineStr">
        <is>
          <t>page loads and names this dataset; not retired or discontinued; licence / terms; years covered and latest year; finest spatial unit (listed: unknown); access route; download formats</t>
        </is>
      </c>
      <c r="E5" s="4" t="inlineStr"/>
      <c r="F5" s="17" t="inlineStr">
        <is>
          <t>https://datahub-miamigis.opendata.arcgis.com/datasets/1ff4f95b49e142ee8d4e93bb33a9f42d_0/explore</t>
        </is>
      </c>
      <c r="G5" s="4" t="inlineStr"/>
      <c r="H5" s="4" t="inlineStr">
        <is>
          <t>us_com_comission_districts</t>
        </is>
      </c>
    </row>
    <row r="6">
      <c r="A6" s="4" t="inlineStr">
        <is>
          <t>arcgis.com</t>
        </is>
      </c>
      <c r="B6" s="4" t="inlineStr">
        <is>
          <t>HUD eGIS Open Data (HUD-eGIS Storefront)</t>
        </is>
      </c>
      <c r="C6" s="4" t="inlineStr">
        <is>
          <t>fetcher got a challenge/empty page</t>
        </is>
      </c>
      <c r="D6" s="4" t="inlineStr">
        <is>
          <t>page loads and names this dataset; not retired or discontinued; licence / terms; years covered and latest year; finest spatial unit (listed: point); access route; download formats</t>
        </is>
      </c>
      <c r="E6" s="4" t="inlineStr"/>
      <c r="F6" s="17" t="inlineStr">
        <is>
          <t>https://hudgis-hud.opendata.arcgis.com/</t>
        </is>
      </c>
      <c r="G6" s="17" t="inlineStr">
        <is>
          <t>https://web.archive.org/web/20261017065844/https://hudgis-hud.opendata.arcgis.com/</t>
        </is>
      </c>
      <c r="H6" s="4" t="inlineStr">
        <is>
          <t>us_hud_egis_open_data</t>
        </is>
      </c>
    </row>
    <row r="7">
      <c r="A7" s="4" t="inlineStr">
        <is>
          <t>arcgis.com</t>
        </is>
      </c>
      <c r="B7" s="4" t="inlineStr">
        <is>
          <t>Miami-Dade Bodies of Water</t>
        </is>
      </c>
      <c r="C7" s="4" t="inlineStr">
        <is>
          <t>fetcher got a challenge/empty page</t>
        </is>
      </c>
      <c r="D7" s="4" t="inlineStr">
        <is>
          <t>page loads and names this dataset; not retired or discontinued; licence / terms; years covered and latest year; finest spatial unit (listed: unknown); access route; download formats</t>
        </is>
      </c>
      <c r="E7" s="4" t="inlineStr"/>
      <c r="F7" s="17" t="inlineStr">
        <is>
          <t>https://gis-mdc.opendata.arcgis.com/datasets/MDC::water-p/about</t>
        </is>
      </c>
      <c r="G7" s="17" t="inlineStr">
        <is>
          <t>https://web.archive.org/web/20260122123145/https://gis-mdc.opendata.arcgis.com/datasets/MDC::water-p/about</t>
        </is>
      </c>
      <c r="H7" s="4" t="inlineStr">
        <is>
          <t>us_mdc_water_polygons</t>
        </is>
      </c>
    </row>
    <row r="8">
      <c r="A8" s="4" t="inlineStr">
        <is>
          <t>arcgis.com</t>
        </is>
      </c>
      <c r="B8" s="4" t="inlineStr">
        <is>
          <t>Miami-Dade Brownfield Sites</t>
        </is>
      </c>
      <c r="C8" s="4" t="inlineStr">
        <is>
          <t>fetcher got a challenge/empty page</t>
        </is>
      </c>
      <c r="D8" s="4" t="inlineStr">
        <is>
          <t>page loads and names this dataset; not retired or discontinued; licence / terms; years covered and latest year; finest spatial unit (listed: unknown); access route; download formats</t>
        </is>
      </c>
      <c r="E8" s="4" t="inlineStr"/>
      <c r="F8" s="17" t="inlineStr">
        <is>
          <t>https://gis-mdc.opendata.arcgis.com/datasets/MDC::brownfield/about</t>
        </is>
      </c>
      <c r="G8" s="17" t="inlineStr">
        <is>
          <t>https://web.archive.org/web/20260215163426/https://gis-mdc.opendata.arcgis.com/datasets/MDC::brownfield/about</t>
        </is>
      </c>
      <c r="H8" s="4" t="inlineStr">
        <is>
          <t>gaia_mdc_brownfield_site</t>
        </is>
      </c>
    </row>
    <row r="9">
      <c r="A9" s="4" t="inlineStr">
        <is>
          <t>arcgis.com</t>
        </is>
      </c>
      <c r="B9" s="4" t="inlineStr">
        <is>
          <t>Miami-Dade Community Health Centers</t>
        </is>
      </c>
      <c r="C9" s="4" t="inlineStr">
        <is>
          <t>fetcher got a challenge/empty page</t>
        </is>
      </c>
      <c r="D9" s="4" t="inlineStr">
        <is>
          <t>page loads and names this dataset; not retired or discontinued; licence / terms; years covered and latest year; finest spatial unit (listed: unknown); access route; download formats</t>
        </is>
      </c>
      <c r="E9" s="4" t="inlineStr"/>
      <c r="F9" s="17" t="inlineStr">
        <is>
          <t>https://gis-mdc.opendata.arcgis.com/datasets/MDC::commercial-property/about</t>
        </is>
      </c>
      <c r="G9" s="17" t="inlineStr">
        <is>
          <t>https://web.archive.org/web/20260215165215/https://gis-mdc.opendata.arcgis.com/datasets/MDC::commercial-property/about</t>
        </is>
      </c>
      <c r="H9" s="4" t="inlineStr">
        <is>
          <t>us_mdc_community_health_centers</t>
        </is>
      </c>
    </row>
    <row r="10">
      <c r="A10" s="4" t="inlineStr">
        <is>
          <t>arcgis.com</t>
        </is>
      </c>
      <c r="B10" s="4" t="inlineStr">
        <is>
          <t>Miami-Dade Community Redevelopment Areas</t>
        </is>
      </c>
      <c r="C10" s="4" t="inlineStr">
        <is>
          <t>fetcher got a challenge/empty page</t>
        </is>
      </c>
      <c r="D10" s="4" t="inlineStr">
        <is>
          <t>page loads and names this dataset; not retired or discontinued; licence / terms; years covered and latest year; finest spatial unit (listed: unknown); access route; download formats</t>
        </is>
      </c>
      <c r="E10" s="4" t="inlineStr"/>
      <c r="F10" s="17" t="inlineStr">
        <is>
          <t>https://gis-mdc.opendata.arcgis.com/datasets/MDC::community-redevelopment-area/about</t>
        </is>
      </c>
      <c r="G10" s="17" t="inlineStr">
        <is>
          <t>https://web.archive.org/web/20260122125148/https://gis-mdc.opendata.arcgis.com/datasets/MDC::community-redevelopment-area/about</t>
        </is>
      </c>
      <c r="H10" s="4" t="inlineStr">
        <is>
          <t>us_mdc_community_redevelopment_agency</t>
        </is>
      </c>
    </row>
    <row r="11">
      <c r="A11" s="4" t="inlineStr">
        <is>
          <t>arcgis.com</t>
        </is>
      </c>
      <c r="B11" s="4" t="inlineStr">
        <is>
          <t>Miami-Dade County Comission Districts</t>
        </is>
      </c>
      <c r="C11" s="4" t="inlineStr">
        <is>
          <t>fetcher got a challenge/empty page</t>
        </is>
      </c>
      <c r="D11" s="4" t="inlineStr">
        <is>
          <t>page loads and names this dataset; not retired or discontinued; licence / terms; years covered and latest year; finest spatial unit (listed: unknown); access route; download formats</t>
        </is>
      </c>
      <c r="E11" s="4" t="inlineStr"/>
      <c r="F11" s="17" t="inlineStr">
        <is>
          <t>https://gis-mdc.opendata.arcgis.com/datasets/21f56c05380e477ea3008fd527ddafe4_0/explore</t>
        </is>
      </c>
      <c r="G11" s="4" t="inlineStr"/>
      <c r="H11" s="4" t="inlineStr">
        <is>
          <t>us_mdc_comission_districts</t>
        </is>
      </c>
    </row>
    <row r="12">
      <c r="A12" s="4" t="inlineStr">
        <is>
          <t>arcgis.com</t>
        </is>
      </c>
      <c r="B12" s="4" t="inlineStr">
        <is>
          <t>Miami-Dade County Municipal Park Boundaries</t>
        </is>
      </c>
      <c r="C12" s="4" t="inlineStr">
        <is>
          <t>fetcher got a challenge/empty page</t>
        </is>
      </c>
      <c r="D12" s="4" t="inlineStr">
        <is>
          <t>page loads and names this dataset; not retired or discontinued; licence / terms; years covered and latest year; finest spatial unit (listed: unknown); access route; download formats</t>
        </is>
      </c>
      <c r="E12" s="4" t="inlineStr"/>
      <c r="F12" s="17" t="inlineStr">
        <is>
          <t>https://gis-mdc.opendata.arcgis.com/datasets/MDC::municipal-park-boundary/about</t>
        </is>
      </c>
      <c r="G12" s="17" t="inlineStr">
        <is>
          <t>https://web.archive.org/web/20260509194903/https://gis-mdc.opendata.arcgis.com/datasets/MDC::municipal-park-boundary/about</t>
        </is>
      </c>
      <c r="H12" s="4" t="inlineStr">
        <is>
          <t>us_mdc_municipal_park_boundaries</t>
        </is>
      </c>
    </row>
    <row r="13">
      <c r="A13" s="4" t="inlineStr">
        <is>
          <t>arcgis.com</t>
        </is>
      </c>
      <c r="B13" s="4" t="inlineStr">
        <is>
          <t>Miami-Dade County Park Boundaries</t>
        </is>
      </c>
      <c r="C13" s="4" t="inlineStr">
        <is>
          <t>fetcher got a challenge/empty page</t>
        </is>
      </c>
      <c r="D13" s="4" t="inlineStr">
        <is>
          <t>page loads and names this dataset; not retired or discontinued; licence / terms; years covered and latest year; finest spatial unit (listed: unknown); access route; download formats</t>
        </is>
      </c>
      <c r="E13" s="4" t="inlineStr"/>
      <c r="F13" s="17" t="inlineStr">
        <is>
          <t>https://gis-mdc.opendata.arcgis.com/datasets/MDC::county-park-boundary-view/about</t>
        </is>
      </c>
      <c r="G13" s="17" t="inlineStr">
        <is>
          <t>https://web.archive.org/web/20260122133747/https://gis-mdc.opendata.arcgis.com/datasets/MDC::county-park-boundary-view/about</t>
        </is>
      </c>
      <c r="H13" s="4" t="inlineStr">
        <is>
          <t>us_mdc_county_park_boundaries</t>
        </is>
      </c>
    </row>
    <row r="14">
      <c r="A14" s="4" t="inlineStr">
        <is>
          <t>arcgis.com</t>
        </is>
      </c>
      <c r="B14" s="4" t="inlineStr">
        <is>
          <t>Miami-Dade County Unincorporated Zone District Specifications</t>
        </is>
      </c>
      <c r="C14" s="4" t="inlineStr">
        <is>
          <t>fetcher got a challenge/empty page</t>
        </is>
      </c>
      <c r="D14" s="4" t="inlineStr">
        <is>
          <t>page loads and names this dataset; not retired or discontinued; licence / terms; years covered and latest year; finest spatial unit (listed: unknown); access route; download formats</t>
        </is>
      </c>
      <c r="E14" s="4" t="inlineStr"/>
      <c r="F14" s="17" t="inlineStr">
        <is>
          <t>https://gis-mdc.opendata.arcgis.com/datasets/276ee4451b604600b8fcd8e870bd524a_0/explore</t>
        </is>
      </c>
      <c r="G14" s="4" t="inlineStr"/>
      <c r="H14" s="4" t="inlineStr">
        <is>
          <t>us_mdc_unincorporated_zone_desc</t>
        </is>
      </c>
    </row>
    <row r="15">
      <c r="A15" s="4" t="inlineStr">
        <is>
          <t>arcgis.com</t>
        </is>
      </c>
      <c r="B15" s="4" t="inlineStr">
        <is>
          <t>Miami-Dade Federally Qualified Health Centers</t>
        </is>
      </c>
      <c r="C15" s="4" t="inlineStr">
        <is>
          <t>fetcher got a challenge/empty page</t>
        </is>
      </c>
      <c r="D15" s="4" t="inlineStr">
        <is>
          <t>page loads and names this dataset; not retired or discontinued; licence / terms; years covered and latest year; finest spatial unit (listed: unknown); access route; download formats</t>
        </is>
      </c>
      <c r="E15" s="4" t="inlineStr"/>
      <c r="F15" s="17" t="inlineStr">
        <is>
          <t>https://gis-mdc.opendata.arcgis.com/datasets/MDC::federally-qualified-health-center/about</t>
        </is>
      </c>
      <c r="G15" s="17" t="inlineStr">
        <is>
          <t>https://web.archive.org/web/20260415064110/https://gis-mdc.opendata.arcgis.com/datasets/MDC::federally-qualified-health-center/about</t>
        </is>
      </c>
      <c r="H15" s="4" t="inlineStr">
        <is>
          <t>us_mdc_federally_qualified_health_centers</t>
        </is>
      </c>
    </row>
    <row r="16">
      <c r="A16" s="4" t="inlineStr">
        <is>
          <t>arcgis.com</t>
        </is>
      </c>
      <c r="B16" s="4" t="inlineStr">
        <is>
          <t>Miami-Dade Hospitals</t>
        </is>
      </c>
      <c r="C16" s="4" t="inlineStr">
        <is>
          <t>fetcher got a challenge/empty page</t>
        </is>
      </c>
      <c r="D16" s="4" t="inlineStr">
        <is>
          <t>page loads and names this dataset; not retired or discontinued; licence / terms; years covered and latest year; finest spatial unit (listed: unknown); access route; download formats</t>
        </is>
      </c>
      <c r="E16" s="4" t="inlineStr"/>
      <c r="F16" s="17" t="inlineStr">
        <is>
          <t>https://gis-mdc.opendata.arcgis.com/datasets/MDC::hospital/about</t>
        </is>
      </c>
      <c r="G16" s="17" t="inlineStr">
        <is>
          <t>https://web.archive.org/web/20260422110213/https://gis-mdc.opendata.arcgis.com/datasets/MDC::hospital/about</t>
        </is>
      </c>
      <c r="H16" s="4" t="inlineStr">
        <is>
          <t>us_mdc_hospitals</t>
        </is>
      </c>
    </row>
    <row r="17">
      <c r="A17" s="4" t="inlineStr">
        <is>
          <t>arcgis.com</t>
        </is>
      </c>
      <c r="B17" s="4" t="inlineStr">
        <is>
          <t>Miami-Dade Qualified Opportunity Zones</t>
        </is>
      </c>
      <c r="C17" s="4" t="inlineStr">
        <is>
          <t>fetcher got a challenge/empty page</t>
        </is>
      </c>
      <c r="D17" s="4" t="inlineStr">
        <is>
          <t>page loads and names this dataset; not retired or discontinued; licence / terms; years covered and latest year; finest spatial unit (listed: unknown); access route; download formats</t>
        </is>
      </c>
      <c r="E17" s="4" t="inlineStr"/>
      <c r="F17" s="17" t="inlineStr">
        <is>
          <t>https://gis-mdc.opendata.arcgis.com/datasets/MDC::qualified-opportunity-zones/about</t>
        </is>
      </c>
      <c r="G17" s="17" t="inlineStr">
        <is>
          <t>https://web.archive.org/web/20260122142303/https://gis-mdc.opendata.arcgis.com/datasets/MDC::qualified-opportunity-zones/about</t>
        </is>
      </c>
      <c r="H17" s="4" t="inlineStr">
        <is>
          <t>us_mdc_qualified_opportunity_zones</t>
        </is>
      </c>
    </row>
    <row r="18">
      <c r="A18" s="4" t="inlineStr">
        <is>
          <t>arcgis.com</t>
        </is>
      </c>
      <c r="B18" s="4" t="inlineStr">
        <is>
          <t>Miami-Dade Superfund Sites</t>
        </is>
      </c>
      <c r="C18" s="4" t="inlineStr">
        <is>
          <t>fetcher got a challenge/empty page</t>
        </is>
      </c>
      <c r="D18" s="4" t="inlineStr">
        <is>
          <t>page loads and names this dataset; not retired or discontinued; licence / terms; years covered and latest year; finest spatial unit (listed: unknown); access route; download formats</t>
        </is>
      </c>
      <c r="E18" s="4" t="inlineStr"/>
      <c r="F18" s="17" t="inlineStr">
        <is>
          <t>https://gis-mdc.opendata.arcgis.com/datasets/MDC::super-fund-site/about</t>
        </is>
      </c>
      <c r="G18" s="17" t="inlineStr">
        <is>
          <t>https://web.archive.org/web/20260122141750/https://gis-mdc.opendata.arcgis.com/datasets/MDC::super-fund-site/about</t>
        </is>
      </c>
      <c r="H18" s="4" t="inlineStr">
        <is>
          <t>us_mdc_superfund_site</t>
        </is>
      </c>
    </row>
    <row r="19">
      <c r="A19" s="4" t="inlineStr">
        <is>
          <t>arcgis.com</t>
        </is>
      </c>
      <c r="B19" s="4" t="inlineStr">
        <is>
          <t>Public Housing Developments</t>
        </is>
      </c>
      <c r="C19" s="4" t="inlineStr">
        <is>
          <t>fetcher got a challenge/empty page</t>
        </is>
      </c>
      <c r="D19" s="4" t="inlineStr">
        <is>
          <t>page loads and names this dataset; not retired or discontinued; licence / terms; years covered and latest year; finest spatial unit (listed: point); access route; download formats</t>
        </is>
      </c>
      <c r="E19" s="4" t="inlineStr"/>
      <c r="F19" s="17" t="inlineStr">
        <is>
          <t>https://hudgis-hud.opendata.arcgis.com/datasets/HUD::public-housing-developments-1/about</t>
        </is>
      </c>
      <c r="G19" s="17" t="inlineStr">
        <is>
          <t>https://web.archive.org/web/20260412154854/https://hudgis-hud.opendata.arcgis.com/datasets/HUD::public-housing-developments-1/about</t>
        </is>
      </c>
      <c r="H19" s="4" t="inlineStr">
        <is>
          <t>us_hud_public_housing_developments</t>
        </is>
      </c>
    </row>
    <row r="20">
      <c r="A20" s="4" t="inlineStr">
        <is>
          <t>bbs.gov.bd</t>
        </is>
      </c>
      <c r="B20" s="4" t="inlineStr">
        <is>
          <t>Population and Housing Census 2022 (Bangladesh)</t>
        </is>
      </c>
      <c r="C20" s="4" t="inlineStr">
        <is>
          <t>certificate: tls_invalid</t>
        </is>
      </c>
      <c r="D20" s="4" t="inlineStr">
        <is>
          <t>browser accepts the certificate (tls_invalid); page loads and names this dataset; not retired or discontinued; licence / terms; years covered and latest year; finest spatial unit (listed: admin2); access route; download formats</t>
        </is>
      </c>
      <c r="E20" s="4" t="inlineStr">
        <is>
          <t>yes</t>
        </is>
      </c>
      <c r="F20" s="17" t="inlineStr">
        <is>
          <t>https://bbs.gov.bd/</t>
        </is>
      </c>
      <c r="G20" s="17" t="inlineStr">
        <is>
          <t>https://web.archive.org/web/20261017141429/https://bbs.gov.bd/</t>
        </is>
      </c>
      <c r="H20" s="4" t="inlineStr">
        <is>
          <t>bd_bbs_census_2022</t>
        </is>
      </c>
    </row>
    <row r="21">
      <c r="A21" s="4" t="inlineStr">
        <is>
          <t>bogota.gov.co</t>
        </is>
      </c>
      <c r="B21" s="4" t="inlineStr">
        <is>
          <t>Estratos Socioeconómicos de Bogotá Según Manzanas</t>
        </is>
      </c>
      <c r="C21" s="4" t="inlineStr">
        <is>
          <t>fetcher got a challenge/empty page</t>
        </is>
      </c>
      <c r="D21" s="4" t="inlineStr">
        <is>
          <t>page loads and names this dataset; not retired or discontinued; licence / terms; years covered and latest year; finest spatial unit (listed: unknown); access route; download formats</t>
        </is>
      </c>
      <c r="E21" s="4" t="inlineStr"/>
      <c r="F21" s="17" t="inlineStr">
        <is>
          <t>https://datosabiertos.bogota.gov.co/dataset/estratificacion-para-bogota</t>
        </is>
      </c>
      <c r="G21" s="17" t="inlineStr">
        <is>
          <t>https://web.archive.org/web/20250717124908/https://datosabiertos.bogota.gov.co/dataset/estratificacion-para-bogota</t>
        </is>
      </c>
      <c r="H21" s="4" t="inlineStr">
        <is>
          <t>gaia_bogota_2019_estratos_manzana_dane</t>
        </is>
      </c>
    </row>
    <row r="22">
      <c r="A22" s="4" t="inlineStr">
        <is>
          <t>bps.go.id</t>
        </is>
      </c>
      <c r="B22" s="4" t="inlineStr">
        <is>
          <t>Potensi Desa (Podes) 2024 - village potential statistics</t>
        </is>
      </c>
      <c r="C22" s="4" t="inlineStr">
        <is>
          <t>blocked_bot (401/403/202 challenge)</t>
        </is>
      </c>
      <c r="D22" s="4" t="inlineStr">
        <is>
          <t>page loads and names this dataset; not retired or discontinued; licence / terms; years covered and latest year; finest spatial unit (listed: unknown); access route; download formats</t>
        </is>
      </c>
      <c r="E22" s="4" t="inlineStr"/>
      <c r="F22" s="17" t="inlineStr">
        <is>
          <t>https://www.bps.go.id/en/publication/2024/12/10/2f5217e2d6a695a0830290a7/statistik-potensi-desa-indonesia-2024.html</t>
        </is>
      </c>
      <c r="G22" s="17" t="inlineStr">
        <is>
          <t>https://web.archive.org/web/20260423232955/https://www.bps.go.id/en/publication/2024/12/10/2f5217e2d6a695a0830290a7/statistik-potensi-desa-indonesia-2024.html</t>
        </is>
      </c>
      <c r="H22" s="4" t="inlineStr">
        <is>
          <t>id_bps_podes_2024</t>
        </is>
      </c>
    </row>
    <row r="23">
      <c r="A23" s="4" t="inlineStr">
        <is>
          <t>bts.gov</t>
        </is>
      </c>
      <c r="B23" s="4" t="inlineStr">
        <is>
          <t>National Transportation Atlas Database (NTAD)</t>
        </is>
      </c>
      <c r="C23" s="4" t="inlineStr">
        <is>
          <t>fetcher got a challenge/empty page</t>
        </is>
      </c>
      <c r="D23" s="4" t="inlineStr">
        <is>
          <t>page loads and names this dataset; not retired or discontinued; licence / terms; years covered and latest year; finest spatial unit (listed: point); access route; download formats</t>
        </is>
      </c>
      <c r="E23" s="4" t="inlineStr"/>
      <c r="F23" s="17" t="inlineStr">
        <is>
          <t>https://geodata.bts.gov/</t>
        </is>
      </c>
      <c r="G23" s="17" t="inlineStr">
        <is>
          <t>https://web.archive.org/web/20261017131355/https://geodata.bts.gov/</t>
        </is>
      </c>
      <c r="H23" s="4" t="inlineStr">
        <is>
          <t>us_bts_ntad</t>
        </is>
      </c>
    </row>
    <row r="24">
      <c r="A24" s="4" t="inlineStr">
        <is>
          <t>censusindia.gov.in</t>
        </is>
      </c>
      <c r="B24" s="4" t="inlineStr">
        <is>
          <t>Census of India 2011 - Primary Census Abstract (village/town-wise)</t>
        </is>
      </c>
      <c r="C24" s="4" t="inlineStr">
        <is>
          <t>certificate: tls_incomplete_chain</t>
        </is>
      </c>
      <c r="D24" s="4" t="inlineStr">
        <is>
          <t>browser accepts the certificate (tls_incomplete_chain); page loads and names this dataset; not retired or discontinued; licence / terms; years covered and latest year; finest spatial unit (listed: postcode_small_area); access route; download formats</t>
        </is>
      </c>
      <c r="E24" s="4" t="inlineStr">
        <is>
          <t>yes</t>
        </is>
      </c>
      <c r="F24" s="17" t="inlineStr">
        <is>
          <t>https://censusindia.gov.in/census.website/data/census-tables</t>
        </is>
      </c>
      <c r="G24" s="17" t="inlineStr">
        <is>
          <t>https://web.archive.org/web/20261009012447/https://censusindia.gov.in/census.website/data/census-tables</t>
        </is>
      </c>
      <c r="H24" s="4" t="inlineStr">
        <is>
          <t>in_orgi_census_2011_pca</t>
        </is>
      </c>
    </row>
    <row r="25">
      <c r="A25" s="4" t="inlineStr">
        <is>
          <t>cloudtostreet.ai</t>
        </is>
      </c>
      <c r="B25" s="4" t="inlineStr">
        <is>
          <t>Global Flood Database (Cloud to Street / Tellman et al. 2021): satellite-observed flood extents for 913 events, 2000-2018</t>
        </is>
      </c>
      <c r="C25" s="4" t="inlineStr">
        <is>
          <t>fetcher got a challenge/empty page</t>
        </is>
      </c>
      <c r="D25" s="4" t="inlineStr">
        <is>
          <t>page loads and names this dataset; not retired or discontinued; licence / terms; years covered and latest year; finest spatial unit (listed: grid_250m); access route; download formats</t>
        </is>
      </c>
      <c r="E25" s="4" t="inlineStr"/>
      <c r="F25" s="17" t="inlineStr">
        <is>
          <t>https://global-flood-database.cloudtostreet.ai/</t>
        </is>
      </c>
      <c r="G25" s="17" t="inlineStr">
        <is>
          <t>https://web.archive.org/web/20260925102615/https://global-flood-database.cloudtostreet.ai/</t>
        </is>
      </c>
      <c r="H25" s="4" t="inlineStr">
        <is>
          <t>global_cloudtostreet_global_flood_database</t>
        </is>
      </c>
    </row>
    <row r="26">
      <c r="A26" s="4" t="inlineStr">
        <is>
          <t>cms.gov</t>
        </is>
      </c>
      <c r="B26" s="4" t="inlineStr">
        <is>
          <t>Provider of Services (POS) File - Hospital and Non-Hospital Facilities</t>
        </is>
      </c>
      <c r="C26" s="4" t="inlineStr">
        <is>
          <t>fetcher got a challenge/empty page</t>
        </is>
      </c>
      <c r="D26" s="4" t="inlineStr">
        <is>
          <t>page loads and names this dataset; not retired or discontinued; licence / terms; years covered and latest year; finest spatial unit (listed: point); access route; download formats</t>
        </is>
      </c>
      <c r="E26" s="4" t="inlineStr"/>
      <c r="F26" s="17" t="inlineStr">
        <is>
          <t>https://data.cms.gov/provider-characteristics/hospitals-and-other-facilities/provider-of-services-file-hospital-non-hospital-facilities</t>
        </is>
      </c>
      <c r="G26" s="17" t="inlineStr">
        <is>
          <t>https://web.archive.org/web/20261016094400/https://data.cms.gov/provider-characteristics/hospitals-and-other-facilities/provider-of-services-file-hospital-non-hospital-facilities</t>
        </is>
      </c>
      <c r="H26" s="4" t="inlineStr">
        <is>
          <t>us_cms_provider_of_services</t>
        </is>
      </c>
    </row>
    <row r="27">
      <c r="A27" s="4" t="inlineStr">
        <is>
          <t>columbia.edu</t>
        </is>
      </c>
      <c r="B27" s="4" t="inlineStr">
        <is>
          <t>Global Human Modification of Terrestrial Systems (Kennedy et al.), v1</t>
        </is>
      </c>
      <c r="C27" s="4" t="inlineStr">
        <is>
          <t>timeout</t>
        </is>
      </c>
      <c r="D27" s="4" t="inlineStr">
        <is>
          <t>page loads and names this dataset; not retired or discontinued; licence / terms; years covered and latest year; finest spatial unit (listed: grid_1km); access route; download formats</t>
        </is>
      </c>
      <c r="E27" s="4" t="inlineStr"/>
      <c r="F27" s="17" t="inlineStr">
        <is>
          <t>https://sedac.ciesin.columbia.edu/data/set/lulc-human-modification-terrestrial-systems</t>
        </is>
      </c>
      <c r="G27" s="17" t="inlineStr">
        <is>
          <t>https://web.archive.org/web/20250510143011/https://sedac.ciesin.columbia.edu/data/set/lulc-human-modification-terrestrial-systems</t>
        </is>
      </c>
      <c r="H27" s="4" t="inlineStr">
        <is>
          <t>global_sedac_human_modification</t>
        </is>
      </c>
    </row>
    <row r="28">
      <c r="A28" s="4" t="inlineStr">
        <is>
          <t>copernicus.eu</t>
        </is>
      </c>
      <c r="B28" s="4" t="inlineStr">
        <is>
          <t>Urban Atlas (Functional Urban Areas land use/land cover)</t>
        </is>
      </c>
      <c r="C28" s="4" t="inlineStr">
        <is>
          <t>fetcher got a challenge/empty page</t>
        </is>
      </c>
      <c r="D28" s="4" t="inlineStr">
        <is>
          <t>page loads and names this dataset; not retired or discontinued; licence / terms; years covered and latest year; finest spatial unit (listed: postcode_small_area); access route; download formats</t>
        </is>
      </c>
      <c r="E28" s="4" t="inlineStr">
        <is>
          <t>yes</t>
        </is>
      </c>
      <c r="F28" s="17" t="inlineStr">
        <is>
          <t>https://land.copernicus.eu/en/products/urban-atlas</t>
        </is>
      </c>
      <c r="G28" s="17" t="inlineStr">
        <is>
          <t>https://web.archive.org/web/20260930191838/https://land.copernicus.eu/en/products/urban-atlas</t>
        </is>
      </c>
      <c r="H28" s="4" t="inlineStr">
        <is>
          <t>eu_copernicus_urban_atlas</t>
        </is>
      </c>
    </row>
    <row r="29">
      <c r="A29" s="4" t="inlineStr">
        <is>
          <t>copernicus.eu</t>
        </is>
      </c>
      <c r="B29" s="4" t="inlineStr">
        <is>
          <t>European Flood Awareness System (EFAS) river discharge forecasts and historical simulations</t>
        </is>
      </c>
      <c r="C29" s="4" t="inlineStr">
        <is>
          <t>fetcher got a challenge/empty page</t>
        </is>
      </c>
      <c r="D29" s="4" t="inlineStr">
        <is>
          <t>page loads and names this dataset; not retired or discontinued; licence / terms; years covered and latest year; finest spatial unit (listed: grid_1.67km); access route; download formats</t>
        </is>
      </c>
      <c r="E29" s="4" t="inlineStr"/>
      <c r="F29" s="17" t="inlineStr">
        <is>
          <t>https://european-flood.emergency.copernicus.eu/en/about-efas</t>
        </is>
      </c>
      <c r="G29" s="4" t="inlineStr"/>
      <c r="H29" s="4" t="inlineStr">
        <is>
          <t>eu_copernicus_efas</t>
        </is>
      </c>
    </row>
    <row r="30">
      <c r="A30" s="4" t="inlineStr">
        <is>
          <t>copernicus.eu</t>
        </is>
      </c>
      <c r="B30" s="4" t="inlineStr">
        <is>
          <t>Global Flood Awareness System (GloFAS) river discharge forecasts and historical reanalysis</t>
        </is>
      </c>
      <c r="C30" s="4" t="inlineStr">
        <is>
          <t>fetcher got a challenge/empty page</t>
        </is>
      </c>
      <c r="D30" s="4" t="inlineStr">
        <is>
          <t>page loads and names this dataset; not retired or discontinued; licence / terms; years covered and latest year; finest spatial unit (listed: grid_0.05deg); access route; download formats</t>
        </is>
      </c>
      <c r="E30" s="4" t="inlineStr"/>
      <c r="F30" s="17" t="inlineStr">
        <is>
          <t>https://global-flood.emergency.copernicus.eu/</t>
        </is>
      </c>
      <c r="G30" s="17" t="inlineStr">
        <is>
          <t>https://web.archive.org/web/20261008152401/https://global-flood.emergency.copernicus.eu/</t>
        </is>
      </c>
      <c r="H30" s="4" t="inlineStr">
        <is>
          <t>global_copernicus_glofas</t>
        </is>
      </c>
    </row>
    <row r="31">
      <c r="A31" s="4" t="inlineStr">
        <is>
          <t>dane.gov.co</t>
        </is>
      </c>
      <c r="B31" s="4" t="inlineStr">
        <is>
          <t>Marco Geoestadistico Nacional (MGN) 2018</t>
        </is>
      </c>
      <c r="C31" s="4" t="inlineStr">
        <is>
          <t>fetcher got a challenge/empty page</t>
        </is>
      </c>
      <c r="D31" s="4" t="inlineStr">
        <is>
          <t>page loads and names this dataset; not retired or discontinued; licence / terms; years covered and latest year; finest spatial unit (listed: block); access route; download formats</t>
        </is>
      </c>
      <c r="E31" s="4" t="inlineStr"/>
      <c r="F31" s="17" t="inlineStr">
        <is>
          <t>https://geoportal.dane.gov.co/</t>
        </is>
      </c>
      <c r="G31" s="17" t="inlineStr">
        <is>
          <t>https://web.archive.org/web/20261017055007/https://geoportal.dane.gov.co/</t>
        </is>
      </c>
      <c r="H31" s="4" t="inlineStr">
        <is>
          <t>co_dane_mgn</t>
        </is>
      </c>
    </row>
    <row r="32">
      <c r="A32" s="4" t="inlineStr">
        <is>
          <t>digital.nhs.uk</t>
        </is>
      </c>
      <c r="B32" s="4" t="inlineStr">
        <is>
          <t>ODS GP and GP practice related data (epraccur)</t>
        </is>
      </c>
      <c r="C32" s="4" t="inlineStr">
        <is>
          <t>blocked_bot (401/403/202 challenge)</t>
        </is>
      </c>
      <c r="D32" s="4" t="inlineStr">
        <is>
          <t>page loads and names this dataset; not retired or discontinued; licence / terms; years covered and latest year; finest spatial unit (listed: point); access route; download formats</t>
        </is>
      </c>
      <c r="E32" s="4" t="inlineStr"/>
      <c r="F32" s="17" t="inlineStr">
        <is>
          <t>https://digital.nhs.uk/services/organisation-data-service/export-data-files/csv-downloads/gp-and-gp-practice-related-data</t>
        </is>
      </c>
      <c r="G32" s="17" t="inlineStr">
        <is>
          <t>https://web.archive.org/web/20261014114155/https://digital.nhs.uk/services/organisation-data-service/export-data-files/csv-downloads/gp-and-gp-practice-related-data</t>
        </is>
      </c>
      <c r="H32" s="4" t="inlineStr">
        <is>
          <t>gb_nhs_ods_gp_practices</t>
        </is>
      </c>
    </row>
    <row r="33">
      <c r="A33" s="4" t="inlineStr">
        <is>
          <t>dot.gov</t>
        </is>
      </c>
      <c r="B33" s="4" t="inlineStr">
        <is>
          <t>National Transit Database (NTD)</t>
        </is>
      </c>
      <c r="C33" s="4" t="inlineStr">
        <is>
          <t>blocked_bot (401/403/202 challenge)</t>
        </is>
      </c>
      <c r="D33" s="4" t="inlineStr">
        <is>
          <t>page loads and names this dataset; not retired or discontinued; licence / terms; years covered and latest year; finest spatial unit (listed: unknown); access route; download formats</t>
        </is>
      </c>
      <c r="E33" s="4" t="inlineStr"/>
      <c r="F33" s="17" t="inlineStr">
        <is>
          <t>https://transit.dot.gov/ntd</t>
        </is>
      </c>
      <c r="G33" s="17" t="inlineStr">
        <is>
          <t>https://web.archive.org/web/20261017184426/https://transit.dot.gov/ntd</t>
        </is>
      </c>
      <c r="H33" s="4" t="inlineStr">
        <is>
          <t>us_fta_national_transit_database</t>
        </is>
      </c>
    </row>
    <row r="34">
      <c r="A34" s="4" t="inlineStr">
        <is>
          <t>dwd.de</t>
        </is>
      </c>
      <c r="B34" s="4" t="inlineStr">
        <is>
          <t>GPCC Global Precipitation Climatology Centre gridded precipitation (Full Data Monthly/Daily, Monitoring, First Guess, Climatology, Drought Index)</t>
        </is>
      </c>
      <c r="C34" s="4" t="inlineStr">
        <is>
          <t>blocked_robots</t>
        </is>
      </c>
      <c r="D34" s="4" t="inlineStr">
        <is>
          <t>page loads and names this dataset; not retired or discontinued; licence / terms; years covered and latest year; finest spatial unit (listed: grid_0.25deg); access route; download formats</t>
        </is>
      </c>
      <c r="E34" s="4" t="inlineStr"/>
      <c r="F34" s="17" t="inlineStr">
        <is>
          <t>https://www.dwd.de/EN/ourservices/gpcc/gpcc.html</t>
        </is>
      </c>
      <c r="G34" s="17" t="inlineStr">
        <is>
          <t>https://web.archive.org/web/20261016191117/https://www.dwd.de/EN/ourservices/gpcc/gpcc.html</t>
        </is>
      </c>
      <c r="H34" s="4" t="inlineStr">
        <is>
          <t>global_dwd_gpcc</t>
        </is>
      </c>
    </row>
    <row r="35">
      <c r="A35" s="4" t="inlineStr">
        <is>
          <t>eia.gov</t>
        </is>
      </c>
      <c r="B35" s="4" t="inlineStr">
        <is>
          <t>U.S. Energy Atlas (EIA energy infrastructure map layers)</t>
        </is>
      </c>
      <c r="C35" s="4" t="inlineStr">
        <is>
          <t>fetcher got a challenge/empty page</t>
        </is>
      </c>
      <c r="D35" s="4" t="inlineStr">
        <is>
          <t>page loads and names this dataset; not retired or discontinued; licence / terms; years covered and latest year; finest spatial unit (listed: point); access route; download formats</t>
        </is>
      </c>
      <c r="E35" s="4" t="inlineStr"/>
      <c r="F35" s="17" t="inlineStr">
        <is>
          <t>https://atlas.eia.gov/</t>
        </is>
      </c>
      <c r="G35" s="17" t="inlineStr">
        <is>
          <t>https://web.archive.org/web/20261017014449/https://atlas.eia.gov/</t>
        </is>
      </c>
      <c r="H35" s="4" t="inlineStr">
        <is>
          <t>us_eia_energy_atlas</t>
        </is>
      </c>
    </row>
    <row r="36">
      <c r="A36" s="4" t="inlineStr">
        <is>
          <t>energydata.info</t>
        </is>
      </c>
      <c r="B36" s="4" t="inlineStr">
        <is>
          <t>Africa Infrastructure Country Diagnostic (AICD) spatial database</t>
        </is>
      </c>
      <c r="C36" s="4" t="inlineStr">
        <is>
          <t>blocked_bot (401/403/202 challenge)</t>
        </is>
      </c>
      <c r="D36" s="4" t="inlineStr">
        <is>
          <t>page loads and names this dataset; not retired or discontinued; licence / terms; years covered and latest year; finest spatial unit (listed: point); access route; download formats</t>
        </is>
      </c>
      <c r="E36" s="4" t="inlineStr"/>
      <c r="F36" s="17" t="inlineStr">
        <is>
          <t>https://energydata.info/dataset?tags=AICD</t>
        </is>
      </c>
      <c r="G36" s="4" t="inlineStr"/>
      <c r="H36" s="4" t="inlineStr">
        <is>
          <t>global_worldbank_aicd_spatial</t>
        </is>
      </c>
    </row>
    <row r="37">
      <c r="A37" s="4" t="inlineStr">
        <is>
          <t>epa.gov</t>
        </is>
      </c>
      <c r="B37" s="4" t="inlineStr">
        <is>
          <t>RCRAInfo Public Data Export (hazardous waste handlers, Biennial Report)</t>
        </is>
      </c>
      <c r="C37" s="4" t="inlineStr">
        <is>
          <t>fetcher got a challenge/empty page</t>
        </is>
      </c>
      <c r="D37" s="4" t="inlineStr">
        <is>
          <t>page loads and names this dataset; not retired or discontinued; licence / terms; years covered and latest year; finest spatial unit (listed: point); access route; download formats</t>
        </is>
      </c>
      <c r="E37" s="4" t="inlineStr"/>
      <c r="F37" s="17" t="inlineStr">
        <is>
          <t>https://rcrapublic.epa.gov/rcra-public-export</t>
        </is>
      </c>
      <c r="G37" s="17" t="inlineStr">
        <is>
          <t>https://web.archive.org/web/20251213070317/https://rcrapublic.epa.gov/rcra-public-export</t>
        </is>
      </c>
      <c r="H37" s="4" t="inlineStr">
        <is>
          <t>us_epa_rcrainfo_public_export</t>
        </is>
      </c>
    </row>
    <row r="38">
      <c r="A38" s="4" t="inlineStr">
        <is>
          <t>europa.eu</t>
        </is>
      </c>
      <c r="B38" s="4" t="inlineStr">
        <is>
          <t>ECDC Surveillance Atlas of Infectious Diseases</t>
        </is>
      </c>
      <c r="C38" s="4" t="inlineStr">
        <is>
          <t>fetcher got a challenge/empty page</t>
        </is>
      </c>
      <c r="D38" s="4" t="inlineStr">
        <is>
          <t>page loads and names this dataset; not retired or discontinued; licence / terms; years covered and latest year; finest spatial unit (listed: country); access route; download formats</t>
        </is>
      </c>
      <c r="E38" s="4" t="inlineStr"/>
      <c r="F38" s="17" t="inlineStr">
        <is>
          <t>https://atlas.ecdc.europa.eu/public/index.aspx</t>
        </is>
      </c>
      <c r="G38" s="17" t="inlineStr">
        <is>
          <t>https://web.archive.org/web/20261016044806/https://atlas.ecdc.europa.eu/public/index.aspx</t>
        </is>
      </c>
      <c r="H38" s="4" t="inlineStr">
        <is>
          <t>eu_ecdc_surveillance_atlas</t>
        </is>
      </c>
    </row>
    <row r="39">
      <c r="A39" s="4" t="inlineStr">
        <is>
          <t>europa.eu</t>
        </is>
      </c>
      <c r="B39" s="4" t="inlineStr">
        <is>
          <t>JRC Global River Flood Hazard Maps (return periods 10-500 yr)</t>
        </is>
      </c>
      <c r="C39" s="4" t="inlineStr">
        <is>
          <t>fetcher got a challenge/empty page</t>
        </is>
      </c>
      <c r="D39" s="4" t="inlineStr">
        <is>
          <t>page loads and names this dataset; not retired or discontinued; licence / terms; years covered and latest year; finest spatial unit (listed: grid_30arcsec); access route; download formats</t>
        </is>
      </c>
      <c r="E39" s="4" t="inlineStr"/>
      <c r="F39" s="17" t="inlineStr">
        <is>
          <t>https://data.jrc.ec.europa.eu/collection/id-0054</t>
        </is>
      </c>
      <c r="G39" s="17" t="inlineStr">
        <is>
          <t>https://web.archive.org/web/20261012010118/https://data.jrc.ec.europa.eu/collection/id-0054</t>
        </is>
      </c>
      <c r="H39" s="4" t="inlineStr">
        <is>
          <t>global_jrc_global_flood_hazard_maps</t>
        </is>
      </c>
    </row>
    <row r="40">
      <c r="A40" s="4" t="inlineStr">
        <is>
          <t>europa.eu</t>
        </is>
      </c>
      <c r="B40" s="4" t="inlineStr">
        <is>
          <t>World Atlas of Desertification (WAD) third edition and geoportal datasets (land degradation, SDG 15.3.1)</t>
        </is>
      </c>
      <c r="C40" s="4" t="inlineStr">
        <is>
          <t>blocked_bot (401/403/202 challenge)</t>
        </is>
      </c>
      <c r="D40" s="4" t="inlineStr">
        <is>
          <t>page loads and names this dataset; not retired or discontinued; licence / terms; years covered and latest year; finest spatial unit (listed: grid_1km); access route; download formats</t>
        </is>
      </c>
      <c r="E40" s="4" t="inlineStr"/>
      <c r="F40" s="17" t="inlineStr">
        <is>
          <t>https://wad.jrc.ec.europa.eu/</t>
        </is>
      </c>
      <c r="G40" s="17" t="inlineStr">
        <is>
          <t>https://web.archive.org/web/20260927003709/https://wad.jrc.ec.europa.eu/</t>
        </is>
      </c>
      <c r="H40" s="4" t="inlineStr">
        <is>
          <t>global_jrc_world_atlas_desertification</t>
        </is>
      </c>
    </row>
    <row r="41">
      <c r="A41" s="4" t="inlineStr">
        <is>
          <t>fao.org</t>
        </is>
      </c>
      <c r="B41" s="4" t="inlineStr">
        <is>
          <t>FAOSTAT</t>
        </is>
      </c>
      <c r="C41" s="4" t="inlineStr">
        <is>
          <t>fetcher got a challenge/empty page</t>
        </is>
      </c>
      <c r="D41" s="4" t="inlineStr">
        <is>
          <t>page loads and names this dataset; not retired or discontinued; licence / terms; years covered and latest year; finest spatial unit (listed: country); access route; download formats</t>
        </is>
      </c>
      <c r="E41" s="4" t="inlineStr"/>
      <c r="F41" s="17" t="inlineStr">
        <is>
          <t>https://www.fao.org/faostat/en/</t>
        </is>
      </c>
      <c r="G41" s="17" t="inlineStr">
        <is>
          <t>https://web.archive.org/web/20261018112009/https://www.fao.org/faostat/en/</t>
        </is>
      </c>
      <c r="H41" s="4" t="inlineStr">
        <is>
          <t>global_fao_faostat</t>
        </is>
      </c>
    </row>
    <row r="42">
      <c r="A42" s="4" t="inlineStr">
        <is>
          <t>fao.org</t>
        </is>
      </c>
      <c r="B42" s="4" t="inlineStr">
        <is>
          <t>Global Agro-Ecological Zones (GAEZ v4)</t>
        </is>
      </c>
      <c r="C42" s="4" t="inlineStr">
        <is>
          <t>fetcher got a challenge/empty page</t>
        </is>
      </c>
      <c r="D42" s="4" t="inlineStr">
        <is>
          <t>page loads and names this dataset; not retired or discontinued; licence / terms; years covered and latest year; finest spatial unit (listed: grid_); access route; download formats</t>
        </is>
      </c>
      <c r="E42" s="4" t="inlineStr"/>
      <c r="F42" s="17" t="inlineStr">
        <is>
          <t>https://gaez.fao.org/</t>
        </is>
      </c>
      <c r="G42" s="17" t="inlineStr">
        <is>
          <t>https://web.archive.org/web/20261008151552/https://gaez.fao.org/</t>
        </is>
      </c>
      <c r="H42" s="4" t="inlineStr">
        <is>
          <t>global_fao_gaez</t>
        </is>
      </c>
    </row>
    <row r="43">
      <c r="A43" s="4" t="inlineStr">
        <is>
          <t>fao.org</t>
        </is>
      </c>
      <c r="B43" s="4" t="inlineStr">
        <is>
          <t>Hand-in-Hand Geospatial Platform</t>
        </is>
      </c>
      <c r="C43" s="4" t="inlineStr">
        <is>
          <t>fetcher got a challenge/empty page</t>
        </is>
      </c>
      <c r="D43" s="4" t="inlineStr">
        <is>
          <t>page loads and names this dataset; not retired or discontinued; licence / terms; years covered and latest year; finest spatial unit (listed: grid_); access route; download formats</t>
        </is>
      </c>
      <c r="E43" s="4" t="inlineStr"/>
      <c r="F43" s="17" t="inlineStr">
        <is>
          <t>https://data.apps.fao.org/</t>
        </is>
      </c>
      <c r="G43" s="17" t="inlineStr">
        <is>
          <t>https://web.archive.org/web/20261016174729/https://data.apps.fao.org/</t>
        </is>
      </c>
      <c r="H43" s="4" t="inlineStr">
        <is>
          <t>global_fao_hih_geospatial_platform</t>
        </is>
      </c>
    </row>
    <row r="44">
      <c r="A44" s="4" t="inlineStr">
        <is>
          <t>fao.org</t>
        </is>
      </c>
      <c r="B44" s="4" t="inlineStr">
        <is>
          <t>WaPOR (Water Productivity through Open access of Remotely sensed derived data)</t>
        </is>
      </c>
      <c r="C44" s="4" t="inlineStr">
        <is>
          <t>fetcher got a challenge/empty page</t>
        </is>
      </c>
      <c r="D44" s="4" t="inlineStr">
        <is>
          <t>page loads and names this dataset; not retired or discontinued; licence / terms; years covered and latest year; finest spatial unit (listed: grid_300m); access route; download formats</t>
        </is>
      </c>
      <c r="E44" s="4" t="inlineStr"/>
      <c r="F44" s="17" t="inlineStr">
        <is>
          <t>https://data.apps.fao.org/wapor/</t>
        </is>
      </c>
      <c r="G44" s="17" t="inlineStr">
        <is>
          <t>https://web.archive.org/web/20261004162231/https://data.apps.fao.org/wapor/</t>
        </is>
      </c>
      <c r="H44" s="4" t="inlineStr">
        <is>
          <t>global_fao_wapor</t>
        </is>
      </c>
    </row>
    <row r="45">
      <c r="A45" s="4" t="inlineStr">
        <is>
          <t>fcc.gov</t>
        </is>
      </c>
      <c r="B45" s="4" t="inlineStr">
        <is>
          <t>FCC Broadband Data Collection / National Broadband Map</t>
        </is>
      </c>
      <c r="C45" s="4" t="inlineStr">
        <is>
          <t>blocked_bot (401/403/202 challenge)</t>
        </is>
      </c>
      <c r="D45" s="4" t="inlineStr">
        <is>
          <t>page loads and names this dataset; not retired or discontinued; licence / terms; years covered and latest year; finest spatial unit (listed: point); access route; download formats</t>
        </is>
      </c>
      <c r="E45" s="4" t="inlineStr"/>
      <c r="F45" s="17" t="inlineStr">
        <is>
          <t>https://broadbandmap.fcc.gov/</t>
        </is>
      </c>
      <c r="G45" s="17" t="inlineStr">
        <is>
          <t>https://web.archive.org/web/20261017122816/https://broadbandmap.fcc.gov/</t>
        </is>
      </c>
      <c r="H45" s="4" t="inlineStr">
        <is>
          <t>us_fcc_broadband_data_collection</t>
        </is>
      </c>
    </row>
    <row r="46">
      <c r="A46" s="4" t="inlineStr">
        <is>
          <t>fgov.be</t>
        </is>
      </c>
      <c r="B46" s="4" t="inlineStr">
        <is>
          <t>Statistical sectors (secteurs statistiques / statistische sectoren)</t>
        </is>
      </c>
      <c r="C46" s="4" t="inlineStr">
        <is>
          <t>fetcher got a challenge/empty page</t>
        </is>
      </c>
      <c r="D46" s="4" t="inlineStr">
        <is>
          <t>page loads and names this dataset; not retired or discontinued; licence / terms; years covered and latest year; finest spatial unit (listed: postcode_small_area); access route; download formats</t>
        </is>
      </c>
      <c r="E46" s="4" t="inlineStr"/>
      <c r="F46" s="17" t="inlineStr">
        <is>
          <t>https://statbel.fgov.be/en/open-data/statistical-sectors-2023</t>
        </is>
      </c>
      <c r="G46" s="17" t="inlineStr">
        <is>
          <t>https://web.archive.org/web/20241114170127/https://statbel.fgov.be/en/open-data/statistical-sectors-2023</t>
        </is>
      </c>
      <c r="H46" s="4" t="inlineStr">
        <is>
          <t>be_statbel_statistical_sectors</t>
        </is>
      </c>
    </row>
    <row r="47">
      <c r="A47" s="4" t="inlineStr">
        <is>
          <t>figshare.com</t>
        </is>
      </c>
      <c r="B47" s="4" t="inlineStr">
        <is>
          <t>Global surface NO2 concentrations 1990-2020 (Anenberg, Mohegh, Larkin et al.)</t>
        </is>
      </c>
      <c r="C47" s="4" t="inlineStr">
        <is>
          <t>blocked_bot (401/403/202 challenge)</t>
        </is>
      </c>
      <c r="D47" s="4" t="inlineStr">
        <is>
          <t>page loads and names this dataset; not retired or discontinued; licence / terms; years covered and latest year; finest spatial unit (listed: grid_1km); access route; download formats</t>
        </is>
      </c>
      <c r="E47" s="4" t="inlineStr"/>
      <c r="F47" s="17" t="inlineStr">
        <is>
          <t>https://figshare.com/articles/dataset/Global_surface_NO2_concentrations_1990-2020/12968114/4</t>
        </is>
      </c>
      <c r="G47" s="17" t="inlineStr">
        <is>
          <t>https://web.archive.org/web/20251219123741/https://figshare.com/articles/dataset/Global_surface_NO2_concentrations_1990-2020/12968114/4</t>
        </is>
      </c>
      <c r="H47" s="4" t="inlineStr">
        <is>
          <t>global_anenberg_surface_no2</t>
        </is>
      </c>
    </row>
    <row r="48">
      <c r="A48" s="4" t="inlineStr">
        <is>
          <t>firststreet.org</t>
        </is>
      </c>
      <c r="B48" s="4" t="inlineStr">
        <is>
          <t>First Street climate risk models (Flood Factor, Fire Factor, Heat Factor, Wind Factor, Air Factor)</t>
        </is>
      </c>
      <c r="C48" s="4" t="inlineStr">
        <is>
          <t>fetcher got a challenge/empty page</t>
        </is>
      </c>
      <c r="D48" s="4" t="inlineStr">
        <is>
          <t>page loads and names this dataset; not retired or discontinued; licence / terms; years covered and latest year; finest spatial unit (listed: point); access route; download formats</t>
        </is>
      </c>
      <c r="E48" s="4" t="inlineStr"/>
      <c r="F48" s="17" t="inlineStr">
        <is>
          <t>https://firststreet.org/</t>
        </is>
      </c>
      <c r="G48" s="17" t="inlineStr">
        <is>
          <t>https://web.archive.org/web/20261012215820/https://firststreet.org/</t>
        </is>
      </c>
      <c r="H48" s="4" t="inlineStr">
        <is>
          <t>us_firststreet_risk_factors</t>
        </is>
      </c>
    </row>
    <row r="49">
      <c r="A49" s="4" t="inlineStr">
        <is>
          <t>fl.us</t>
        </is>
      </c>
      <c r="B49" s="4" t="inlineStr">
        <is>
          <t>Florida Superfund Waste Cleanup Sites</t>
        </is>
      </c>
      <c r="C49" s="4" t="inlineStr">
        <is>
          <t>fetcher got a challenge/empty page</t>
        </is>
      </c>
      <c r="D49" s="4" t="inlineStr">
        <is>
          <t>page loads and names this dataset; not retired or discontinued; licence / terms; years covered and latest year; finest spatial unit (listed: unknown); access route; download formats</t>
        </is>
      </c>
      <c r="E49" s="4" t="inlineStr"/>
      <c r="F49" s="17" t="inlineStr">
        <is>
          <t>https://geodata.dep.state.fl.us/datasets/FDEP::florida-superfund-waste-cleanup-sites/about</t>
        </is>
      </c>
      <c r="G49" s="17" t="inlineStr">
        <is>
          <t>https://web.archive.org/web/20260309143007/https://geodata.dep.state.fl.us/datasets/FDEP::florida-superfund-waste-cleanup-sites/about</t>
        </is>
      </c>
      <c r="H49" s="4" t="inlineStr">
        <is>
          <t>gaia_fl_superfund_waste_cleanup_sites</t>
        </is>
      </c>
    </row>
    <row r="50">
      <c r="A50" s="4" t="inlineStr">
        <is>
          <t>g2aging.org</t>
        </is>
      </c>
      <c r="B50" s="4" t="inlineStr">
        <is>
          <t>Environmental Exposome Gateway (Gateway to Global Aging Data, HRS International Network of Studies)</t>
        </is>
      </c>
      <c r="C50" s="4" t="inlineStr">
        <is>
          <t>fetcher got a challenge/empty page</t>
        </is>
      </c>
      <c r="D50" s="4" t="inlineStr">
        <is>
          <t>page loads and names this dataset; not retired or discontinued; licence / terms; years covered and latest year; finest spatial unit (listed: unknown); access route; download formats</t>
        </is>
      </c>
      <c r="E50" s="4" t="inlineStr"/>
      <c r="F50" s="17" t="inlineStr">
        <is>
          <t>https://exposome.g2aging.org/</t>
        </is>
      </c>
      <c r="G50" s="17" t="inlineStr">
        <is>
          <t>https://web.archive.org/web/20261004220032/https://exposome.g2aging.org/</t>
        </is>
      </c>
      <c r="H50" s="4" t="inlineStr">
        <is>
          <t>us_umich_g2aging_environmental_exposome_gateway</t>
        </is>
      </c>
    </row>
    <row r="51">
      <c r="A51" s="4" t="inlineStr">
        <is>
          <t>globalmangrovewatch.org</t>
        </is>
      </c>
      <c r="B51" s="4" t="inlineStr">
        <is>
          <t>Global Mangrove Watch (GMW) mangrove extent and change v3/v4, 1996-2020</t>
        </is>
      </c>
      <c r="C51" s="4" t="inlineStr">
        <is>
          <t>fetcher got a challenge/empty page</t>
        </is>
      </c>
      <c r="D51" s="4" t="inlineStr">
        <is>
          <t>page loads and names this dataset; not retired or discontinued; licence / terms; years covered and latest year; finest spatial unit (listed: grid_25m); access route; download formats</t>
        </is>
      </c>
      <c r="E51" s="4" t="inlineStr"/>
      <c r="F51" s="17" t="inlineStr">
        <is>
          <t>https://www.globalmangrovewatch.org/</t>
        </is>
      </c>
      <c r="G51" s="17" t="inlineStr">
        <is>
          <t>https://web.archive.org/web/20261013042757/https://www.globalmangrovewatch.org/</t>
        </is>
      </c>
      <c r="H51" s="4" t="inlineStr">
        <is>
          <t>global_global_mangrove_watch</t>
        </is>
      </c>
    </row>
    <row r="52">
      <c r="A52" s="4" t="inlineStr">
        <is>
          <t>globalsolaratlas.info</t>
        </is>
      </c>
      <c r="B52" s="4" t="inlineStr">
        <is>
          <t>Global Solar Atlas</t>
        </is>
      </c>
      <c r="C52" s="4" t="inlineStr">
        <is>
          <t>fetcher got a challenge/empty page</t>
        </is>
      </c>
      <c r="D52" s="4" t="inlineStr">
        <is>
          <t>page loads and names this dataset; not retired or discontinued; licence / terms; years covered and latest year; finest spatial unit (listed: grid_); access route; download formats</t>
        </is>
      </c>
      <c r="E52" s="4" t="inlineStr"/>
      <c r="F52" s="17" t="inlineStr">
        <is>
          <t>https://globalsolaratlas.info/</t>
        </is>
      </c>
      <c r="G52" s="17" t="inlineStr">
        <is>
          <t>https://web.archive.org/web/20261016092608/https://globalsolaratlas.info/</t>
        </is>
      </c>
      <c r="H52" s="4" t="inlineStr">
        <is>
          <t>global_worldbank_global_solar_atlas</t>
        </is>
      </c>
    </row>
    <row r="53">
      <c r="A53" s="4" t="inlineStr">
        <is>
          <t>globalwindatlas.info</t>
        </is>
      </c>
      <c r="B53" s="4" t="inlineStr">
        <is>
          <t>Global Wind Atlas (DTU / World Bank ESMAP) and Global Solar Atlas (Solargis / World Bank ESMAP)</t>
        </is>
      </c>
      <c r="C53" s="4" t="inlineStr">
        <is>
          <t>fetcher got a challenge/empty page</t>
        </is>
      </c>
      <c r="D53" s="4" t="inlineStr">
        <is>
          <t>page loads and names this dataset; not retired or discontinued; licence / terms; years covered and latest year; finest spatial unit (listed: grid_250m); access route; download formats</t>
        </is>
      </c>
      <c r="E53" s="4" t="inlineStr"/>
      <c r="F53" s="17" t="inlineStr">
        <is>
          <t>https://globalwindatlas.info/en/about/introduction</t>
        </is>
      </c>
      <c r="G53" s="17" t="inlineStr">
        <is>
          <t>https://web.archive.org/web/20261004140845/https://globalwindatlas.info/en/about/introduction</t>
        </is>
      </c>
      <c r="H53" s="4" t="inlineStr">
        <is>
          <t>global_dtu_global_wind_solar_atlas</t>
        </is>
      </c>
    </row>
    <row r="54">
      <c r="A54" s="4" t="inlineStr">
        <is>
          <t>gob.pe</t>
        </is>
      </c>
      <c r="B54" s="4" t="inlineStr">
        <is>
          <t>Catastro Minero Huayhuash (INGEMMET)</t>
        </is>
      </c>
      <c r="C54" s="4" t="inlineStr">
        <is>
          <t>certificate: tls_incomplete_chain</t>
        </is>
      </c>
      <c r="D54" s="4" t="inlineStr">
        <is>
          <t>browser accepts the certificate (tls_incomplete_chain); page loads and names this dataset; not retired or discontinued; licence / terms; years covered and latest year; finest spatial unit (listed: unknown); access route; download formats</t>
        </is>
      </c>
      <c r="E54" s="4" t="inlineStr"/>
      <c r="F54" s="17" t="inlineStr">
        <is>
          <t>https://geocatmin.ingemmet.gob.pe/arcgis/rest/services/SERV_CATASTRO_MINERO_WGS84/MapServer/0</t>
        </is>
      </c>
      <c r="G54" s="17" t="inlineStr">
        <is>
          <t>https://web.archive.org/web/20250528032053/https://geocatmin.ingemmet.gob.pe/arcgis/rest/services/SERV_CATASTRO_MINERO_WGS84/MapServer/0</t>
        </is>
      </c>
      <c r="H54" s="4" t="inlineStr">
        <is>
          <t>pe_catastrominero_ingemmet</t>
        </is>
      </c>
    </row>
    <row r="55">
      <c r="A55" s="4" t="inlineStr">
        <is>
          <t>gob.pe</t>
        </is>
      </c>
      <c r="B55" s="4" t="inlineStr">
        <is>
          <t>Catastro Rural and Comunidades Campesinas (MIDAGRI)</t>
        </is>
      </c>
      <c r="C55" s="4" t="inlineStr">
        <is>
          <t>certificate: tls_incomplete_chain</t>
        </is>
      </c>
      <c r="D55" s="4" t="inlineStr">
        <is>
          <t>browser accepts the certificate (tls_incomplete_chain); page loads and names this dataset; not retired or discontinued; licence / terms; years covered and latest year; finest spatial unit (listed: unknown); access route; download formats</t>
        </is>
      </c>
      <c r="E55" s="4" t="inlineStr"/>
      <c r="F55" s="17" t="inlineStr">
        <is>
          <t>https://georural.midagri.gob.pe/geoservicios/rest/services/public/Catastro_Rural/MapServer/0</t>
        </is>
      </c>
      <c r="G55" s="4" t="inlineStr"/>
      <c r="H55" s="4" t="inlineStr">
        <is>
          <t>pe_midagri_catastro_rural</t>
        </is>
      </c>
    </row>
    <row r="56">
      <c r="A56" s="4" t="inlineStr">
        <is>
          <t>gob.pe</t>
        </is>
      </c>
      <c r="B56" s="4" t="inlineStr">
        <is>
          <t>Centros Poblados (capital distrital, capital provincial, centros poblados, dispersos) (IDEP/IGN/INEI)</t>
        </is>
      </c>
      <c r="C56" s="4" t="inlineStr">
        <is>
          <t>timeout</t>
        </is>
      </c>
      <c r="D56" s="4" t="inlineStr">
        <is>
          <t>page loads and names this dataset; not retired or discontinued; licence / terms; years covered and latest year; finest spatial unit (listed: unknown); access route; download formats</t>
        </is>
      </c>
      <c r="E56" s="4" t="inlineStr"/>
      <c r="F56" s="17" t="inlineStr">
        <is>
          <t>https://www.idep.gob.pe/geoportal/rest/services/DATOS_GEOESPACIALES/CENTROS_POBLADOS/FeatureServer/2</t>
        </is>
      </c>
      <c r="G56" s="17" t="inlineStr">
        <is>
          <t>https://web.archive.org/web/20250627040223/https://www.idep.gob.pe/geoportal/rest/services/DATOS_GEOESPACIALES/CENTROS_POBLADOS/FeatureServer/2</t>
        </is>
      </c>
      <c r="H56" s="4" t="inlineStr">
        <is>
          <t>pe_idep_centros_poblados</t>
        </is>
      </c>
    </row>
    <row r="57">
      <c r="A57" s="4" t="inlineStr">
        <is>
          <t>gob.pe</t>
        </is>
      </c>
      <c r="B57" s="4" t="inlineStr">
        <is>
          <t>Glaciares Huayhuash (ANA)</t>
        </is>
      </c>
      <c r="C57" s="4" t="inlineStr">
        <is>
          <t>timeout</t>
        </is>
      </c>
      <c r="D57" s="4" t="inlineStr">
        <is>
          <t>page loads and names this dataset; not retired or discontinued; licence / terms; years covered and latest year; finest spatial unit (listed: unknown); access route; download formats</t>
        </is>
      </c>
      <c r="E57" s="4" t="inlineStr"/>
      <c r="F57" s="17" t="inlineStr">
        <is>
          <t>https://geosnirh.ana.gob.pe/server/rest/services/P%C3%BAblico/Glaciares/MapServer</t>
        </is>
      </c>
      <c r="G57" s="17" t="inlineStr">
        <is>
          <t>https://web.archive.org/web/20250614185443/https://geosnirh.ana.gob.pe/server/rest/services/P%C3%BAblico/Glaciares/MapServer</t>
        </is>
      </c>
      <c r="H57" s="4" t="inlineStr">
        <is>
          <t>pe_glaciares_ana</t>
        </is>
      </c>
    </row>
    <row r="58">
      <c r="A58" s="4" t="inlineStr">
        <is>
          <t>gob.pe</t>
        </is>
      </c>
      <c r="B58" s="4" t="inlineStr">
        <is>
          <t>Inventario Bofedales Huayhuash 2023 (INAIGEM)</t>
        </is>
      </c>
      <c r="C58" s="4" t="inlineStr">
        <is>
          <t>fetcher got a challenge/empty page</t>
        </is>
      </c>
      <c r="D58" s="4" t="inlineStr">
        <is>
          <t>page loads and names this dataset; not retired or discontinued; licence / terms; years covered and latest year; finest spatial unit (listed: unknown); access route; download formats</t>
        </is>
      </c>
      <c r="E58" s="4" t="inlineStr"/>
      <c r="F58" s="17" t="inlineStr">
        <is>
          <t>https://datacochageoespacial.inaigem.gob.pe/geonetwork/srv/spa/catalog.search#/metadata/0b17e18e-2622-4158-9cc5-a31a587743df</t>
        </is>
      </c>
      <c r="G58" s="4" t="inlineStr"/>
      <c r="H58" s="4" t="inlineStr">
        <is>
          <t>pe_2023_bofedales_inaigem</t>
        </is>
      </c>
    </row>
    <row r="59">
      <c r="A59" s="4" t="inlineStr">
        <is>
          <t>gob.pe</t>
        </is>
      </c>
      <c r="B59" s="4" t="inlineStr">
        <is>
          <t>Lagos y Lagunas Huayhuash (ANA)</t>
        </is>
      </c>
      <c r="C59" s="4" t="inlineStr">
        <is>
          <t>timeout</t>
        </is>
      </c>
      <c r="D59" s="4" t="inlineStr">
        <is>
          <t>page loads and names this dataset; not retired or discontinued; licence / terms; years covered and latest year; finest spatial unit (listed: unknown); access route; download formats</t>
        </is>
      </c>
      <c r="E59" s="4" t="inlineStr"/>
      <c r="F59" s="17" t="inlineStr">
        <is>
          <t>https://geosnirh.ana.gob.pe/server/rest/services/P%C3%BAblico/Lagunas/MapServer/36</t>
        </is>
      </c>
      <c r="G59" s="17" t="inlineStr">
        <is>
          <t>https://web.archive.org/web/20250712095632/https://geosnirh.ana.gob.pe/server/rest/services/P%C3%BAblico/Lagunas/MapServer/36</t>
        </is>
      </c>
      <c r="H59" s="4" t="inlineStr">
        <is>
          <t>pe_lagunas_ana</t>
        </is>
      </c>
    </row>
    <row r="60">
      <c r="A60" s="4" t="inlineStr">
        <is>
          <t>gob.pe</t>
        </is>
      </c>
      <c r="B60" s="4" t="inlineStr">
        <is>
          <t>Limites Departamental, Provincial y Distrital (MINAM geoservidor)</t>
        </is>
      </c>
      <c r="C60" s="4" t="inlineStr">
        <is>
          <t>fetcher got a challenge/empty page</t>
        </is>
      </c>
      <c r="D60" s="4" t="inlineStr">
        <is>
          <t>page loads and names this dataset; not retired or discontinued; licence / terms; years covered and latest year; finest spatial unit (listed: unknown); access route; download formats</t>
        </is>
      </c>
      <c r="E60" s="4" t="inlineStr"/>
      <c r="F60" s="17" t="inlineStr">
        <is>
          <t>https://geoservidorperu.minam.gob.pe/arcgis/rest/services/ServicioBase/MapServer/14</t>
        </is>
      </c>
      <c r="G60" s="17" t="inlineStr">
        <is>
          <t>https://web.archive.org/web/20220818064902/https://geoservidorperu.minam.gob.pe/arcgis/rest/services/ServicioBase/MapServer/14</t>
        </is>
      </c>
      <c r="H60" s="4" t="inlineStr">
        <is>
          <t>pe_minam_limites_administrativos</t>
        </is>
      </c>
    </row>
    <row r="61">
      <c r="A61" s="4" t="inlineStr">
        <is>
          <t>gob.pe</t>
        </is>
      </c>
      <c r="B61" s="4" t="inlineStr">
        <is>
          <t>Ríos Huayhuash</t>
        </is>
      </c>
      <c r="C61" s="4" t="inlineStr">
        <is>
          <t>timeout</t>
        </is>
      </c>
      <c r="D61" s="4" t="inlineStr">
        <is>
          <t>page loads and names this dataset; not retired or discontinued; licence / terms; years covered and latest year; finest spatial unit (listed: unknown); access route; download formats</t>
        </is>
      </c>
      <c r="E61" s="4" t="inlineStr"/>
      <c r="F61" s="17" t="inlineStr">
        <is>
          <t>https://geosnirh.ana.gob.pe/server/rest/services/P%C3%BAblico/Rios/MapServer/37</t>
        </is>
      </c>
      <c r="G61" s="17" t="inlineStr">
        <is>
          <t>https://web.archive.org/web/20250715095938/https://geosnirh.ana.gob.pe/server/rest/services/P%C3%BAblico/Rios/MapServer/37</t>
        </is>
      </c>
      <c r="H61" s="4" t="inlineStr">
        <is>
          <t>gaia_hh_rios_ana</t>
        </is>
      </c>
    </row>
    <row r="62">
      <c r="A62" s="4" t="inlineStr">
        <is>
          <t>grid3.org</t>
        </is>
      </c>
      <c r="B62" s="4" t="inlineStr">
        <is>
          <t>GRID3 settlement extents (v3, 52 sub-Saharan African countries) and GRID3 health facilities, boundaries, population datasets</t>
        </is>
      </c>
      <c r="C62" s="4" t="inlineStr">
        <is>
          <t>fetcher got a challenge/empty page</t>
        </is>
      </c>
      <c r="D62" s="4" t="inlineStr">
        <is>
          <t>page loads and names this dataset; not retired or discontinued; licence / terms; years covered and latest year; finest spatial unit (listed: point); access route; download formats</t>
        </is>
      </c>
      <c r="E62" s="4" t="inlineStr"/>
      <c r="F62" s="17" t="inlineStr">
        <is>
          <t>https://data.grid3.org/</t>
        </is>
      </c>
      <c r="G62" s="17" t="inlineStr">
        <is>
          <t>https://web.archive.org/web/20261017073704/https://data.grid3.org/</t>
        </is>
      </c>
      <c r="H62" s="4" t="inlineStr">
        <is>
          <t>af_grid3_settlement_extents</t>
        </is>
      </c>
    </row>
    <row r="63">
      <c r="A63" s="4" t="inlineStr">
        <is>
          <t>harvard.edu</t>
        </is>
      </c>
      <c r="B63" s="4" t="inlineStr">
        <is>
          <t>CIESIN subcollection (rescued SEDAC datasets) on Harvard Dataverse, CAFE collection</t>
        </is>
      </c>
      <c r="C63" s="4" t="inlineStr">
        <is>
          <t>blocked_bot (401/403/202 challenge)</t>
        </is>
      </c>
      <c r="D63" s="4" t="inlineStr">
        <is>
          <t>page loads and names this dataset; not retired or discontinued; licence / terms; years covered and latest year; finest spatial unit (listed: unknown); access route; download formats</t>
        </is>
      </c>
      <c r="E63" s="4" t="inlineStr"/>
      <c r="F63" s="17" t="inlineStr">
        <is>
          <t>https://dataverse.harvard.edu/dataverse/ciesin</t>
        </is>
      </c>
      <c r="G63" s="17" t="inlineStr">
        <is>
          <t>https://web.archive.org/web/20260519125200/https://dataverse.harvard.edu/dataverse/ciesin</t>
        </is>
      </c>
      <c r="H63" s="4" t="inlineStr">
        <is>
          <t>global_ciesin_harvard_dataverse_sedac_collection</t>
        </is>
      </c>
    </row>
    <row r="64">
      <c r="A64" s="4" t="inlineStr">
        <is>
          <t>harvard.edu</t>
        </is>
      </c>
      <c r="B64" s="4" t="inlineStr">
        <is>
          <t>Harvard Dataverse (listing)</t>
        </is>
      </c>
      <c r="C64" s="4" t="inlineStr">
        <is>
          <t>blocked_bot (401/403/202 challenge)</t>
        </is>
      </c>
      <c r="D64" s="4" t="inlineStr">
        <is>
          <t>page loads and names this dataset; not retired or discontinued; licence / terms; years covered and latest year; finest spatial unit (listed: unknown); access route; download formats</t>
        </is>
      </c>
      <c r="E64" s="4" t="inlineStr"/>
      <c r="F64" s="17" t="inlineStr">
        <is>
          <t>https://dataverse.harvard.edu/</t>
        </is>
      </c>
      <c r="G64" s="17" t="inlineStr">
        <is>
          <t>https://web.archive.org/web/20261016002746/https://dataverse.harvard.edu/</t>
        </is>
      </c>
      <c r="H64" s="4" t="inlineStr">
        <is>
          <t>us_harvard_dataverse</t>
        </is>
      </c>
    </row>
    <row r="65">
      <c r="A65" s="4" t="inlineStr">
        <is>
          <t>healthdata.org</t>
        </is>
      </c>
      <c r="B65" s="4" t="inlineStr">
        <is>
          <t>GBD 2021 Air Pollution Exposure Estimates 1990-2021 (ambient PM2.5, ozone, household air pollution)</t>
        </is>
      </c>
      <c r="C65" s="4" t="inlineStr">
        <is>
          <t>fetcher got a challenge/empty page</t>
        </is>
      </c>
      <c r="D65" s="4" t="inlineStr">
        <is>
          <t>page loads and names this dataset; not retired or discontinued; licence / terms; years covered and latest year; finest spatial unit (listed: grid_0.1deg); access route; download formats</t>
        </is>
      </c>
      <c r="E65" s="4" t="inlineStr"/>
      <c r="F65" s="17" t="inlineStr">
        <is>
          <t>https://ghdx.healthdata.org/record/ihme-data/gbd-2021-air-pollution-exposure-estimates-1990-2021</t>
        </is>
      </c>
      <c r="G65" s="17" t="inlineStr">
        <is>
          <t>https://web.archive.org/web/20260327205246/https://ghdx.healthdata.org/record/ihme-data/gbd-2021-air-pollution-exposure-estimates-1990-2021</t>
        </is>
      </c>
      <c r="H65" s="4" t="inlineStr">
        <is>
          <t>global_ihme_gbd_air_pollution_exposure</t>
        </is>
      </c>
    </row>
    <row r="66">
      <c r="A66" s="4" t="inlineStr">
        <is>
          <t>heat.gov</t>
        </is>
      </c>
      <c r="B66" s="4" t="inlineStr">
        <is>
          <t>NIHHIS heat.gov</t>
        </is>
      </c>
      <c r="C66" s="4" t="inlineStr">
        <is>
          <t>blocked_bot (401/403/202 challenge)</t>
        </is>
      </c>
      <c r="D66" s="4" t="inlineStr">
        <is>
          <t>page loads and names this dataset; not retired or discontinued; licence / terms; years covered and latest year; finest spatial unit (listed: unknown); access route; download formats</t>
        </is>
      </c>
      <c r="E66" s="4" t="inlineStr"/>
      <c r="F66" s="17" t="inlineStr">
        <is>
          <t>https://www.heat.gov/</t>
        </is>
      </c>
      <c r="G66" s="17" t="inlineStr">
        <is>
          <t>https://web.archive.org/web/20261017075152/https://www.heat.gov/</t>
        </is>
      </c>
      <c r="H66" s="4" t="inlineStr">
        <is>
          <t>us_noaa_nihhis_heat_gov</t>
        </is>
      </c>
    </row>
    <row r="67">
      <c r="A67" s="4" t="inlineStr">
        <is>
          <t>hhearprogram.org</t>
        </is>
      </c>
      <c r="B67" s="4" t="inlineStr">
        <is>
          <t>Human Health Exposure Analysis Resource (HHEAR, formerly CHEAR)</t>
        </is>
      </c>
      <c r="C67" s="4" t="inlineStr">
        <is>
          <t>timeout</t>
        </is>
      </c>
      <c r="D67" s="4" t="inlineStr">
        <is>
          <t>page loads and names this dataset; not retired or discontinued; licence / terms; years covered and latest year; finest spatial unit (listed: unknown); access route; download formats</t>
        </is>
      </c>
      <c r="E67" s="4" t="inlineStr"/>
      <c r="F67" s="17" t="inlineStr">
        <is>
          <t>https://hhearprogram.org/</t>
        </is>
      </c>
      <c r="G67" s="17" t="inlineStr">
        <is>
          <t>https://web.archive.org/web/20260323022914/https://hhearprogram.org/</t>
        </is>
      </c>
      <c r="H67" s="4" t="inlineStr">
        <is>
          <t>us_niehs_hhear</t>
        </is>
      </c>
    </row>
    <row r="68">
      <c r="A68" s="4" t="inlineStr">
        <is>
          <t>huduser.gov</t>
        </is>
      </c>
      <c r="B68" s="4" t="inlineStr">
        <is>
          <t>HUD Aggregated USPS Administrative Data on Address Vacancies</t>
        </is>
      </c>
      <c r="C68" s="4" t="inlineStr">
        <is>
          <t>blocked_bot (401/403/202 challenge)</t>
        </is>
      </c>
      <c r="D68" s="4" t="inlineStr">
        <is>
          <t>page loads and names this dataset; not retired or discontinued; licence / terms; years covered and latest year; finest spatial unit (listed: tract); access route; download formats</t>
        </is>
      </c>
      <c r="E68" s="4" t="inlineStr">
        <is>
          <t>yes</t>
        </is>
      </c>
      <c r="F68" s="17" t="inlineStr">
        <is>
          <t>https://www.huduser.gov/portal/datasets/usps.html</t>
        </is>
      </c>
      <c r="G68" s="17" t="inlineStr">
        <is>
          <t>https://web.archive.org/web/20261015235729/https://www.huduser.gov/portal/datasets/usps.html</t>
        </is>
      </c>
      <c r="H68" s="4" t="inlineStr">
        <is>
          <t>us_hud_usps_vacancy</t>
        </is>
      </c>
    </row>
    <row r="69">
      <c r="A69" s="4" t="inlineStr">
        <is>
          <t>huduser.gov</t>
        </is>
      </c>
      <c r="B69" s="4" t="inlineStr">
        <is>
          <t>Picture of Subsidized Households</t>
        </is>
      </c>
      <c r="C69" s="4" t="inlineStr">
        <is>
          <t>blocked_bot (401/403/202 challenge)</t>
        </is>
      </c>
      <c r="D69" s="4" t="inlineStr">
        <is>
          <t>page loads and names this dataset; not retired or discontinued; licence / terms; years covered and latest year; finest spatial unit (listed: tract); access route; download formats</t>
        </is>
      </c>
      <c r="E69" s="4" t="inlineStr">
        <is>
          <t>yes</t>
        </is>
      </c>
      <c r="F69" s="17" t="inlineStr">
        <is>
          <t>https://www.huduser.gov/portal/datasets/assthsg.html</t>
        </is>
      </c>
      <c r="G69" s="17" t="inlineStr">
        <is>
          <t>https://web.archive.org/web/20261017030107/https://www.huduser.gov/portal/datasets/assthsg.html</t>
        </is>
      </c>
      <c r="H69" s="4" t="inlineStr">
        <is>
          <t>us_hud_picture_of_subsidized_households</t>
        </is>
      </c>
    </row>
    <row r="70">
      <c r="A70" s="4" t="inlineStr">
        <is>
          <t>huduser.gov</t>
        </is>
      </c>
      <c r="B70" s="4" t="inlineStr">
        <is>
          <t>HUD-USPS ZIP Code Crosswalk Files</t>
        </is>
      </c>
      <c r="C70" s="4" t="inlineStr">
        <is>
          <t>blocked_bot (401/403/202 challenge)</t>
        </is>
      </c>
      <c r="D70" s="4" t="inlineStr">
        <is>
          <t>page loads and names this dataset; not retired or discontinued; licence / terms; years covered and latest year; finest spatial unit (listed: tract); access route; download formats</t>
        </is>
      </c>
      <c r="E70" s="4" t="inlineStr"/>
      <c r="F70" s="17" t="inlineStr">
        <is>
          <t>https://www.huduser.gov/portal/datasets/usps_crosswalk.html</t>
        </is>
      </c>
      <c r="G70" s="17" t="inlineStr">
        <is>
          <t>https://web.archive.org/web/20261014184547/https://www.huduser.gov/portal/datasets/usps_crosswalk.html</t>
        </is>
      </c>
      <c r="H70" s="4" t="inlineStr">
        <is>
          <t>us_hud_usps_zip_crosswalk</t>
        </is>
      </c>
    </row>
    <row r="71">
      <c r="A71" s="4" t="inlineStr">
        <is>
          <t>huduser.gov</t>
        </is>
      </c>
      <c r="B71" s="4" t="inlineStr">
        <is>
          <t>Low-Income Housing Tax Credit (LIHTC) Database</t>
        </is>
      </c>
      <c r="C71" s="4" t="inlineStr">
        <is>
          <t>blocked_bot (401/403/202 challenge)</t>
        </is>
      </c>
      <c r="D71" s="4" t="inlineStr">
        <is>
          <t>page loads and names this dataset; not retired or discontinued; licence / terms; years covered and latest year; finest spatial unit (listed: point); access route; download formats</t>
        </is>
      </c>
      <c r="E71" s="4" t="inlineStr"/>
      <c r="F71" s="17" t="inlineStr">
        <is>
          <t>https://www.huduser.gov/portal/datasets/lihtc.html</t>
        </is>
      </c>
      <c r="G71" s="17" t="inlineStr">
        <is>
          <t>https://web.archive.org/web/20261016061218/https://www.huduser.gov/portal/datasets/lihtc.html</t>
        </is>
      </c>
      <c r="H71" s="4" t="inlineStr">
        <is>
          <t>us_hud_lihtc</t>
        </is>
      </c>
    </row>
    <row r="72">
      <c r="A72" s="4" t="inlineStr">
        <is>
          <t>huduser.gov</t>
        </is>
      </c>
      <c r="B72" s="4" t="inlineStr">
        <is>
          <t>Qualified Census Tracts (QCT) and Difficult Development Areas (DDA)</t>
        </is>
      </c>
      <c r="C72" s="4" t="inlineStr">
        <is>
          <t>blocked_bot (401/403/202 challenge)</t>
        </is>
      </c>
      <c r="D72" s="4" t="inlineStr">
        <is>
          <t>page loads and names this dataset; not retired or discontinued; licence / terms; years covered and latest year; finest spatial unit (listed: tract); access route; download formats</t>
        </is>
      </c>
      <c r="E72" s="4" t="inlineStr"/>
      <c r="F72" s="17" t="inlineStr">
        <is>
          <t>https://www.huduser.gov/portal/datasets/qct.html</t>
        </is>
      </c>
      <c r="G72" s="17" t="inlineStr">
        <is>
          <t>https://web.archive.org/web/20261014184545/https://www.huduser.gov/portal/datasets/qct.html</t>
        </is>
      </c>
      <c r="H72" s="4" t="inlineStr">
        <is>
          <t>us_hud_qct_dda</t>
        </is>
      </c>
    </row>
    <row r="73">
      <c r="A73" s="4" t="inlineStr">
        <is>
          <t>humdata.org</t>
        </is>
      </c>
      <c r="B73" s="4" t="inlineStr">
        <is>
          <t>COX'S Bazar District - Teknaf and Ukhia Upazila Para and Ward Locations</t>
        </is>
      </c>
      <c r="C73" s="4" t="inlineStr">
        <is>
          <t>blocked_bot (401/403/202 challenge)</t>
        </is>
      </c>
      <c r="D73" s="4" t="inlineStr">
        <is>
          <t>page loads and names this dataset; not retired or discontinued; licence / terms; years covered and latest year; finest spatial unit (listed: admin2); access route; download formats</t>
        </is>
      </c>
      <c r="E73" s="4" t="inlineStr">
        <is>
          <t>yes</t>
        </is>
      </c>
      <c r="F73" s="17" t="inlineStr">
        <is>
          <t>https://data.humdata.org/dataset/cox-s-bazar-district-teknaf-and-ukhia-upazila-para-and-ward-locations</t>
        </is>
      </c>
      <c r="G73" s="17" t="inlineStr">
        <is>
          <t>https://web.archive.org/web/20221212215339/https://data.humdata.org/dataset/cox-s-bazar-district-teknaf-and-ukhia-upazila-para-and-ward-locations</t>
        </is>
      </c>
      <c r="H73" s="4" t="inlineStr">
        <is>
          <t>hdx_cox_s_bazar_district_teknaf_and_ukhia_upazila_para_and</t>
        </is>
      </c>
    </row>
    <row r="74">
      <c r="A74" s="4" t="inlineStr">
        <is>
          <t>humdata.org</t>
        </is>
      </c>
      <c r="B74" s="4" t="inlineStr">
        <is>
          <t>Kenya - Household income statistics in Bomet county</t>
        </is>
      </c>
      <c r="C74" s="4" t="inlineStr">
        <is>
          <t>blocked_bot (401/403/202 challenge)</t>
        </is>
      </c>
      <c r="D74" s="4" t="inlineStr">
        <is>
          <t>page loads and names this dataset; not retired or discontinued; licence / terms; years covered and latest year; finest spatial unit (listed: county); access route; download formats</t>
        </is>
      </c>
      <c r="E74" s="4" t="inlineStr">
        <is>
          <t>yes</t>
        </is>
      </c>
      <c r="F74" s="17" t="inlineStr">
        <is>
          <t>https://data.humdata.org/dataset/kenya-household-income-statistics-in-bomet-county</t>
        </is>
      </c>
      <c r="G74" s="17" t="inlineStr">
        <is>
          <t>https://web.archive.org/web/20220926125504/https://data.humdata.org/dataset/kenya-household-income-statistics-in-bomet-county</t>
        </is>
      </c>
      <c r="H74" s="4" t="inlineStr">
        <is>
          <t>hdx_kenya_household_income_statistics_in_bomet_county</t>
        </is>
      </c>
    </row>
    <row r="75">
      <c r="A75" s="4" t="inlineStr">
        <is>
          <t>humdata.org</t>
        </is>
      </c>
      <c r="B75" s="4" t="inlineStr">
        <is>
          <t>Brazil: Epidemiological and hospital indicators on covid-19 in Ouro Preto</t>
        </is>
      </c>
      <c r="C75" s="4" t="inlineStr">
        <is>
          <t>blocked_bot (401/403/202 challenge)</t>
        </is>
      </c>
      <c r="D75" s="4" t="inlineStr">
        <is>
          <t>page loads and names this dataset; not retired or discontinued; licence / terms; years covered and latest year; finest spatial unit (listed: point); access route; download formats</t>
        </is>
      </c>
      <c r="E75" s="4" t="inlineStr"/>
      <c r="F75" s="17" t="inlineStr">
        <is>
          <t>https://data.humdata.org/dataset/brazil-epidemiological-and-hospital-indicators-on-covid-19-in-ouro-preto</t>
        </is>
      </c>
      <c r="G75" s="17" t="inlineStr">
        <is>
          <t>https://web.archive.org/web/20260306020404/https://data.humdata.org/dataset/brazil-epidemiological-and-hospital-indicators-on-covid-19-in-ouro-preto</t>
        </is>
      </c>
      <c r="H75" s="4" t="inlineStr">
        <is>
          <t>hdx_brazil_epidemiological_and_hospital_indicators_on_covid</t>
        </is>
      </c>
    </row>
    <row r="76">
      <c r="A76" s="4" t="inlineStr">
        <is>
          <t>humdata.org</t>
        </is>
      </c>
      <c r="B76" s="4" t="inlineStr">
        <is>
          <t>Colombia: Health Facilities</t>
        </is>
      </c>
      <c r="C76" s="4" t="inlineStr">
        <is>
          <t>blocked_bot (401/403/202 challenge)</t>
        </is>
      </c>
      <c r="D76" s="4" t="inlineStr">
        <is>
          <t>page loads and names this dataset; not retired or discontinued; licence / terms; years covered and latest year; finest spatial unit (listed: point); access route; download formats</t>
        </is>
      </c>
      <c r="E76" s="4" t="inlineStr"/>
      <c r="F76" s="17" t="inlineStr">
        <is>
          <t>https://data.humdata.org/dataset/colombia-health-facilities-2021</t>
        </is>
      </c>
      <c r="G76" s="17" t="inlineStr">
        <is>
          <t>https://web.archive.org/web/20260204173039/https://data.humdata.org/dataset/colombia-health-facilities-2021</t>
        </is>
      </c>
      <c r="H76" s="4" t="inlineStr">
        <is>
          <t>hdx_colombia_health_facilities</t>
        </is>
      </c>
    </row>
    <row r="77">
      <c r="A77" s="4" t="inlineStr">
        <is>
          <t>humdata.org</t>
        </is>
      </c>
      <c r="B77" s="4" t="inlineStr">
        <is>
          <t>Ethiopia - Health Facilities</t>
        </is>
      </c>
      <c r="C77" s="4" t="inlineStr">
        <is>
          <t>blocked_bot (401/403/202 challenge)</t>
        </is>
      </c>
      <c r="D77" s="4" t="inlineStr">
        <is>
          <t>page loads and names this dataset; not retired or discontinued; licence / terms; years covered and latest year; finest spatial unit (listed: point); access route; download formats</t>
        </is>
      </c>
      <c r="E77" s="4" t="inlineStr"/>
      <c r="F77" s="17" t="inlineStr">
        <is>
          <t>https://data.humdata.org/dataset/ethiopian-health-facilities</t>
        </is>
      </c>
      <c r="G77" s="17" t="inlineStr">
        <is>
          <t>https://web.archive.org/web/20260311165304/https://data.humdata.org/dataset/ethiopian-health-facilities</t>
        </is>
      </c>
      <c r="H77" s="4" t="inlineStr">
        <is>
          <t>hdx_ethiopia_health_facilities</t>
        </is>
      </c>
    </row>
    <row r="78">
      <c r="A78" s="4" t="inlineStr">
        <is>
          <t>humdata.org</t>
        </is>
      </c>
      <c r="B78" s="4" t="inlineStr">
        <is>
          <t>Ethiopia - Market Centers</t>
        </is>
      </c>
      <c r="C78" s="4" t="inlineStr">
        <is>
          <t>blocked_bot (401/403/202 challenge)</t>
        </is>
      </c>
      <c r="D78" s="4" t="inlineStr">
        <is>
          <t>page loads and names this dataset; not retired or discontinued; licence / terms; years covered and latest year; finest spatial unit (listed: point); access route; download formats</t>
        </is>
      </c>
      <c r="E78" s="4" t="inlineStr"/>
      <c r="F78" s="17" t="inlineStr">
        <is>
          <t>https://data.humdata.org/dataset/ethiopia-market-centers</t>
        </is>
      </c>
      <c r="G78" s="17" t="inlineStr">
        <is>
          <t>https://web.archive.org/web/20260311165446/https://data.humdata.org/dataset/ethiopia-market-centers</t>
        </is>
      </c>
      <c r="H78" s="4" t="inlineStr">
        <is>
          <t>hdx_ethiopia_market_centers</t>
        </is>
      </c>
    </row>
    <row r="79">
      <c r="A79" s="4" t="inlineStr">
        <is>
          <t>humdata.org</t>
        </is>
      </c>
      <c r="B79" s="4" t="inlineStr">
        <is>
          <t>Food Market Locations</t>
        </is>
      </c>
      <c r="C79" s="4" t="inlineStr">
        <is>
          <t>blocked_bot (401/403/202 challenge)</t>
        </is>
      </c>
      <c r="D79" s="4" t="inlineStr">
        <is>
          <t>page loads and names this dataset; not retired or discontinued; licence / terms; years covered and latest year; finest spatial unit (listed: point); access route; download formats</t>
        </is>
      </c>
      <c r="E79" s="4" t="inlineStr"/>
      <c r="F79" s="17" t="inlineStr">
        <is>
          <t>https://data.humdata.org/dataset/food-market-locations</t>
        </is>
      </c>
      <c r="G79" s="4" t="inlineStr"/>
      <c r="H79" s="4" t="inlineStr">
        <is>
          <t>hdx_food_market_locations</t>
        </is>
      </c>
    </row>
    <row r="80">
      <c r="A80" s="4" t="inlineStr">
        <is>
          <t>humdata.org</t>
        </is>
      </c>
      <c r="B80" s="4" t="inlineStr">
        <is>
          <t>Global: Reported number of pregnant women presenting at antenatal clinics (ANC) who were tested for HIV or already knew their HIV positive status</t>
        </is>
      </c>
      <c r="C80" s="4" t="inlineStr">
        <is>
          <t>blocked_bot (401/403/202 challenge)</t>
        </is>
      </c>
      <c r="D80" s="4" t="inlineStr">
        <is>
          <t>page loads and names this dataset; not retired or discontinued; licence / terms; years covered and latest year; finest spatial unit (listed: point); access route; download formats</t>
        </is>
      </c>
      <c r="E80" s="4" t="inlineStr"/>
      <c r="F80" s="17" t="inlineStr">
        <is>
          <t>https://data.humdata.org/dataset/unicef-hva-pmtct-stat-num</t>
        </is>
      </c>
      <c r="G80" s="17" t="inlineStr">
        <is>
          <t>https://web.archive.org/web/20250418044437/https://data.humdata.org/dataset/unicef-hva-pmtct-stat-num</t>
        </is>
      </c>
      <c r="H80" s="4" t="inlineStr">
        <is>
          <t>hdx_global_reported_number_of_pregnant_women_presenting_at</t>
        </is>
      </c>
    </row>
    <row r="81">
      <c r="A81" s="4" t="inlineStr">
        <is>
          <t>humdata.org</t>
        </is>
      </c>
      <c r="B81" s="4" t="inlineStr">
        <is>
          <t>Health Facilities of Ghana</t>
        </is>
      </c>
      <c r="C81" s="4" t="inlineStr">
        <is>
          <t>blocked_bot (401/403/202 challenge)</t>
        </is>
      </c>
      <c r="D81" s="4" t="inlineStr">
        <is>
          <t>page loads and names this dataset; not retired or discontinued; licence / terms; years covered and latest year; finest spatial unit (listed: point); access route; download formats</t>
        </is>
      </c>
      <c r="E81" s="4" t="inlineStr"/>
      <c r="F81" s="17" t="inlineStr">
        <is>
          <t>https://data.humdata.org/dataset/hotosm_gha_health_facilities</t>
        </is>
      </c>
      <c r="G81" s="17" t="inlineStr">
        <is>
          <t>https://web.archive.org/web/20260212074044/https://data.humdata.org/dataset/hotosm_gha_health_facilities</t>
        </is>
      </c>
      <c r="H81" s="4" t="inlineStr">
        <is>
          <t>hdx_health_facilities_of_ghana</t>
        </is>
      </c>
    </row>
    <row r="82">
      <c r="A82" s="4" t="inlineStr">
        <is>
          <t>humdata.org</t>
        </is>
      </c>
      <c r="B82" s="4" t="inlineStr">
        <is>
          <t>Health Facilities of India</t>
        </is>
      </c>
      <c r="C82" s="4" t="inlineStr">
        <is>
          <t>blocked_bot (401/403/202 challenge)</t>
        </is>
      </c>
      <c r="D82" s="4" t="inlineStr">
        <is>
          <t>page loads and names this dataset; not retired or discontinued; licence / terms; years covered and latest year; finest spatial unit (listed: point); access route; download formats</t>
        </is>
      </c>
      <c r="E82" s="4" t="inlineStr"/>
      <c r="F82" s="17" t="inlineStr">
        <is>
          <t>https://data.humdata.org/dataset/hotosm_ind_health_facilities</t>
        </is>
      </c>
      <c r="G82" s="4" t="inlineStr"/>
      <c r="H82" s="4" t="inlineStr">
        <is>
          <t>hdx_health_facilities_of_india</t>
        </is>
      </c>
    </row>
    <row r="83">
      <c r="A83" s="4" t="inlineStr">
        <is>
          <t>humdata.org</t>
        </is>
      </c>
      <c r="B83" s="4" t="inlineStr">
        <is>
          <t>Health Facilities of Indonesia</t>
        </is>
      </c>
      <c r="C83" s="4" t="inlineStr">
        <is>
          <t>blocked_bot (401/403/202 challenge)</t>
        </is>
      </c>
      <c r="D83" s="4" t="inlineStr">
        <is>
          <t>page loads and names this dataset; not retired or discontinued; licence / terms; years covered and latest year; finest spatial unit (listed: point); access route; download formats</t>
        </is>
      </c>
      <c r="E83" s="4" t="inlineStr"/>
      <c r="F83" s="17" t="inlineStr">
        <is>
          <t>https://data.humdata.org/dataset/hotosm_idn_health_facilities</t>
        </is>
      </c>
      <c r="G83" s="17" t="inlineStr">
        <is>
          <t>https://web.archive.org/web/20260131010112/https://data.humdata.org/dataset/hotosm_idn_health_facilities</t>
        </is>
      </c>
      <c r="H83" s="4" t="inlineStr">
        <is>
          <t>hdx_health_facilities_of_indonesia</t>
        </is>
      </c>
    </row>
    <row r="84">
      <c r="A84" s="4" t="inlineStr">
        <is>
          <t>humdata.org</t>
        </is>
      </c>
      <c r="B84" s="4" t="inlineStr">
        <is>
          <t>Health Facilities of Kenya</t>
        </is>
      </c>
      <c r="C84" s="4" t="inlineStr">
        <is>
          <t>blocked_bot (401/403/202 challenge)</t>
        </is>
      </c>
      <c r="D84" s="4" t="inlineStr">
        <is>
          <t>page loads and names this dataset; not retired or discontinued; licence / terms; years covered and latest year; finest spatial unit (listed: point); access route; download formats</t>
        </is>
      </c>
      <c r="E84" s="4" t="inlineStr"/>
      <c r="F84" s="17" t="inlineStr">
        <is>
          <t>https://data.humdata.org/dataset/hotosm_ken_health_facilities</t>
        </is>
      </c>
      <c r="G84" s="17" t="inlineStr">
        <is>
          <t>https://web.archive.org/web/20260120051822/https://data.humdata.org/dataset/hotosm_ken_health_facilities</t>
        </is>
      </c>
      <c r="H84" s="4" t="inlineStr">
        <is>
          <t>hdx_health_facilities_of_kenya</t>
        </is>
      </c>
    </row>
    <row r="85">
      <c r="A85" s="4" t="inlineStr">
        <is>
          <t>humdata.org</t>
        </is>
      </c>
      <c r="B85" s="4" t="inlineStr">
        <is>
          <t>Health Facilities of Philippines</t>
        </is>
      </c>
      <c r="C85" s="4" t="inlineStr">
        <is>
          <t>blocked_bot (401/403/202 challenge)</t>
        </is>
      </c>
      <c r="D85" s="4" t="inlineStr">
        <is>
          <t>page loads and names this dataset; not retired or discontinued; licence / terms; years covered and latest year; finest spatial unit (listed: point); access route; download formats</t>
        </is>
      </c>
      <c r="E85" s="4" t="inlineStr"/>
      <c r="F85" s="17" t="inlineStr">
        <is>
          <t>https://data.humdata.org/dataset/hotosm_phl_health_facilities</t>
        </is>
      </c>
      <c r="G85" s="17" t="inlineStr">
        <is>
          <t>https://web.archive.org/web/20260224064145/https://data.humdata.org/dataset/hotosm_phl_health_facilities</t>
        </is>
      </c>
      <c r="H85" s="4" t="inlineStr">
        <is>
          <t>hdx_health_facilities_of_philippines</t>
        </is>
      </c>
    </row>
    <row r="86">
      <c r="A86" s="4" t="inlineStr">
        <is>
          <t>humdata.org</t>
        </is>
      </c>
      <c r="B86" s="4" t="inlineStr">
        <is>
          <t>Hospitals of Nepal</t>
        </is>
      </c>
      <c r="C86" s="4" t="inlineStr">
        <is>
          <t>blocked_bot (401/403/202 challenge)</t>
        </is>
      </c>
      <c r="D86" s="4" t="inlineStr">
        <is>
          <t>page loads and names this dataset; not retired or discontinued; licence / terms; years covered and latest year; finest spatial unit (listed: point); access route; download formats</t>
        </is>
      </c>
      <c r="E86" s="4" t="inlineStr"/>
      <c r="F86" s="17" t="inlineStr">
        <is>
          <t>https://data.humdata.org/dataset/osgeonepal_npl_hospitals</t>
        </is>
      </c>
      <c r="G86" s="17" t="inlineStr">
        <is>
          <t>https://web.archive.org/web/20260411071142/https://data.humdata.org/dataset/osgeonepal_npl_hospitals</t>
        </is>
      </c>
      <c r="H86" s="4" t="inlineStr">
        <is>
          <t>hdx_hospitals_of_nepal</t>
        </is>
      </c>
    </row>
    <row r="87">
      <c r="A87" s="4" t="inlineStr">
        <is>
          <t>humdata.org</t>
        </is>
      </c>
      <c r="B87" s="4" t="inlineStr">
        <is>
          <t>Nigeria: Health facilities</t>
        </is>
      </c>
      <c r="C87" s="4" t="inlineStr">
        <is>
          <t>blocked_bot (401/403/202 challenge)</t>
        </is>
      </c>
      <c r="D87" s="4" t="inlineStr">
        <is>
          <t>page loads and names this dataset; not retired or discontinued; licence / terms; years covered and latest year; finest spatial unit (listed: point); access route; download formats</t>
        </is>
      </c>
      <c r="E87" s="4" t="inlineStr"/>
      <c r="F87" s="17" t="inlineStr">
        <is>
          <t>https://data.humdata.org/dataset/nigeria-health-facilities</t>
        </is>
      </c>
      <c r="G87" s="17" t="inlineStr">
        <is>
          <t>https://web.archive.org/web/20260210235610/https://data.humdata.org/dataset/nigeria-health-facilities</t>
        </is>
      </c>
      <c r="H87" s="4" t="inlineStr">
        <is>
          <t>hdx_nigeria_health_facilities</t>
        </is>
      </c>
    </row>
    <row r="88">
      <c r="A88" s="4" t="inlineStr">
        <is>
          <t>humdata.org</t>
        </is>
      </c>
      <c r="B88" s="4" t="inlineStr">
        <is>
          <t>Nigeria: Hospitals and Clinics with registration status and Location</t>
        </is>
      </c>
      <c r="C88" s="4" t="inlineStr">
        <is>
          <t>blocked_bot (401/403/202 challenge)</t>
        </is>
      </c>
      <c r="D88" s="4" t="inlineStr">
        <is>
          <t>page loads and names this dataset; not retired or discontinued; licence / terms; years covered and latest year; finest spatial unit (listed: point); access route; download formats</t>
        </is>
      </c>
      <c r="E88" s="4" t="inlineStr"/>
      <c r="F88" s="17" t="inlineStr">
        <is>
          <t>https://data.humdata.org/dataset/nigeria-hospitals-and-clinics-with-registration-status-and-location</t>
        </is>
      </c>
      <c r="G88" s="17" t="inlineStr">
        <is>
          <t>https://web.archive.org/web/20260210235810/https://data.humdata.org/dataset/nigeria-hospitals-and-clinics-with-registration-status-and-location</t>
        </is>
      </c>
      <c r="H88" s="4" t="inlineStr">
        <is>
          <t>hdx_nigeria_hospitals_and_clinics_with_registration_status</t>
        </is>
      </c>
    </row>
    <row r="89">
      <c r="A89" s="4" t="inlineStr">
        <is>
          <t>humdata.org</t>
        </is>
      </c>
      <c r="B89" s="4" t="inlineStr">
        <is>
          <t>Public Hospitals in Myanmar</t>
        </is>
      </c>
      <c r="C89" s="4" t="inlineStr">
        <is>
          <t>blocked_bot (401/403/202 challenge)</t>
        </is>
      </c>
      <c r="D89" s="4" t="inlineStr">
        <is>
          <t>page loads and names this dataset; not retired or discontinued; licence / terms; years covered and latest year; finest spatial unit (listed: point); access route; download formats</t>
        </is>
      </c>
      <c r="E89" s="4" t="inlineStr"/>
      <c r="F89" s="17" t="inlineStr">
        <is>
          <t>https://data.humdata.org/dataset/mimu-geonode-public-hospitals-in-myanmar</t>
        </is>
      </c>
      <c r="G89" s="17" t="inlineStr">
        <is>
          <t>https://web.archive.org/web/20260928130304/https://data.humdata.org/dataset/mimu-geonode-public-hospitals-in-myanmar</t>
        </is>
      </c>
      <c r="H89" s="4" t="inlineStr">
        <is>
          <t>hdx_public_hospitals_in_myanmar</t>
        </is>
      </c>
    </row>
    <row r="90">
      <c r="A90" s="4" t="inlineStr">
        <is>
          <t>humdata.org</t>
        </is>
      </c>
      <c r="B90" s="4" t="inlineStr">
        <is>
          <t>Somalia - Health Facilities</t>
        </is>
      </c>
      <c r="C90" s="4" t="inlineStr">
        <is>
          <t>blocked_bot (401/403/202 challenge)</t>
        </is>
      </c>
      <c r="D90" s="4" t="inlineStr">
        <is>
          <t>page loads and names this dataset; not retired or discontinued; licence / terms; years covered and latest year; finest spatial unit (listed: point); access route; download formats</t>
        </is>
      </c>
      <c r="E90" s="4" t="inlineStr"/>
      <c r="F90" s="17" t="inlineStr">
        <is>
          <t>https://data.humdata.org/dataset/somalia-health-facilities-data</t>
        </is>
      </c>
      <c r="G90" s="17" t="inlineStr">
        <is>
          <t>https://web.archive.org/web/20260227134533/https://data.humdata.org/dataset/somalia-health-facilities-data</t>
        </is>
      </c>
      <c r="H90" s="4" t="inlineStr">
        <is>
          <t>hdx_somalia_health_facilities</t>
        </is>
      </c>
    </row>
    <row r="91">
      <c r="A91" s="4" t="inlineStr">
        <is>
          <t>humdata.org</t>
        </is>
      </c>
      <c r="B91" s="4" t="inlineStr">
        <is>
          <t>Sudan: Prevalence of diseases in outpatient clinics per state</t>
        </is>
      </c>
      <c r="C91" s="4" t="inlineStr">
        <is>
          <t>blocked_bot (401/403/202 challenge)</t>
        </is>
      </c>
      <c r="D91" s="4" t="inlineStr">
        <is>
          <t>page loads and names this dataset; not retired or discontinued; licence / terms; years covered and latest year; finest spatial unit (listed: point); access route; download formats</t>
        </is>
      </c>
      <c r="E91" s="4" t="inlineStr"/>
      <c r="F91" s="17" t="inlineStr">
        <is>
          <t>https://data.humdata.org/dataset/sudan-prevalence-of-diseases-in-outpatient-clinics-per-state</t>
        </is>
      </c>
      <c r="G91" s="17" t="inlineStr">
        <is>
          <t>https://web.archive.org/web/20260205051302/https://data.humdata.org/dataset/sudan-prevalence-of-diseases-in-outpatient-clinics-per-state</t>
        </is>
      </c>
      <c r="H91" s="4" t="inlineStr">
        <is>
          <t>hdx_sudan_prevalence_of_diseases_in_outpatient_clinics_per</t>
        </is>
      </c>
    </row>
    <row r="92">
      <c r="A92" s="4" t="inlineStr">
        <is>
          <t>humdata.org</t>
        </is>
      </c>
      <c r="B92" s="4" t="inlineStr">
        <is>
          <t>Tanzania: Market Price Survey for Essential Commodities</t>
        </is>
      </c>
      <c r="C92" s="4" t="inlineStr">
        <is>
          <t>blocked_bot (401/403/202 challenge)</t>
        </is>
      </c>
      <c r="D92" s="4" t="inlineStr">
        <is>
          <t>page loads and names this dataset; not retired or discontinued; licence / terms; years covered and latest year; finest spatial unit (listed: point); access route; download formats</t>
        </is>
      </c>
      <c r="E92" s="4" t="inlineStr"/>
      <c r="F92" s="17" t="inlineStr">
        <is>
          <t>https://data.humdata.org/dataset/united-republic-of-tanzania-rapid-assessment-survey-of-market-prices</t>
        </is>
      </c>
      <c r="G92" s="17" t="inlineStr">
        <is>
          <t>https://web.archive.org/web/20260707004352/https://data.humdata.org/dataset/united-republic-of-tanzania-rapid-assessment-survey-of-market-prices</t>
        </is>
      </c>
      <c r="H92" s="4" t="inlineStr">
        <is>
          <t>hdx_tanzania_market_price_survey_for_essential_commodities</t>
        </is>
      </c>
    </row>
    <row r="93">
      <c r="A93" s="4" t="inlineStr">
        <is>
          <t>humdata.org</t>
        </is>
      </c>
      <c r="B93" s="4" t="inlineStr">
        <is>
          <t>Ugandan Regional and General Hospitals</t>
        </is>
      </c>
      <c r="C93" s="4" t="inlineStr">
        <is>
          <t>blocked_bot (401/403/202 challenge)</t>
        </is>
      </c>
      <c r="D93" s="4" t="inlineStr">
        <is>
          <t>page loads and names this dataset; not retired or discontinued; licence / terms; years covered and latest year; finest spatial unit (listed: point); access route; download formats</t>
        </is>
      </c>
      <c r="E93" s="4" t="inlineStr"/>
      <c r="F93" s="17" t="inlineStr">
        <is>
          <t>https://data.humdata.org/dataset/ugandan-regional-and-general-hospitals</t>
        </is>
      </c>
      <c r="G93" s="17" t="inlineStr">
        <is>
          <t>https://web.archive.org/web/20220512170932/https://data.humdata.org/dataset/ugandan-regional-and-general-hospitals</t>
        </is>
      </c>
      <c r="H93" s="4" t="inlineStr">
        <is>
          <t>hdx_ugandan_regional_and_general_hospitals</t>
        </is>
      </c>
    </row>
    <row r="94">
      <c r="A94" s="4" t="inlineStr">
        <is>
          <t>humdata.org</t>
        </is>
      </c>
      <c r="B94" s="4" t="inlineStr">
        <is>
          <t>Venezuela - Earthquake Hazardous Facilities</t>
        </is>
      </c>
      <c r="C94" s="4" t="inlineStr">
        <is>
          <t>blocked_bot (401/403/202 challenge)</t>
        </is>
      </c>
      <c r="D94" s="4" t="inlineStr">
        <is>
          <t>page loads and names this dataset; not retired or discontinued; licence / terms; years covered and latest year; finest spatial unit (listed: point); access route; download formats</t>
        </is>
      </c>
      <c r="E94" s="4" t="inlineStr"/>
      <c r="F94" s="17" t="inlineStr">
        <is>
          <t>https://data.humdata.org/dataset/venezuela-earthquake-hazardous-facilities</t>
        </is>
      </c>
      <c r="G94" s="17" t="inlineStr">
        <is>
          <t>https://web.archive.org/web/20260630155543/https://data.humdata.org/dataset/venezuela-earthquake-hazardous-facilities</t>
        </is>
      </c>
      <c r="H94" s="4" t="inlineStr">
        <is>
          <t>hdx_venezuela_earthquake_hazardous_facilities</t>
        </is>
      </c>
    </row>
    <row r="95">
      <c r="A95" s="4" t="inlineStr">
        <is>
          <t>ibge.gov.br</t>
        </is>
      </c>
      <c r="B95" s="4" t="inlineStr">
        <is>
          <t>Censo Demografico 2022 - Agregados por setores censitarios</t>
        </is>
      </c>
      <c r="C95" s="4" t="inlineStr">
        <is>
          <t>blocked_bot (401/403/202 challenge)</t>
        </is>
      </c>
      <c r="D95" s="4" t="inlineStr">
        <is>
          <t>page loads and names this dataset; not retired or discontinued; licence / terms; years covered and latest year; finest spatial unit (listed: postcode_small_area); access route; download formats</t>
        </is>
      </c>
      <c r="E95" s="4" t="inlineStr">
        <is>
          <t>yes</t>
        </is>
      </c>
      <c r="F95" s="17" t="inlineStr">
        <is>
          <t>https://www.ibge.gov.br/estatisticas/sociais/populacao/22827-censo-demografico-2022.html</t>
        </is>
      </c>
      <c r="G95" s="17" t="inlineStr">
        <is>
          <t>https://web.archive.org/web/20261010164327/https://www.ibge.gov.br/estatisticas/sociais/populacao/22827-censo-demografico-2022.html</t>
        </is>
      </c>
      <c r="H95" s="4" t="inlineStr">
        <is>
          <t>br_ibge_censo_2022_setores</t>
        </is>
      </c>
    </row>
    <row r="96">
      <c r="A96" s="4" t="inlineStr">
        <is>
          <t>ibge.gov.br</t>
        </is>
      </c>
      <c r="B96" s="4" t="inlineStr">
        <is>
          <t>Malhas territoriais (malha de setores censitarios, municipios, UF)</t>
        </is>
      </c>
      <c r="C96" s="4" t="inlineStr">
        <is>
          <t>blocked_bot (401/403/202 challenge)</t>
        </is>
      </c>
      <c r="D96" s="4" t="inlineStr">
        <is>
          <t>page loads and names this dataset; not retired or discontinued; licence / terms; years covered and latest year; finest spatial unit (listed: postcode_small_area); access route; download formats</t>
        </is>
      </c>
      <c r="E96" s="4" t="inlineStr"/>
      <c r="F96" s="17" t="inlineStr">
        <is>
          <t>https://www.ibge.gov.br/geociencias/organizacao-do-territorio/malhas-territoriais/15774-malhas.html</t>
        </is>
      </c>
      <c r="G96" s="17" t="inlineStr">
        <is>
          <t>https://web.archive.org/web/20261004030554/https://www.ibge.gov.br/geociencias/organizacao-do-territorio/malhas-territoriais/15774-malhas.html</t>
        </is>
      </c>
      <c r="H96" s="4" t="inlineStr">
        <is>
          <t>br_ibge_malhas_territoriais</t>
        </is>
      </c>
    </row>
    <row r="97">
      <c r="A97" s="4" t="inlineStr">
        <is>
          <t>inegi.org.mx</t>
        </is>
      </c>
      <c r="B97" s="4" t="inlineStr">
        <is>
          <t>Censo de Poblacion y Vivienda 2020 - Principales resultados por AGEB y manzana urbana</t>
        </is>
      </c>
      <c r="C97" s="4" t="inlineStr">
        <is>
          <t>fetcher got a challenge/empty page</t>
        </is>
      </c>
      <c r="D97" s="4" t="inlineStr">
        <is>
          <t>page loads and names this dataset; not retired or discontinued; licence / terms; years covered and latest year; finest spatial unit (listed: block); access route; download formats</t>
        </is>
      </c>
      <c r="E97" s="4" t="inlineStr">
        <is>
          <t>yes</t>
        </is>
      </c>
      <c r="F97" s="17" t="inlineStr">
        <is>
          <t>https://www.inegi.org.mx/programas/ccpv/2020/</t>
        </is>
      </c>
      <c r="G97" s="17" t="inlineStr">
        <is>
          <t>https://web.archive.org/web/20261016202149/https://www.inegi.org.mx/programas/ccpv/2020/</t>
        </is>
      </c>
      <c r="H97" s="4" t="inlineStr">
        <is>
          <t>mx_inegi_censo_2020_ageb_manzana</t>
        </is>
      </c>
    </row>
    <row r="98">
      <c r="A98" s="4" t="inlineStr">
        <is>
          <t>inegi.org.mx</t>
        </is>
      </c>
      <c r="B98" s="4" t="inlineStr">
        <is>
          <t>Marco Geoestadistico</t>
        </is>
      </c>
      <c r="C98" s="4" t="inlineStr">
        <is>
          <t>fetcher got a challenge/empty page</t>
        </is>
      </c>
      <c r="D98" s="4" t="inlineStr">
        <is>
          <t>page loads and names this dataset; not retired or discontinued; licence / terms; years covered and latest year; finest spatial unit (listed: block); access route; download formats</t>
        </is>
      </c>
      <c r="E98" s="4" t="inlineStr"/>
      <c r="F98" s="17" t="inlineStr">
        <is>
          <t>https://www.inegi.org.mx/temas/mg/</t>
        </is>
      </c>
      <c r="G98" s="17" t="inlineStr">
        <is>
          <t>https://web.archive.org/web/20261015013331/https://www.inegi.org.mx/temas/mg/</t>
        </is>
      </c>
      <c r="H98" s="4" t="inlineStr">
        <is>
          <t>mx_inegi_marco_geoestadistico</t>
        </is>
      </c>
    </row>
    <row r="99">
      <c r="A99" s="4" t="inlineStr">
        <is>
          <t>istat.it</t>
        </is>
      </c>
      <c r="B99" s="4" t="inlineStr">
        <is>
          <t>Basi territoriali e variabili censuarie (sezioni di censimento)</t>
        </is>
      </c>
      <c r="C99" s="4" t="inlineStr">
        <is>
          <t>certificate: tls_handshake_failure</t>
        </is>
      </c>
      <c r="D99" s="4" t="inlineStr">
        <is>
          <t>browser accepts the certificate (tls_handshake_failure); page loads and names this dataset; not retired or discontinued; licence / terms; years covered and latest year; finest spatial unit (listed: unknown); access route; download formats</t>
        </is>
      </c>
      <c r="E99" s="4" t="inlineStr"/>
      <c r="F99" s="17" t="inlineStr">
        <is>
          <t>https://www.istat.it/notizia/basi-territoriali-e-variabili-censuarie/</t>
        </is>
      </c>
      <c r="G99" s="17" t="inlineStr">
        <is>
          <t>https://web.archive.org/web/20261007020256/https://www.istat.it/notizia/basi-territoriali-e-variabili-censuarie/</t>
        </is>
      </c>
      <c r="H99" s="4" t="inlineStr">
        <is>
          <t>it_istat_basi_territoriali</t>
        </is>
      </c>
    </row>
    <row r="100">
      <c r="A100" s="4" t="inlineStr">
        <is>
          <t>istat.it</t>
        </is>
      </c>
      <c r="B100" s="4" t="inlineStr">
        <is>
          <t>Indice di vulnerabilita sociale e materiale (IVSM)</t>
        </is>
      </c>
      <c r="C100" s="4" t="inlineStr">
        <is>
          <t>certificate: tls_handshake_failure</t>
        </is>
      </c>
      <c r="D100" s="4" t="inlineStr">
        <is>
          <t>browser accepts the certificate (tls_handshake_failure); page loads and names this dataset; not retired or discontinued; licence / terms; years covered and latest year; finest spatial unit (listed: unknown); access route; download formats</t>
        </is>
      </c>
      <c r="E100" s="4" t="inlineStr"/>
      <c r="F100" s="17" t="inlineStr">
        <is>
          <t>https://www.istat.it/produzione-editoriale/le-misure-della-vulnerabilita-unapplicazione-a-diversi-ambiti-territoriali</t>
        </is>
      </c>
      <c r="G100" s="17" t="inlineStr">
        <is>
          <t>https://web.archive.org/web/20250407093526/https://www.istat.it/produzione-editoriale/le-misure-della-vulnerabilita-unapplicazione-a-diversi-ambiti-territoriali</t>
        </is>
      </c>
      <c r="H100" s="4" t="inlineStr">
        <is>
          <t>it_istat_ivsm</t>
        </is>
      </c>
    </row>
    <row r="101">
      <c r="A101" s="4" t="inlineStr">
        <is>
          <t>knbs.or.ke</t>
        </is>
      </c>
      <c r="B101" s="4" t="inlineStr">
        <is>
          <t>2019 Kenya Population and Housing Census (KPHC) results</t>
        </is>
      </c>
      <c r="C101" s="4" t="inlineStr">
        <is>
          <t>certificate: tls_incomplete_chain</t>
        </is>
      </c>
      <c r="D101" s="4" t="inlineStr">
        <is>
          <t>browser accepts the certificate (tls_incomplete_chain); page loads and names this dataset; not retired or discontinued; licence / terms; years covered and latest year; finest spatial unit (listed: postcode_small_area); access route; download formats</t>
        </is>
      </c>
      <c r="E101" s="4" t="inlineStr">
        <is>
          <t>yes</t>
        </is>
      </c>
      <c r="F101" s="17" t="inlineStr">
        <is>
          <t>https://www.knbs.or.ke/2019-kenya-population-and-housing-census-results/</t>
        </is>
      </c>
      <c r="G101" s="17" t="inlineStr">
        <is>
          <t>https://web.archive.org/web/20261002090407/https://www.knbs.or.ke/2019-kenya-population-and-housing-census-results/</t>
        </is>
      </c>
      <c r="H101" s="4" t="inlineStr">
        <is>
          <t>ke_knbs_census_2019</t>
        </is>
      </c>
    </row>
    <row r="102">
      <c r="A102" s="4" t="inlineStr">
        <is>
          <t>malariaatlas.org</t>
        </is>
      </c>
      <c r="B102" s="4" t="inlineStr">
        <is>
          <t>Malaria Atlas Project (MAP) global rasters: Pf parasite rate, incidence, ITN coverage, accessibility to cities and healthcare travel time (Weiss et al.)</t>
        </is>
      </c>
      <c r="C102" s="4" t="inlineStr">
        <is>
          <t>fetcher got a challenge/empty page</t>
        </is>
      </c>
      <c r="D102" s="4" t="inlineStr">
        <is>
          <t>page loads and names this dataset; not retired or discontinued; licence / terms; years covered and latest year; finest spatial unit (listed: grid_5km); access route; download formats</t>
        </is>
      </c>
      <c r="E102" s="4" t="inlineStr"/>
      <c r="F102" s="17" t="inlineStr">
        <is>
          <t>https://data.malariaatlas.org/</t>
        </is>
      </c>
      <c r="G102" s="17" t="inlineStr">
        <is>
          <t>https://web.archive.org/web/20261009094156/https://data.malariaatlas.org/</t>
        </is>
      </c>
      <c r="H102" s="4" t="inlineStr">
        <is>
          <t>global_malaria_atlas_project_rasters</t>
        </is>
      </c>
    </row>
    <row r="103">
      <c r="A103" s="4" t="inlineStr">
        <is>
          <t>mdpi.com</t>
        </is>
      </c>
      <c r="B103" s="4" t="inlineStr">
        <is>
          <t>SAANS satellite-derived 1 km ambient PM2.5 for India (2000-2019)</t>
        </is>
      </c>
      <c r="C103" s="4" t="inlineStr">
        <is>
          <t>blocked_bot (401/403/202 challenge)</t>
        </is>
      </c>
      <c r="D103" s="4" t="inlineStr">
        <is>
          <t>page loads and names this dataset; not retired or discontinued; licence / terms; years covered and latest year; finest spatial unit (listed: grid_1km); access route; download formats</t>
        </is>
      </c>
      <c r="E103" s="4" t="inlineStr"/>
      <c r="F103" s="17" t="inlineStr">
        <is>
          <t>https://www.mdpi.com/2072-4292/12/23/3872</t>
        </is>
      </c>
      <c r="G103" s="17" t="inlineStr">
        <is>
          <t>https://web.archive.org/web/20260630043239/https://www.mdpi.com/2072-4292/12/23/3872</t>
        </is>
      </c>
      <c r="H103" s="4" t="inlineStr">
        <is>
          <t>in_iitd_saans_pm25</t>
        </is>
      </c>
    </row>
    <row r="104">
      <c r="A104" s="4" t="inlineStr">
        <is>
          <t>meta.com</t>
        </is>
      </c>
      <c r="B104" s="4" t="inlineStr">
        <is>
          <t>High Resolution Population Density Maps and Demographic Estimates (HRSL), Meta Data for Good with CIESIN</t>
        </is>
      </c>
      <c r="C104" s="4" t="inlineStr">
        <is>
          <t>fetcher got a challenge/empty page</t>
        </is>
      </c>
      <c r="D104" s="4" t="inlineStr">
        <is>
          <t>page loads and names this dataset; not retired or discontinued; licence / terms; years covered and latest year; finest spatial unit (listed: grid_30m); access route; download formats</t>
        </is>
      </c>
      <c r="E104" s="4" t="inlineStr"/>
      <c r="F104" s="17" t="inlineStr">
        <is>
          <t>https://ai.meta.com/ai-for-good/datasets/high-resolution-population-density-maps/</t>
        </is>
      </c>
      <c r="G104" s="17" t="inlineStr">
        <is>
          <t>https://web.archive.org/web/20260927092337/https://ai.meta.com/ai-for-good/datasets/high-resolution-population-density-maps/</t>
        </is>
      </c>
      <c r="H104" s="4" t="inlineStr">
        <is>
          <t>global_meta_hrsl_population</t>
        </is>
      </c>
    </row>
    <row r="105">
      <c r="A105" s="4" t="inlineStr">
        <is>
          <t>nasa.gov</t>
        </is>
      </c>
      <c r="B105" s="4" t="inlineStr">
        <is>
          <t>MERRA-2 tavg1_2d_aer_Nx: 2d, 1-Hourly, Time-averaged, Single-Level, Assimilation, Aerosol Diagnostics V5.12.4 (M2T1NXAER)</t>
        </is>
      </c>
      <c r="C105" s="4" t="inlineStr">
        <is>
          <t>fetcher got a challenge/empty page</t>
        </is>
      </c>
      <c r="D105" s="4" t="inlineStr">
        <is>
          <t>page loads and names this dataset; not retired or discontinued; licence / terms; years covered and latest year; finest spatial unit (listed: grid_0.5deg); access route; download formats</t>
        </is>
      </c>
      <c r="E105" s="4" t="inlineStr"/>
      <c r="F105" s="17" t="inlineStr">
        <is>
          <t>https://disc.gsfc.nasa.gov/datasets/M2T1NXAER_5.12.4/summary</t>
        </is>
      </c>
      <c r="G105" s="17" t="inlineStr">
        <is>
          <t>https://web.archive.org/web/20260918043440/https://disc.gsfc.nasa.gov/datasets/M2T1NXAER_5.12.4/summary</t>
        </is>
      </c>
      <c r="H105" s="4" t="inlineStr">
        <is>
          <t>global_nasa_merra2_m2t1nxaer</t>
        </is>
      </c>
    </row>
    <row r="106">
      <c r="A106" s="4" t="inlineStr">
        <is>
          <t>nasa.gov</t>
        </is>
      </c>
      <c r="B106" s="4" t="inlineStr">
        <is>
          <t>OMI/Aura NO2 Cloud-Screened Total and Tropospheric Column L3 Global Gridded 0.25 degree (OMNO2d v003)</t>
        </is>
      </c>
      <c r="C106" s="4" t="inlineStr">
        <is>
          <t>fetcher got a challenge/empty page</t>
        </is>
      </c>
      <c r="D106" s="4" t="inlineStr">
        <is>
          <t>page loads and names this dataset; not retired or discontinued; licence / terms; years covered and latest year; finest spatial unit (listed: grid_0.25deg); access route; download formats</t>
        </is>
      </c>
      <c r="E106" s="4" t="inlineStr"/>
      <c r="F106" s="17" t="inlineStr">
        <is>
          <t>https://disc.gsfc.nasa.gov/datasets/OMNO2d_003/summary</t>
        </is>
      </c>
      <c r="G106" s="17" t="inlineStr">
        <is>
          <t>https://web.archive.org/web/20261004121236/https://disc.gsfc.nasa.gov/datasets/OMNO2d_003/summary</t>
        </is>
      </c>
      <c r="H106" s="4" t="inlineStr">
        <is>
          <t>global_nasa_omi_omno2d</t>
        </is>
      </c>
    </row>
    <row r="107">
      <c r="A107" s="4" t="inlineStr">
        <is>
          <t>nasa.gov</t>
        </is>
      </c>
      <c r="B107" s="4" t="inlineStr">
        <is>
          <t>Sentinel-5P TROPOMI Tropospheric NO2 1-Orbit L2 (S5P_L2__NO2____HiR) via NASA GES DISC</t>
        </is>
      </c>
      <c r="C107" s="4" t="inlineStr">
        <is>
          <t>fetcher got a challenge/empty page</t>
        </is>
      </c>
      <c r="D107" s="4" t="inlineStr">
        <is>
          <t>page loads and names this dataset; not retired or discontinued; licence / terms; years covered and latest year; finest spatial unit (listed: grid_3.5km); access route; download formats</t>
        </is>
      </c>
      <c r="E107" s="4" t="inlineStr"/>
      <c r="F107" s="17" t="inlineStr">
        <is>
          <t>https://disc.gsfc.nasa.gov/datasets/S5P_L2__NO2____HiR_2/summary</t>
        </is>
      </c>
      <c r="G107" s="17" t="inlineStr">
        <is>
          <t>https://web.archive.org/web/20251207180532/https://disc.gsfc.nasa.gov/datasets/S5P_L2__NO2____HiR_2/summary</t>
        </is>
      </c>
      <c r="H107" s="4" t="inlineStr">
        <is>
          <t>global_nasa_tropomi_s5p_no2</t>
        </is>
      </c>
    </row>
    <row r="108">
      <c r="A108" s="4" t="inlineStr">
        <is>
          <t>naturequant.com</t>
        </is>
      </c>
      <c r="B108" s="4" t="inlineStr">
        <is>
          <t>NatureScore</t>
        </is>
      </c>
      <c r="C108" s="4" t="inlineStr">
        <is>
          <t>fetcher got a challenge/empty page</t>
        </is>
      </c>
      <c r="D108" s="4" t="inlineStr">
        <is>
          <t>page loads and names this dataset; not retired or discontinued; licence / terms; years covered and latest year; finest spatial unit (listed: point); access route; download formats</t>
        </is>
      </c>
      <c r="E108" s="4" t="inlineStr"/>
      <c r="F108" s="17" t="inlineStr">
        <is>
          <t>https://www.naturequant.com/naturescore/</t>
        </is>
      </c>
      <c r="G108" s="17" t="inlineStr">
        <is>
          <t>https://web.archive.org/web/20261017050240/https://www.naturequant.com/naturescore/</t>
        </is>
      </c>
      <c r="H108" s="4" t="inlineStr">
        <is>
          <t>us_naturequant_naturescore</t>
        </is>
      </c>
    </row>
    <row r="109">
      <c r="A109" s="4" t="inlineStr">
        <is>
          <t>nbs.go.tz</t>
        </is>
      </c>
      <c r="B109" s="4" t="inlineStr">
        <is>
          <t>2022 Population and Housing Census (Tanzania) results and profiles</t>
        </is>
      </c>
      <c r="C109" s="4" t="inlineStr">
        <is>
          <t>fetcher got a challenge/empty page</t>
        </is>
      </c>
      <c r="D109" s="4" t="inlineStr">
        <is>
          <t>page loads and names this dataset; not retired or discontinued; licence / terms; years covered and latest year; finest spatial unit (listed: postcode_small_area); access route; download formats</t>
        </is>
      </c>
      <c r="E109" s="4" t="inlineStr">
        <is>
          <t>yes</t>
        </is>
      </c>
      <c r="F109" s="17" t="inlineStr">
        <is>
          <t>https://sensa.nbs.go.tz/</t>
        </is>
      </c>
      <c r="G109" s="17" t="inlineStr">
        <is>
          <t>https://web.archive.org/web/20261007200256/https://sensa.nbs.go.tz/</t>
        </is>
      </c>
      <c r="H109" s="4" t="inlineStr">
        <is>
          <t>tz_nbs_census_2022</t>
        </is>
      </c>
    </row>
    <row r="110">
      <c r="A110" s="4" t="inlineStr">
        <is>
          <t>nih.gov</t>
        </is>
      </c>
      <c r="B110" s="4" t="inlineStr">
        <is>
          <t>National COVID Cohort Collaborative (N3C) Data Enclave</t>
        </is>
      </c>
      <c r="C110" s="4" t="inlineStr">
        <is>
          <t>fetcher got a challenge/empty page</t>
        </is>
      </c>
      <c r="D110" s="4" t="inlineStr">
        <is>
          <t>page loads and names this dataset; not retired or discontinued; licence / terms; years covered and latest year; finest spatial unit (listed: unknown); access route; download formats</t>
        </is>
      </c>
      <c r="E110" s="4" t="inlineStr"/>
      <c r="F110" s="17" t="inlineStr">
        <is>
          <t>https://n3c.ncats.nih.gov/</t>
        </is>
      </c>
      <c r="G110" s="17" t="inlineStr">
        <is>
          <t>https://web.archive.org/web/20261017135024/https://n3c.ncats.nih.gov/</t>
        </is>
      </c>
      <c r="H110" s="4" t="inlineStr">
        <is>
          <t>us_ncats_n3c</t>
        </is>
      </c>
    </row>
    <row r="111">
      <c r="A111" s="4" t="inlineStr">
        <is>
          <t>nrdc.org</t>
        </is>
      </c>
      <c r="B111" s="4" t="inlineStr">
        <is>
          <t>Lead Pipes Are Widespread and Used in Every State (lead service line estimates)</t>
        </is>
      </c>
      <c r="C111" s="4" t="inlineStr">
        <is>
          <t>blocked_bot (401/403/202 challenge)</t>
        </is>
      </c>
      <c r="D111" s="4" t="inlineStr">
        <is>
          <t>page loads and names this dataset; not retired or discontinued; licence / terms; years covered and latest year; finest spatial unit (listed: admin1); access route; download formats</t>
        </is>
      </c>
      <c r="E111" s="4" t="inlineStr">
        <is>
          <t>yes</t>
        </is>
      </c>
      <c r="F111" s="17" t="inlineStr">
        <is>
          <t>https://www.nrdc.org/resources/lead-pipes-are-widespread-and-used-every-state</t>
        </is>
      </c>
      <c r="G111" s="17" t="inlineStr">
        <is>
          <t>https://web.archive.org/web/20260930012517/https://www.nrdc.org/resources/lead-pipes-are-widespread-and-used-every-state</t>
        </is>
      </c>
      <c r="H111" s="4" t="inlineStr">
        <is>
          <t>us_nrdc_lead_service_lines</t>
        </is>
      </c>
    </row>
    <row r="112">
      <c r="A112" s="4" t="inlineStr">
        <is>
          <t>oecd.org</t>
        </is>
      </c>
      <c r="B112" s="4" t="inlineStr">
        <is>
          <t>OECD Regional Statistics (Regions and Cities database)</t>
        </is>
      </c>
      <c r="C112" s="4" t="inlineStr">
        <is>
          <t>blocked_bot (401/403/202 challenge)</t>
        </is>
      </c>
      <c r="D112" s="4" t="inlineStr">
        <is>
          <t>page loads and names this dataset; not retired or discontinued; licence / terms; years covered and latest year; finest spatial unit (listed: postcode_small_area); access route; download formats</t>
        </is>
      </c>
      <c r="E112" s="4" t="inlineStr">
        <is>
          <t>yes</t>
        </is>
      </c>
      <c r="F112" s="17" t="inlineStr">
        <is>
          <t>https://www.oecd.org/en/data/datasets/regional-statistics-database.html</t>
        </is>
      </c>
      <c r="G112" s="4" t="inlineStr"/>
      <c r="H112" s="4" t="inlineStr">
        <is>
          <t>global_oecd_regions_and_cities</t>
        </is>
      </c>
    </row>
    <row r="113">
      <c r="A113" s="4" t="inlineStr">
        <is>
          <t>oregonstate.edu</t>
        </is>
      </c>
      <c r="B113" s="4" t="inlineStr">
        <is>
          <t>PRISM Climate Data</t>
        </is>
      </c>
      <c r="C113" s="4" t="inlineStr">
        <is>
          <t>fetcher got a challenge/empty page</t>
        </is>
      </c>
      <c r="D113" s="4" t="inlineStr">
        <is>
          <t>page loads and names this dataset; not retired or discontinued; licence / terms; years covered and latest year; finest spatial unit (listed: grid_4km); access route; download formats</t>
        </is>
      </c>
      <c r="E113" s="4" t="inlineStr"/>
      <c r="F113" s="17" t="inlineStr">
        <is>
          <t>https://prism.oregonstate.edu/</t>
        </is>
      </c>
      <c r="G113" s="17" t="inlineStr">
        <is>
          <t>https://web.archive.org/web/20261017162520/https://prism.oregonstate.edu/</t>
        </is>
      </c>
      <c r="H113" s="4" t="inlineStr">
        <is>
          <t>us_prism_climate</t>
        </is>
      </c>
    </row>
    <row r="114">
      <c r="A114" s="4" t="inlineStr">
        <is>
          <t>otago.ac.nz</t>
        </is>
      </c>
      <c r="B114" s="4" t="inlineStr">
        <is>
          <t>NZDep Index of Socioeconomic Deprivation</t>
        </is>
      </c>
      <c r="C114" s="4" t="inlineStr">
        <is>
          <t>blocked_bot (401/403/202 challenge)</t>
        </is>
      </c>
      <c r="D114" s="4" t="inlineStr">
        <is>
          <t>page loads and names this dataset; not retired or discontinued; licence / terms; years covered and latest year; finest spatial unit (listed: postcode_small_area); access route; download formats</t>
        </is>
      </c>
      <c r="E114" s="4" t="inlineStr">
        <is>
          <t>yes</t>
        </is>
      </c>
      <c r="F114" s="17" t="inlineStr">
        <is>
          <t>https://www.otago.ac.nz/wellington/departments/publichealth/research/hirp/socioeconomic-deprivation-indexes-nzdep-and-nzidep-department-of-public-health</t>
        </is>
      </c>
      <c r="G114" s="4" t="inlineStr"/>
      <c r="H114" s="4" t="inlineStr">
        <is>
          <t>nz_otago_nzdep</t>
        </is>
      </c>
    </row>
    <row r="115">
      <c r="A115" s="4" t="inlineStr">
        <is>
          <t>pobal.ie</t>
        </is>
      </c>
      <c r="B115" s="4" t="inlineStr">
        <is>
          <t>Pobal HP Deprivation Index</t>
        </is>
      </c>
      <c r="C115" s="4" t="inlineStr">
        <is>
          <t>timeout</t>
        </is>
      </c>
      <c r="D115" s="4" t="inlineStr">
        <is>
          <t>page loads and names this dataset; not retired or discontinued; licence / terms; years covered and latest year; finest spatial unit (listed: unknown); access route; download formats</t>
        </is>
      </c>
      <c r="E115" s="4" t="inlineStr"/>
      <c r="F115" s="17" t="inlineStr">
        <is>
          <t>https://www.pobal.ie/pobal-hp-deprivation-index/</t>
        </is>
      </c>
      <c r="G115" s="17" t="inlineStr">
        <is>
          <t>https://web.archive.org/web/20250209132339/https://www.pobal.ie/pobal-hp-deprivation-index/</t>
        </is>
      </c>
      <c r="H115" s="4" t="inlineStr">
        <is>
          <t>ie_pobal_hp_deprivation_index</t>
        </is>
      </c>
    </row>
    <row r="116">
      <c r="A116" s="4" t="inlineStr">
        <is>
          <t>psa.gov.ph</t>
        </is>
      </c>
      <c r="B116" s="4" t="inlineStr">
        <is>
          <t>2020 Census of Population and Housing (2020 CPH) - population counts</t>
        </is>
      </c>
      <c r="C116" s="4" t="inlineStr">
        <is>
          <t>blocked_bot (401/403/202 challenge)</t>
        </is>
      </c>
      <c r="D116" s="4" t="inlineStr">
        <is>
          <t>page loads and names this dataset; not retired or discontinued; licence / terms; years covered and latest year; finest spatial unit (listed: postcode_small_area); access route; download formats</t>
        </is>
      </c>
      <c r="E116" s="4" t="inlineStr">
        <is>
          <t>yes</t>
        </is>
      </c>
      <c r="F116" s="17" t="inlineStr">
        <is>
          <t>https://psa.gov.ph/population-and-housing</t>
        </is>
      </c>
      <c r="G116" s="17" t="inlineStr">
        <is>
          <t>https://web.archive.org/web/20261005085907/https://psa.gov.ph/population-and-housing</t>
        </is>
      </c>
      <c r="H116" s="4" t="inlineStr">
        <is>
          <t>ph_psa_cph_2020</t>
        </is>
      </c>
    </row>
    <row r="117">
      <c r="A117" s="4" t="inlineStr">
        <is>
          <t>purpleair.com</t>
        </is>
      </c>
      <c r="B117" s="4" t="inlineStr">
        <is>
          <t>PurpleAir low-cost sensor network API</t>
        </is>
      </c>
      <c r="C117" s="4" t="inlineStr">
        <is>
          <t>fetcher got a challenge/empty page</t>
        </is>
      </c>
      <c r="D117" s="4" t="inlineStr">
        <is>
          <t>page loads and names this dataset; not retired or discontinued; licence / terms; years covered and latest year; finest spatial unit (listed: point); access route; download formats</t>
        </is>
      </c>
      <c r="E117" s="4" t="inlineStr"/>
      <c r="F117" s="17" t="inlineStr">
        <is>
          <t>https://www.purpleair.com/api</t>
        </is>
      </c>
      <c r="G117" s="17" t="inlineStr">
        <is>
          <t>https://web.archive.org/web/20261012071555/https://www.purpleair.com/api</t>
        </is>
      </c>
      <c r="H117" s="4" t="inlineStr">
        <is>
          <t>us_purpleair_sensor_network</t>
        </is>
      </c>
    </row>
    <row r="118">
      <c r="A118" s="4" t="inlineStr">
        <is>
          <t>qc.ca</t>
        </is>
      </c>
      <c r="B118" s="4" t="inlineStr">
        <is>
          <t>Material and Social Deprivation Index (MSDI)</t>
        </is>
      </c>
      <c r="C118" s="4" t="inlineStr">
        <is>
          <t>blocked_bot (401/403/202 challenge)</t>
        </is>
      </c>
      <c r="D118" s="4" t="inlineStr">
        <is>
          <t>page loads and names this dataset; not retired or discontinued; licence / terms; years covered and latest year; finest spatial unit (listed: postcode_small_area); access route; download formats</t>
        </is>
      </c>
      <c r="E118" s="4" t="inlineStr">
        <is>
          <t>yes</t>
        </is>
      </c>
      <c r="F118" s="17" t="inlineStr">
        <is>
          <t>https://www.inspq.qc.ca/en/deprivation/material-and-social-deprivation-index</t>
        </is>
      </c>
      <c r="G118" s="17" t="inlineStr">
        <is>
          <t>https://web.archive.org/web/20261006041730/https://www.inspq.qc.ca/en/deprivation/material-and-social-deprivation-index</t>
        </is>
      </c>
      <c r="H118" s="4" t="inlineStr">
        <is>
          <t>ca_inspq_msdi</t>
        </is>
      </c>
    </row>
    <row r="119">
      <c r="A119" s="4" t="inlineStr">
        <is>
          <t>saude.gov.br</t>
        </is>
      </c>
      <c r="B119" s="4" t="inlineStr">
        <is>
          <t>DATASUS Transferencia de Arquivos (SIM, SINASC, CNES, SIH)</t>
        </is>
      </c>
      <c r="C119" s="4" t="inlineStr">
        <is>
          <t>connection error</t>
        </is>
      </c>
      <c r="D119" s="4" t="inlineStr">
        <is>
          <t>page loads and names this dataset; not retired or discontinued; licence / terms; years covered and latest year; finest spatial unit (listed: postcode_small_area); access route; download formats</t>
        </is>
      </c>
      <c r="E119" s="4" t="inlineStr">
        <is>
          <t>yes</t>
        </is>
      </c>
      <c r="F119" s="17" t="inlineStr">
        <is>
          <t>https://datasus.saude.gov.br/transferencia-de-arquivos/</t>
        </is>
      </c>
      <c r="G119" s="17" t="inlineStr">
        <is>
          <t>https://web.archive.org/web/20261008082932/https://datasus.saude.gov.br/transferencia-de-arquivos/</t>
        </is>
      </c>
      <c r="H119" s="4" t="inlineStr">
        <is>
          <t>br_datasus_transferencia_arquivos</t>
        </is>
      </c>
    </row>
    <row r="120">
      <c r="A120" s="4" t="inlineStr">
        <is>
          <t>si.edu</t>
        </is>
      </c>
      <c r="B120" s="4" t="inlineStr">
        <is>
          <t>Smithsonian Global Volcanism Program Volcanoes of the World database (v5.x): Holocene volcanoes and eruptions</t>
        </is>
      </c>
      <c r="C120" s="4" t="inlineStr">
        <is>
          <t>blocked_bot (401/403/202 challenge)</t>
        </is>
      </c>
      <c r="D120" s="4" t="inlineStr">
        <is>
          <t>page loads and names this dataset; not retired or discontinued; licence / terms; years covered and latest year; finest spatial unit (listed: point); access route; download formats</t>
        </is>
      </c>
      <c r="E120" s="4" t="inlineStr"/>
      <c r="F120" s="17" t="inlineStr">
        <is>
          <t>https://volcano.si.edu/gvp_votw.cfm</t>
        </is>
      </c>
      <c r="G120" s="17" t="inlineStr">
        <is>
          <t>https://web.archive.org/web/20261005213057/https://volcano.si.edu/gvp_votw.cfm</t>
        </is>
      </c>
      <c r="H120" s="4" t="inlineStr">
        <is>
          <t>global_smithsonian_global_volcanism</t>
        </is>
      </c>
    </row>
    <row r="121">
      <c r="A121" s="4" t="inlineStr">
        <is>
          <t>statcan.gc.ca</t>
        </is>
      </c>
      <c r="B121" s="4" t="inlineStr">
        <is>
          <t>Census Profile, 2021 Census of Population</t>
        </is>
      </c>
      <c r="C121" s="4" t="inlineStr">
        <is>
          <t>blocked_bot (401/403/202 challenge)</t>
        </is>
      </c>
      <c r="D121" s="4" t="inlineStr">
        <is>
          <t>page loads and names this dataset; not retired or discontinued; licence / terms; years covered and latest year; finest spatial unit (listed: postcode_small_area); access route; download formats</t>
        </is>
      </c>
      <c r="E121" s="4" t="inlineStr">
        <is>
          <t>yes</t>
        </is>
      </c>
      <c r="F121" s="17" t="inlineStr">
        <is>
          <t>https://www12.statcan.gc.ca/census-recensement/2021/dp-pd/prof/index.cfm?Lang=E</t>
        </is>
      </c>
      <c r="G121" s="17" t="inlineStr">
        <is>
          <t>https://web.archive.org/web/20261013045722/https://www12.statcan.gc.ca/census-recensement/2021/dp-pd/prof/index.cfm?Lang=E</t>
        </is>
      </c>
      <c r="H121" s="4" t="inlineStr">
        <is>
          <t>ca_statcan_census_profile_2021</t>
        </is>
      </c>
    </row>
    <row r="122">
      <c r="A122" s="4" t="inlineStr">
        <is>
          <t>stats.gov.cn</t>
        </is>
      </c>
      <c r="B122" s="4" t="inlineStr">
        <is>
          <t>Seventh National Population Census (2020) - county-level tabulations</t>
        </is>
      </c>
      <c r="C122" s="4" t="inlineStr">
        <is>
          <t>fetcher got a challenge/empty page</t>
        </is>
      </c>
      <c r="D122" s="4" t="inlineStr">
        <is>
          <t>page loads and names this dataset; not retired or discontinued; licence / terms; years covered and latest year; finest spatial unit (listed: county); access route; download formats</t>
        </is>
      </c>
      <c r="E122" s="4" t="inlineStr">
        <is>
          <t>yes</t>
        </is>
      </c>
      <c r="F122" s="17" t="inlineStr">
        <is>
          <t>https://www.stats.gov.cn/english/</t>
        </is>
      </c>
      <c r="G122" s="17" t="inlineStr">
        <is>
          <t>https://web.archive.org/web/20261017110746/https://www.stats.gov.cn/english/</t>
        </is>
      </c>
      <c r="H122" s="4" t="inlineStr">
        <is>
          <t>cn_nbs_census_2020_county</t>
        </is>
      </c>
    </row>
    <row r="123">
      <c r="A123" s="4" t="inlineStr">
        <is>
          <t>stats.govt.nz</t>
        </is>
      </c>
      <c r="B123" s="4" t="inlineStr">
        <is>
          <t>2023 Census</t>
        </is>
      </c>
      <c r="C123" s="4" t="inlineStr">
        <is>
          <t>fetcher got a challenge/empty page</t>
        </is>
      </c>
      <c r="D123" s="4" t="inlineStr">
        <is>
          <t>page loads and names this dataset; not retired or discontinued; licence / terms; years covered and latest year; finest spatial unit (listed: postcode_small_area); access route; download formats</t>
        </is>
      </c>
      <c r="E123" s="4" t="inlineStr">
        <is>
          <t>yes</t>
        </is>
      </c>
      <c r="F123" s="17" t="inlineStr">
        <is>
          <t>https://www.stats.govt.nz/2023-census/</t>
        </is>
      </c>
      <c r="G123" s="17" t="inlineStr">
        <is>
          <t>https://web.archive.org/web/20261005084247/https://www.stats.govt.nz/2023-census/</t>
        </is>
      </c>
      <c r="H123" s="4" t="inlineStr">
        <is>
          <t>nz_statsnz_census_2023</t>
        </is>
      </c>
    </row>
    <row r="124">
      <c r="A124" s="4" t="inlineStr">
        <is>
          <t>statssa.gov.za</t>
        </is>
      </c>
      <c r="B124" s="4" t="inlineStr">
        <is>
          <t>Census 2022 (South Africa)</t>
        </is>
      </c>
      <c r="C124" s="4" t="inlineStr">
        <is>
          <t>fetcher got a challenge/empty page</t>
        </is>
      </c>
      <c r="D124" s="4" t="inlineStr">
        <is>
          <t>page loads and names this dataset; not retired or discontinued; licence / terms; years covered and latest year; finest spatial unit (listed: postcode_small_area); access route; download formats</t>
        </is>
      </c>
      <c r="E124" s="4" t="inlineStr">
        <is>
          <t>yes</t>
        </is>
      </c>
      <c r="F124" s="17" t="inlineStr">
        <is>
          <t>https://census.statssa.gov.za/</t>
        </is>
      </c>
      <c r="G124" s="17" t="inlineStr">
        <is>
          <t>https://web.archive.org/web/20261017043035/https://census.statssa.gov.za/</t>
        </is>
      </c>
      <c r="H124" s="4" t="inlineStr">
        <is>
          <t>za_statssa_census_2022</t>
        </is>
      </c>
    </row>
    <row r="125">
      <c r="A125" s="4" t="inlineStr">
        <is>
          <t>tapdata.org.cn</t>
        </is>
      </c>
      <c r="B125" s="4" t="inlineStr">
        <is>
          <t>Tracking Air Pollution in China (TAP) 1 km daily PM2.5</t>
        </is>
      </c>
      <c r="C125" s="4" t="inlineStr">
        <is>
          <t>fetcher got a challenge/empty page</t>
        </is>
      </c>
      <c r="D125" s="4" t="inlineStr">
        <is>
          <t>page loads and names this dataset; not retired or discontinued; licence / terms; years covered and latest year; finest spatial unit (listed: grid_1km); access route; download formats</t>
        </is>
      </c>
      <c r="E125" s="4" t="inlineStr"/>
      <c r="F125" s="17" t="inlineStr">
        <is>
          <t>http://tapdata.org.cn/</t>
        </is>
      </c>
      <c r="G125" s="17" t="inlineStr">
        <is>
          <t>https://web.archive.org/web/20261012203909/http://tapdata.org.cn/</t>
        </is>
      </c>
      <c r="H125" s="4" t="inlineStr">
        <is>
          <t>cn_tsinghua_tap_pm25</t>
        </is>
      </c>
    </row>
    <row r="126">
      <c r="A126" s="4" t="inlineStr">
        <is>
          <t>tpl.org</t>
        </is>
      </c>
      <c r="B126" s="4" t="inlineStr">
        <is>
          <t>ParkServe (Complete U.S. ParkServe Dataset) and ParkScore</t>
        </is>
      </c>
      <c r="C126" s="4" t="inlineStr">
        <is>
          <t>fetcher got a challenge/empty page</t>
        </is>
      </c>
      <c r="D126" s="4" t="inlineStr">
        <is>
          <t>page loads and names this dataset; not retired or discontinued; licence / terms; years covered and latest year; finest spatial unit (listed: postcode_small_area); access route; download formats</t>
        </is>
      </c>
      <c r="E126" s="4" t="inlineStr">
        <is>
          <t>yes</t>
        </is>
      </c>
      <c r="F126" s="17" t="inlineStr">
        <is>
          <t>https://www.tpl.org/park-data-downloads</t>
        </is>
      </c>
      <c r="G126" s="17" t="inlineStr">
        <is>
          <t>https://web.archive.org/web/20261010182752/https://www.tpl.org/park-data-downloads</t>
        </is>
      </c>
      <c r="H126" s="4" t="inlineStr">
        <is>
          <t>us_tpl_parkserve</t>
        </is>
      </c>
    </row>
    <row r="127">
      <c r="A127" s="4" t="inlineStr">
        <is>
          <t>tuik.gov.tr</t>
        </is>
      </c>
      <c r="B127" s="4" t="inlineStr">
        <is>
          <t>Address Based Population Registration System (ADNKS) results</t>
        </is>
      </c>
      <c r="C127" s="4" t="inlineStr">
        <is>
          <t>fetcher got a challenge/empty page</t>
        </is>
      </c>
      <c r="D127" s="4" t="inlineStr">
        <is>
          <t>page loads and names this dataset; not retired or discontinued; licence / terms; years covered and latest year; finest spatial unit (listed: postcode_small_area); access route; download formats</t>
        </is>
      </c>
      <c r="E127" s="4" t="inlineStr">
        <is>
          <t>yes</t>
        </is>
      </c>
      <c r="F127" s="17" t="inlineStr">
        <is>
          <t>https://veriportali.tuik.gov.tr/Kategori/GetKategori?p=nufus-ve-demografi-109</t>
        </is>
      </c>
      <c r="G127" s="17" t="inlineStr">
        <is>
          <t>https://web.archive.org/web/20260918052008/https://veriportali.tuik.gov.tr/Kategori/GetKategori?p=nufus-ve-demografi-109</t>
        </is>
      </c>
      <c r="H127" s="4" t="inlineStr">
        <is>
          <t>tr_tuik_adnks</t>
        </is>
      </c>
    </row>
    <row r="128">
      <c r="A128" s="4" t="inlineStr">
        <is>
          <t>ubos.org</t>
        </is>
      </c>
      <c r="B128" s="4" t="inlineStr">
        <is>
          <t>National Population and Housing Census 2024 (NPHC 2024)</t>
        </is>
      </c>
      <c r="C128" s="4" t="inlineStr">
        <is>
          <t>certificate: tls_incomplete_chain</t>
        </is>
      </c>
      <c r="D128" s="4" t="inlineStr">
        <is>
          <t>browser accepts the certificate (tls_incomplete_chain); page loads and names this dataset; not retired or discontinued; licence / terms; years covered and latest year; finest spatial unit (listed: postcode_small_area); access route; download formats</t>
        </is>
      </c>
      <c r="E128" s="4" t="inlineStr">
        <is>
          <t>yes</t>
        </is>
      </c>
      <c r="F128" s="17" t="inlineStr">
        <is>
          <t>https://www.ubos.org/explore-statistics/20/</t>
        </is>
      </c>
      <c r="G128" s="17" t="inlineStr">
        <is>
          <t>https://web.archive.org/web/20261016224449/https://www.ubos.org/explore-statistics/20/</t>
        </is>
      </c>
      <c r="H128" s="4" t="inlineStr">
        <is>
          <t>ug_ubos_nphc_2024</t>
        </is>
      </c>
    </row>
    <row r="129">
      <c r="A129" s="4" t="inlineStr">
        <is>
          <t>umd.edu</t>
        </is>
      </c>
      <c r="B129" s="4" t="inlineStr">
        <is>
          <t>Global Terrorism Database (GTD)</t>
        </is>
      </c>
      <c r="C129" s="4" t="inlineStr">
        <is>
          <t>fetcher got a challenge/empty page</t>
        </is>
      </c>
      <c r="D129" s="4" t="inlineStr">
        <is>
          <t>page loads and names this dataset; not retired or discontinued; licence / terms; years covered and latest year; finest spatial unit (listed: point); access route; download formats</t>
        </is>
      </c>
      <c r="E129" s="4" t="inlineStr"/>
      <c r="F129" s="17" t="inlineStr">
        <is>
          <t>https://www.start.umd.edu/gtd/</t>
        </is>
      </c>
      <c r="G129" s="17" t="inlineStr">
        <is>
          <t>https://web.archive.org/web/20261014083343/https://www.start.umd.edu/gtd/</t>
        </is>
      </c>
      <c r="H129" s="4" t="inlineStr">
        <is>
          <t>global_start_gtd</t>
        </is>
      </c>
    </row>
    <row r="130">
      <c r="A130" s="4" t="inlineStr">
        <is>
          <t>umich.edu</t>
        </is>
      </c>
      <c r="B130" s="4" t="inlineStr">
        <is>
          <t>NaNDA: Broadband Internet Availability, Speed, and Adoption</t>
        </is>
      </c>
      <c r="C130" s="4" t="inlineStr">
        <is>
          <t>blocked_bot (401/403/202 challenge)</t>
        </is>
      </c>
      <c r="D130" s="4" t="inlineStr">
        <is>
          <t>page loads and names this dataset; not retired or discontinued; licence / terms; years covered and latest year; finest spatial unit (listed: tract); access route; download formats</t>
        </is>
      </c>
      <c r="E130" s="4" t="inlineStr">
        <is>
          <t>yes</t>
        </is>
      </c>
      <c r="F130" s="17" t="inlineStr">
        <is>
          <t>https://nanda.isr.umich.edu/data/</t>
        </is>
      </c>
      <c r="G130" s="17" t="inlineStr">
        <is>
          <t>https://web.archive.org/web/20260921222353/https://nanda.isr.umich.edu/data/</t>
        </is>
      </c>
      <c r="H130" s="4" t="inlineStr">
        <is>
          <t>us_umich_nanda_broadband</t>
        </is>
      </c>
    </row>
    <row r="131">
      <c r="A131" s="4" t="inlineStr">
        <is>
          <t>umich.edu</t>
        </is>
      </c>
      <c r="B131" s="4" t="inlineStr">
        <is>
          <t>NaNDA: Grocery Stores by Census Tract and ZCTA</t>
        </is>
      </c>
      <c r="C131" s="4" t="inlineStr">
        <is>
          <t>blocked_bot (401/403/202 challenge)</t>
        </is>
      </c>
      <c r="D131" s="4" t="inlineStr">
        <is>
          <t>page loads and names this dataset; not retired or discontinued; licence / terms; years covered and latest year; finest spatial unit (listed: tract); access route; download formats</t>
        </is>
      </c>
      <c r="E131" s="4" t="inlineStr">
        <is>
          <t>yes</t>
        </is>
      </c>
      <c r="F131" s="17" t="inlineStr">
        <is>
          <t>https://nanda.isr.umich.edu/2026/04/09/12-nanda-datasets-updated-through-2022/</t>
        </is>
      </c>
      <c r="G131" s="4" t="inlineStr"/>
      <c r="H131" s="4" t="inlineStr">
        <is>
          <t>us_umich_nanda_grocery_stores</t>
        </is>
      </c>
    </row>
    <row r="132">
      <c r="A132" s="4" t="inlineStr">
        <is>
          <t>umich.edu</t>
        </is>
      </c>
      <c r="B132" s="4" t="inlineStr">
        <is>
          <t>NaNDA: Health Care Services by Census Tract and ZCTA</t>
        </is>
      </c>
      <c r="C132" s="4" t="inlineStr">
        <is>
          <t>blocked_bot (401/403/202 challenge)</t>
        </is>
      </c>
      <c r="D132" s="4" t="inlineStr">
        <is>
          <t>page loads and names this dataset; not retired or discontinued; licence / terms; years covered and latest year; finest spatial unit (listed: tract); access route; download formats</t>
        </is>
      </c>
      <c r="E132" s="4" t="inlineStr">
        <is>
          <t>yes</t>
        </is>
      </c>
      <c r="F132" s="17" t="inlineStr">
        <is>
          <t>https://nanda.isr.umich.edu/2026/04/09/12-nanda-datasets-updated-through-2022/</t>
        </is>
      </c>
      <c r="G132" s="4" t="inlineStr"/>
      <c r="H132" s="4" t="inlineStr">
        <is>
          <t>us_umich_nanda_health_care</t>
        </is>
      </c>
    </row>
    <row r="133">
      <c r="A133" s="4" t="inlineStr">
        <is>
          <t>umich.edu</t>
        </is>
      </c>
      <c r="B133" s="4" t="inlineStr">
        <is>
          <t>NaNDA: Land Cover by Census Tract and ZCTA</t>
        </is>
      </c>
      <c r="C133" s="4" t="inlineStr">
        <is>
          <t>blocked_bot (401/403/202 challenge)</t>
        </is>
      </c>
      <c r="D133" s="4" t="inlineStr">
        <is>
          <t>page loads and names this dataset; not retired or discontinued; licence / terms; years covered and latest year; finest spatial unit (listed: tract); access route; download formats</t>
        </is>
      </c>
      <c r="E133" s="4" t="inlineStr">
        <is>
          <t>yes</t>
        </is>
      </c>
      <c r="F133" s="17" t="inlineStr">
        <is>
          <t>https://www.icpsr.umich.edu/web/ICPSR/studies/38598</t>
        </is>
      </c>
      <c r="G133" s="17" t="inlineStr">
        <is>
          <t>https://web.archive.org/web/20250319170339/https://www.icpsr.umich.edu/web/ICPSR/studies/38598</t>
        </is>
      </c>
      <c r="H133" s="4" t="inlineStr">
        <is>
          <t>us_umich_nanda_land_cover</t>
        </is>
      </c>
    </row>
    <row r="134">
      <c r="A134" s="4" t="inlineStr">
        <is>
          <t>umich.edu</t>
        </is>
      </c>
      <c r="B134" s="4" t="inlineStr">
        <is>
          <t>NaNDA: Recreation and Arts Establishments by Census Tract and ZCTA</t>
        </is>
      </c>
      <c r="C134" s="4" t="inlineStr">
        <is>
          <t>blocked_bot (401/403/202 challenge)</t>
        </is>
      </c>
      <c r="D134" s="4" t="inlineStr">
        <is>
          <t>page loads and names this dataset; not retired or discontinued; licence / terms; years covered and latest year; finest spatial unit (listed: tract); access route; download formats</t>
        </is>
      </c>
      <c r="E134" s="4" t="inlineStr">
        <is>
          <t>yes</t>
        </is>
      </c>
      <c r="F134" s="17" t="inlineStr">
        <is>
          <t>https://nanda.isr.umich.edu/2026/04/09/12-nanda-datasets-updated-through-2022/</t>
        </is>
      </c>
      <c r="G134" s="4" t="inlineStr"/>
      <c r="H134" s="4" t="inlineStr">
        <is>
          <t>us_umich_nanda_recreation</t>
        </is>
      </c>
    </row>
    <row r="135">
      <c r="A135" s="4" t="inlineStr">
        <is>
          <t>umich.edu</t>
        </is>
      </c>
      <c r="B135" s="4" t="inlineStr">
        <is>
          <t>NaNDA: Socioeconomic and Demographic Characteristics of Census Tracts and ZCTAs</t>
        </is>
      </c>
      <c r="C135" s="4" t="inlineStr">
        <is>
          <t>blocked_bot (401/403/202 challenge)</t>
        </is>
      </c>
      <c r="D135" s="4" t="inlineStr">
        <is>
          <t>page loads and names this dataset; not retired or discontinued; licence / terms; years covered and latest year; finest spatial unit (listed: tract); access route; download formats</t>
        </is>
      </c>
      <c r="E135" s="4" t="inlineStr">
        <is>
          <t>yes</t>
        </is>
      </c>
      <c r="F135" s="17" t="inlineStr">
        <is>
          <t>https://www.icpsr.umich.edu/web/ICPSR/studies/38528</t>
        </is>
      </c>
      <c r="G135" s="17" t="inlineStr">
        <is>
          <t>https://web.archive.org/web/20260515200533/https://www.icpsr.umich.edu/web/ICPSR/studies/38528</t>
        </is>
      </c>
      <c r="H135" s="4" t="inlineStr">
        <is>
          <t>us_umich_nanda_socioeconomic</t>
        </is>
      </c>
    </row>
    <row r="136">
      <c r="A136" s="4" t="inlineStr">
        <is>
          <t>umich.edu</t>
        </is>
      </c>
      <c r="B136" s="4" t="inlineStr">
        <is>
          <t>NaNDA: Traffic Volume by Census Tract and ZCTA</t>
        </is>
      </c>
      <c r="C136" s="4" t="inlineStr">
        <is>
          <t>blocked_bot (401/403/202 challenge)</t>
        </is>
      </c>
      <c r="D136" s="4" t="inlineStr">
        <is>
          <t>page loads and names this dataset; not retired or discontinued; licence / terms; years covered and latest year; finest spatial unit (listed: tract); access route; download formats</t>
        </is>
      </c>
      <c r="E136" s="4" t="inlineStr">
        <is>
          <t>yes</t>
        </is>
      </c>
      <c r="F136" s="17" t="inlineStr">
        <is>
          <t>https://www.icpsr.umich.edu/web/ICPSR/studies/38584</t>
        </is>
      </c>
      <c r="G136" s="17" t="inlineStr">
        <is>
          <t>https://web.archive.org/web/20250318013412/https://www.icpsr.umich.edu/web/ICPSR/studies/38584</t>
        </is>
      </c>
      <c r="H136" s="4" t="inlineStr">
        <is>
          <t>us_umich_nanda_traffic</t>
        </is>
      </c>
    </row>
    <row r="137">
      <c r="A137" s="4" t="inlineStr">
        <is>
          <t>umich.edu</t>
        </is>
      </c>
      <c r="B137" s="4" t="inlineStr">
        <is>
          <t>ICPSR / openICPSR data archive (listing)</t>
        </is>
      </c>
      <c r="C137" s="4" t="inlineStr">
        <is>
          <t>fetcher got a challenge/empty page</t>
        </is>
      </c>
      <c r="D137" s="4" t="inlineStr">
        <is>
          <t>page loads and names this dataset; not retired or discontinued; licence / terms; years covered and latest year; finest spatial unit (listed: point); access route; download formats</t>
        </is>
      </c>
      <c r="E137" s="4" t="inlineStr"/>
      <c r="F137" s="17" t="inlineStr">
        <is>
          <t>https://www.icpsr.umich.edu/web/pages/</t>
        </is>
      </c>
      <c r="G137" s="17" t="inlineStr">
        <is>
          <t>https://web.archive.org/web/20261017100853/https://www.icpsr.umich.edu/web/pages/</t>
        </is>
      </c>
      <c r="H137" s="4" t="inlineStr">
        <is>
          <t>us_icpsr_open_data</t>
        </is>
      </c>
    </row>
    <row r="138">
      <c r="A138" s="4" t="inlineStr">
        <is>
          <t>un.org</t>
        </is>
      </c>
      <c r="B138" s="4" t="inlineStr">
        <is>
          <t>SDG Global Database (SDG Indicators Database)</t>
        </is>
      </c>
      <c r="C138" s="4" t="inlineStr">
        <is>
          <t>fetcher got a challenge/empty page</t>
        </is>
      </c>
      <c r="D138" s="4" t="inlineStr">
        <is>
          <t>page loads and names this dataset; not retired or discontinued; licence / terms; years covered and latest year; finest spatial unit (listed: country); access route; download formats</t>
        </is>
      </c>
      <c r="E138" s="4" t="inlineStr"/>
      <c r="F138" s="17" t="inlineStr">
        <is>
          <t>https://unstats.un.org/sdgs/dataportal</t>
        </is>
      </c>
      <c r="G138" s="17" t="inlineStr">
        <is>
          <t>https://web.archive.org/web/20261006054519/https://unstats.un.org/sdgs/dataportal</t>
        </is>
      </c>
      <c r="H138" s="4" t="inlineStr">
        <is>
          <t>global_un_sdg_global_database</t>
        </is>
      </c>
    </row>
    <row r="139">
      <c r="A139" s="4" t="inlineStr">
        <is>
          <t>un.org</t>
        </is>
      </c>
      <c r="B139" s="4" t="inlineStr">
        <is>
          <t>World Population Prospects (WPP)</t>
        </is>
      </c>
      <c r="C139" s="4" t="inlineStr">
        <is>
          <t>fetcher got a challenge/empty page</t>
        </is>
      </c>
      <c r="D139" s="4" t="inlineStr">
        <is>
          <t>page loads and names this dataset; not retired or discontinued; licence / terms; years covered and latest year; finest spatial unit (listed: country); access route; download formats</t>
        </is>
      </c>
      <c r="E139" s="4" t="inlineStr"/>
      <c r="F139" s="17" t="inlineStr">
        <is>
          <t>https://population.un.org/wpp/</t>
        </is>
      </c>
      <c r="G139" s="17" t="inlineStr">
        <is>
          <t>https://web.archive.org/web/20261018122712/https://population.un.org/wpp/</t>
        </is>
      </c>
      <c r="H139" s="4" t="inlineStr">
        <is>
          <t>global_un_wpp</t>
        </is>
      </c>
    </row>
    <row r="140">
      <c r="A140" s="4" t="inlineStr">
        <is>
          <t>unhabitat.org</t>
        </is>
      </c>
      <c r="B140" s="4" t="inlineStr">
        <is>
          <t>Global Urban Indicators Database (Urban Indicators / data.unhabitat.org)</t>
        </is>
      </c>
      <c r="C140" s="4" t="inlineStr">
        <is>
          <t>blocked_bot (401/403/202 challenge)</t>
        </is>
      </c>
      <c r="D140" s="4" t="inlineStr">
        <is>
          <t>page loads and names this dataset; not retired or discontinued; licence / terms; years covered and latest year; finest spatial unit (listed: postcode_small_area); access route; download formats</t>
        </is>
      </c>
      <c r="E140" s="4" t="inlineStr">
        <is>
          <t>yes</t>
        </is>
      </c>
      <c r="F140" s="17" t="inlineStr">
        <is>
          <t>https://unhabitat.org/global-urban-indicators-database</t>
        </is>
      </c>
      <c r="G140" s="17" t="inlineStr">
        <is>
          <t>https://web.archive.org/web/20261015013329/https://unhabitat.org/global-urban-indicators-database</t>
        </is>
      </c>
      <c r="H140" s="4" t="inlineStr">
        <is>
          <t>global_unhabitat_global_urban_indicators</t>
        </is>
      </c>
    </row>
    <row r="141">
      <c r="A141" s="4" t="inlineStr">
        <is>
          <t>unhcr.org</t>
        </is>
      </c>
      <c r="B141" s="4" t="inlineStr">
        <is>
          <t>Refugee Data Finder (Refugee Population Statistics Database)</t>
        </is>
      </c>
      <c r="C141" s="4" t="inlineStr">
        <is>
          <t>blocked_bot (401/403/202 challenge)</t>
        </is>
      </c>
      <c r="D141" s="4" t="inlineStr">
        <is>
          <t>page loads and names this dataset; not retired or discontinued; licence / terms; years covered and latest year; finest spatial unit (listed: country); access route; download formats</t>
        </is>
      </c>
      <c r="E141" s="4" t="inlineStr"/>
      <c r="F141" s="17" t="inlineStr">
        <is>
          <t>https://www.unhcr.org/refugee-statistics/</t>
        </is>
      </c>
      <c r="G141" s="17" t="inlineStr">
        <is>
          <t>https://web.archive.org/web/20261016014220/https://www.unhcr.org/refugee-statistics/</t>
        </is>
      </c>
      <c r="H141" s="4" t="inlineStr">
        <is>
          <t>global_unhcr_refugee_data_finder</t>
        </is>
      </c>
    </row>
    <row r="142">
      <c r="A142" s="4" t="inlineStr">
        <is>
          <t>unicef.org</t>
        </is>
      </c>
      <c r="B142" s="4" t="inlineStr">
        <is>
          <t>Multiple Indicator Cluster Surveys (MICS)</t>
        </is>
      </c>
      <c r="C142" s="4" t="inlineStr">
        <is>
          <t>blocked_bot (401/403/202 challenge)</t>
        </is>
      </c>
      <c r="D142" s="4" t="inlineStr">
        <is>
          <t>page loads and names this dataset; not retired or discontinued; licence / terms; years covered and latest year; finest spatial unit (listed: unknown); access route; download formats</t>
        </is>
      </c>
      <c r="E142" s="4" t="inlineStr"/>
      <c r="F142" s="17" t="inlineStr">
        <is>
          <t>https://mics.unicef.org/surveys</t>
        </is>
      </c>
      <c r="G142" s="17" t="inlineStr">
        <is>
          <t>https://web.archive.org/web/20260925051952/https://mics.unicef.org/surveys</t>
        </is>
      </c>
      <c r="H142" s="4" t="inlineStr">
        <is>
          <t>global_unicef_mics</t>
        </is>
      </c>
    </row>
    <row r="143">
      <c r="A143" s="4" t="inlineStr">
        <is>
          <t>usda.gov</t>
        </is>
      </c>
      <c r="B143" s="4" t="inlineStr">
        <is>
          <t>USDA Pesticide Data Program (PDP) residue database</t>
        </is>
      </c>
      <c r="C143" s="4" t="inlineStr">
        <is>
          <t>fetcher got a challenge/empty page</t>
        </is>
      </c>
      <c r="D143" s="4" t="inlineStr">
        <is>
          <t>page loads and names this dataset; not retired or discontinued; licence / terms; years covered and latest year; finest spatial unit (listed: admin1); access route; download formats</t>
        </is>
      </c>
      <c r="E143" s="4" t="inlineStr">
        <is>
          <t>yes</t>
        </is>
      </c>
      <c r="F143" s="17" t="inlineStr">
        <is>
          <t>https://www.ams.usda.gov/datasets/pdp</t>
        </is>
      </c>
      <c r="G143" s="17" t="inlineStr">
        <is>
          <t>https://web.archive.org/web/20261012154430/https://www.ams.usda.gov/datasets/pdp</t>
        </is>
      </c>
      <c r="H143" s="4" t="inlineStr">
        <is>
          <t>us_usda_pdp_pesticide_residues</t>
        </is>
      </c>
    </row>
    <row r="144">
      <c r="A144" s="4" t="inlineStr">
        <is>
          <t>usda.gov</t>
        </is>
      </c>
      <c r="B144" s="4" t="inlineStr">
        <is>
          <t>SNAP Retailer Locator data (current and historical authorized retailers)</t>
        </is>
      </c>
      <c r="C144" s="4" t="inlineStr">
        <is>
          <t>fetcher got a challenge/empty page</t>
        </is>
      </c>
      <c r="D144" s="4" t="inlineStr">
        <is>
          <t>page loads and names this dataset; not retired or discontinued; licence / terms; years covered and latest year; finest spatial unit (listed: point); access route; download formats</t>
        </is>
      </c>
      <c r="E144" s="4" t="inlineStr"/>
      <c r="F144" s="17" t="inlineStr">
        <is>
          <t>https://www.fns.usda.gov/snap/retailer-locator</t>
        </is>
      </c>
      <c r="G144" s="17" t="inlineStr">
        <is>
          <t>https://web.archive.org/web/20261009190650/https://www.fns.usda.gov/snap/retailer-locator</t>
        </is>
      </c>
      <c r="H144" s="4" t="inlineStr">
        <is>
          <t>us_usda_fns_snap_retailers</t>
        </is>
      </c>
    </row>
    <row r="145">
      <c r="A145" s="4" t="inlineStr">
        <is>
          <t>waterqualitydata.us</t>
        </is>
      </c>
      <c r="B145" s="4" t="inlineStr">
        <is>
          <t>Water Quality Portal (WQP) - USGS NWIS, EPA WQX/STORET and 400+ agencies</t>
        </is>
      </c>
      <c r="C145" s="4" t="inlineStr">
        <is>
          <t>blocked_robots</t>
        </is>
      </c>
      <c r="D145" s="4" t="inlineStr">
        <is>
          <t>page loads and names this dataset; not retired or discontinued; licence / terms; years covered and latest year; finest spatial unit (listed: point); access route; download formats</t>
        </is>
      </c>
      <c r="E145" s="4" t="inlineStr"/>
      <c r="F145" s="17" t="inlineStr">
        <is>
          <t>https://www.waterqualitydata.us/</t>
        </is>
      </c>
      <c r="G145" s="17" t="inlineStr">
        <is>
          <t>https://web.archive.org/web/20261017120244/https://www.waterqualitydata.us/</t>
        </is>
      </c>
      <c r="H145" s="4" t="inlineStr">
        <is>
          <t>us_wqp_water_quality_portal</t>
        </is>
      </c>
    </row>
    <row r="146">
      <c r="A146" s="4" t="inlineStr">
        <is>
          <t>wfp.org</t>
        </is>
      </c>
      <c r="B146" s="4" t="inlineStr">
        <is>
          <t>HungerMap LIVE</t>
        </is>
      </c>
      <c r="C146" s="4" t="inlineStr">
        <is>
          <t>fetcher got a challenge/empty page</t>
        </is>
      </c>
      <c r="D146" s="4" t="inlineStr">
        <is>
          <t>page loads and names this dataset; not retired or discontinued; licence / terms; years covered and latest year; finest spatial unit (listed: country); access route; download formats</t>
        </is>
      </c>
      <c r="E146" s="4" t="inlineStr"/>
      <c r="F146" s="17" t="inlineStr">
        <is>
          <t>https://hungermap.wfp.org/</t>
        </is>
      </c>
      <c r="G146" s="17" t="inlineStr">
        <is>
          <t>https://web.archive.org/web/20261012235304/https://hungermap.wfp.org/</t>
        </is>
      </c>
      <c r="H146" s="4" t="inlineStr">
        <is>
          <t>global_wfp_hungermap_live</t>
        </is>
      </c>
    </row>
    <row r="147">
      <c r="A147" s="4" t="inlineStr">
        <is>
          <t>who.int</t>
        </is>
      </c>
      <c r="B147" s="4" t="inlineStr">
        <is>
          <t>European Health Information Gateway</t>
        </is>
      </c>
      <c r="C147" s="4" t="inlineStr">
        <is>
          <t>certificate: tls_incomplete_chain</t>
        </is>
      </c>
      <c r="D147" s="4" t="inlineStr">
        <is>
          <t>browser accepts the certificate (tls_incomplete_chain); page loads and names this dataset; not retired or discontinued; licence / terms; years covered and latest year; finest spatial unit (listed: country); access route; download formats</t>
        </is>
      </c>
      <c r="E147" s="4" t="inlineStr"/>
      <c r="F147" s="17" t="inlineStr">
        <is>
          <t>https://gateway.euro.who.int/en/</t>
        </is>
      </c>
      <c r="G147" s="17" t="inlineStr">
        <is>
          <t>https://web.archive.org/web/20261014181156/https://gateway.euro.who.int/en/</t>
        </is>
      </c>
      <c r="H147" s="4" t="inlineStr">
        <is>
          <t>global_who_euro_health_information_gateway</t>
        </is>
      </c>
    </row>
    <row r="148">
      <c r="A148" s="4" t="inlineStr">
        <is>
          <t>worldpop.org</t>
        </is>
      </c>
      <c r="B148" s="4" t="inlineStr">
        <is>
          <t>WorldPop Population Counts, global mosaics 2015-2030, 1 km (R2025A v1)</t>
        </is>
      </c>
      <c r="C148" s="4" t="inlineStr">
        <is>
          <t>timeout</t>
        </is>
      </c>
      <c r="D148" s="4" t="inlineStr">
        <is>
          <t>page loads and names this dataset; not retired or discontinued; licence / terms; years covered and latest year; finest spatial unit (listed: grid_1km); access route; download formats</t>
        </is>
      </c>
      <c r="E148" s="4" t="inlineStr"/>
      <c r="F148" s="17" t="inlineStr">
        <is>
          <t>https://hub.worldpop.org/project/categories?id=3</t>
        </is>
      </c>
      <c r="G148" s="17" t="inlineStr">
        <is>
          <t>https://web.archive.org/web/20261013032655/https://hub.worldpop.org/project/categories?id=3</t>
        </is>
      </c>
      <c r="H148" s="4" t="inlineStr">
        <is>
          <t>global_worldpop_population_1km</t>
        </is>
      </c>
    </row>
    <row r="149">
      <c r="A149" s="4" t="inlineStr">
        <is>
          <t>worldpop.org</t>
        </is>
      </c>
      <c r="B149" s="4" t="inlineStr">
        <is>
          <t>WorldPop Population Counts, individual countries 2015-2030, 100 m (R2025A v1, constrained and unconstrained)</t>
        </is>
      </c>
      <c r="C149" s="4" t="inlineStr">
        <is>
          <t>timeout</t>
        </is>
      </c>
      <c r="D149" s="4" t="inlineStr">
        <is>
          <t>page loads and names this dataset; not retired or discontinued; licence / terms; years covered and latest year; finest spatial unit (listed: grid_100m); access route; download formats</t>
        </is>
      </c>
      <c r="E149" s="4" t="inlineStr"/>
      <c r="F149" s="17" t="inlineStr">
        <is>
          <t>https://hub.worldpop.org/project/categories?id=3</t>
        </is>
      </c>
      <c r="G149" s="17" t="inlineStr">
        <is>
          <t>https://web.archive.org/web/20261013032655/https://hub.worldpop.org/project/categories?id=3</t>
        </is>
      </c>
      <c r="H149" s="4" t="inlineStr">
        <is>
          <t>global_worldpop_population_100m</t>
        </is>
      </c>
    </row>
    <row r="150">
      <c r="A150" s="4" t="inlineStr">
        <is>
          <t>www.gov.scot</t>
        </is>
      </c>
      <c r="B150" s="4" t="inlineStr">
        <is>
          <t>Scottish Index of Multiple Deprivation 2020</t>
        </is>
      </c>
      <c r="C150" s="4" t="inlineStr">
        <is>
          <t>blocked_bot (401/403/202 challenge)</t>
        </is>
      </c>
      <c r="D150" s="4" t="inlineStr">
        <is>
          <t>page loads and names this dataset; not retired or discontinued; licence / terms; years covered and latest year; finest spatial unit (listed: zcta_zip); access route; download formats</t>
        </is>
      </c>
      <c r="E150" s="4" t="inlineStr">
        <is>
          <t>yes</t>
        </is>
      </c>
      <c r="F150" s="17" t="inlineStr">
        <is>
          <t>https://www.gov.scot/collections/scottish-index-of-multiple-deprivation-2020/</t>
        </is>
      </c>
      <c r="G150" s="17" t="inlineStr">
        <is>
          <t>https://web.archive.org/web/20261015103539/https://www.gov.scot/collections/scottish-index-of-multiple-deprivation-2020/</t>
        </is>
      </c>
      <c r="H150" s="4" t="inlineStr">
        <is>
          <t>gb_scotgov_simd</t>
        </is>
      </c>
    </row>
    <row r="151">
      <c r="A151" s="4" t="inlineStr">
        <is>
          <t>zillow.com</t>
        </is>
      </c>
      <c r="B151" s="4" t="inlineStr">
        <is>
          <t>Zillow Research Data (ZHVI, ZORI, inventory, sales)</t>
        </is>
      </c>
      <c r="C151" s="4" t="inlineStr">
        <is>
          <t>fetcher got a challenge/empty page</t>
        </is>
      </c>
      <c r="D151" s="4" t="inlineStr">
        <is>
          <t>page loads and names this dataset; not retired or discontinued; licence / terms; years covered and latest year; finest spatial unit (listed: zcta_zip); access route; download formats</t>
        </is>
      </c>
      <c r="E151" s="4" t="inlineStr">
        <is>
          <t>yes</t>
        </is>
      </c>
      <c r="F151" s="17" t="inlineStr">
        <is>
          <t>https://www.zillow.com/research/data/</t>
        </is>
      </c>
      <c r="G151" s="17" t="inlineStr">
        <is>
          <t>https://web.archive.org/web/20261017051657/https://www.zillow.com/research/data/</t>
        </is>
      </c>
      <c r="H151" s="4" t="inlineStr">
        <is>
          <t>us_zillow_research_data</t>
        </is>
      </c>
    </row>
  </sheetData>
  <autoFilter ref="A1:H151"/>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F6" r:id="rId8"/>
    <hyperlink xmlns:r="http://schemas.openxmlformats.org/officeDocument/2006/relationships" ref="G6" r:id="rId9"/>
    <hyperlink xmlns:r="http://schemas.openxmlformats.org/officeDocument/2006/relationships" ref="F7"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F12" r:id="rId19"/>
    <hyperlink xmlns:r="http://schemas.openxmlformats.org/officeDocument/2006/relationships" ref="G12" r:id="rId20"/>
    <hyperlink xmlns:r="http://schemas.openxmlformats.org/officeDocument/2006/relationships" ref="F13" r:id="rId21"/>
    <hyperlink xmlns:r="http://schemas.openxmlformats.org/officeDocument/2006/relationships" ref="G13" r:id="rId22"/>
    <hyperlink xmlns:r="http://schemas.openxmlformats.org/officeDocument/2006/relationships" ref="F14" r:id="rId23"/>
    <hyperlink xmlns:r="http://schemas.openxmlformats.org/officeDocument/2006/relationships" ref="F15" r:id="rId24"/>
    <hyperlink xmlns:r="http://schemas.openxmlformats.org/officeDocument/2006/relationships" ref="G15" r:id="rId25"/>
    <hyperlink xmlns:r="http://schemas.openxmlformats.org/officeDocument/2006/relationships" ref="F16" r:id="rId26"/>
    <hyperlink xmlns:r="http://schemas.openxmlformats.org/officeDocument/2006/relationships" ref="G16" r:id="rId27"/>
    <hyperlink xmlns:r="http://schemas.openxmlformats.org/officeDocument/2006/relationships" ref="F17" r:id="rId28"/>
    <hyperlink xmlns:r="http://schemas.openxmlformats.org/officeDocument/2006/relationships" ref="G17" r:id="rId29"/>
    <hyperlink xmlns:r="http://schemas.openxmlformats.org/officeDocument/2006/relationships" ref="F18"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G22" r:id="rId39"/>
    <hyperlink xmlns:r="http://schemas.openxmlformats.org/officeDocument/2006/relationships" ref="F23" r:id="rId40"/>
    <hyperlink xmlns:r="http://schemas.openxmlformats.org/officeDocument/2006/relationships" ref="G23" r:id="rId41"/>
    <hyperlink xmlns:r="http://schemas.openxmlformats.org/officeDocument/2006/relationships" ref="F24"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F37" r:id="rId66"/>
    <hyperlink xmlns:r="http://schemas.openxmlformats.org/officeDocument/2006/relationships" ref="G37" r:id="rId67"/>
    <hyperlink xmlns:r="http://schemas.openxmlformats.org/officeDocument/2006/relationships" ref="F38" r:id="rId68"/>
    <hyperlink xmlns:r="http://schemas.openxmlformats.org/officeDocument/2006/relationships" ref="G38" r:id="rId69"/>
    <hyperlink xmlns:r="http://schemas.openxmlformats.org/officeDocument/2006/relationships" ref="F39" r:id="rId70"/>
    <hyperlink xmlns:r="http://schemas.openxmlformats.org/officeDocument/2006/relationships" ref="G39" r:id="rId71"/>
    <hyperlink xmlns:r="http://schemas.openxmlformats.org/officeDocument/2006/relationships" ref="F40" r:id="rId72"/>
    <hyperlink xmlns:r="http://schemas.openxmlformats.org/officeDocument/2006/relationships" ref="G40" r:id="rId73"/>
    <hyperlink xmlns:r="http://schemas.openxmlformats.org/officeDocument/2006/relationships" ref="F41" r:id="rId74"/>
    <hyperlink xmlns:r="http://schemas.openxmlformats.org/officeDocument/2006/relationships" ref="G41" r:id="rId75"/>
    <hyperlink xmlns:r="http://schemas.openxmlformats.org/officeDocument/2006/relationships" ref="F42" r:id="rId76"/>
    <hyperlink xmlns:r="http://schemas.openxmlformats.org/officeDocument/2006/relationships" ref="G42" r:id="rId77"/>
    <hyperlink xmlns:r="http://schemas.openxmlformats.org/officeDocument/2006/relationships" ref="F43" r:id="rId78"/>
    <hyperlink xmlns:r="http://schemas.openxmlformats.org/officeDocument/2006/relationships" ref="G43" r:id="rId79"/>
    <hyperlink xmlns:r="http://schemas.openxmlformats.org/officeDocument/2006/relationships" ref="F44" r:id="rId80"/>
    <hyperlink xmlns:r="http://schemas.openxmlformats.org/officeDocument/2006/relationships" ref="G44" r:id="rId81"/>
    <hyperlink xmlns:r="http://schemas.openxmlformats.org/officeDocument/2006/relationships" ref="F45" r:id="rId82"/>
    <hyperlink xmlns:r="http://schemas.openxmlformats.org/officeDocument/2006/relationships" ref="G45" r:id="rId83"/>
    <hyperlink xmlns:r="http://schemas.openxmlformats.org/officeDocument/2006/relationships" ref="F46" r:id="rId84"/>
    <hyperlink xmlns:r="http://schemas.openxmlformats.org/officeDocument/2006/relationships" ref="G46" r:id="rId85"/>
    <hyperlink xmlns:r="http://schemas.openxmlformats.org/officeDocument/2006/relationships" ref="F47" r:id="rId86"/>
    <hyperlink xmlns:r="http://schemas.openxmlformats.org/officeDocument/2006/relationships" ref="G47" r:id="rId87"/>
    <hyperlink xmlns:r="http://schemas.openxmlformats.org/officeDocument/2006/relationships" ref="F48" r:id="rId88"/>
    <hyperlink xmlns:r="http://schemas.openxmlformats.org/officeDocument/2006/relationships" ref="G48" r:id="rId89"/>
    <hyperlink xmlns:r="http://schemas.openxmlformats.org/officeDocument/2006/relationships" ref="F49" r:id="rId90"/>
    <hyperlink xmlns:r="http://schemas.openxmlformats.org/officeDocument/2006/relationships" ref="G49" r:id="rId91"/>
    <hyperlink xmlns:r="http://schemas.openxmlformats.org/officeDocument/2006/relationships" ref="F50" r:id="rId92"/>
    <hyperlink xmlns:r="http://schemas.openxmlformats.org/officeDocument/2006/relationships" ref="G50" r:id="rId93"/>
    <hyperlink xmlns:r="http://schemas.openxmlformats.org/officeDocument/2006/relationships" ref="F51" r:id="rId94"/>
    <hyperlink xmlns:r="http://schemas.openxmlformats.org/officeDocument/2006/relationships" ref="G51" r:id="rId95"/>
    <hyperlink xmlns:r="http://schemas.openxmlformats.org/officeDocument/2006/relationships" ref="F52" r:id="rId96"/>
    <hyperlink xmlns:r="http://schemas.openxmlformats.org/officeDocument/2006/relationships" ref="G52" r:id="rId97"/>
    <hyperlink xmlns:r="http://schemas.openxmlformats.org/officeDocument/2006/relationships" ref="F53" r:id="rId98"/>
    <hyperlink xmlns:r="http://schemas.openxmlformats.org/officeDocument/2006/relationships" ref="G53" r:id="rId99"/>
    <hyperlink xmlns:r="http://schemas.openxmlformats.org/officeDocument/2006/relationships" ref="F54" r:id="rId100"/>
    <hyperlink xmlns:r="http://schemas.openxmlformats.org/officeDocument/2006/relationships" ref="G54" r:id="rId101"/>
    <hyperlink xmlns:r="http://schemas.openxmlformats.org/officeDocument/2006/relationships" ref="F55" r:id="rId102"/>
    <hyperlink xmlns:r="http://schemas.openxmlformats.org/officeDocument/2006/relationships" ref="F56" r:id="rId103"/>
    <hyperlink xmlns:r="http://schemas.openxmlformats.org/officeDocument/2006/relationships" ref="G56" r:id="rId104"/>
    <hyperlink xmlns:r="http://schemas.openxmlformats.org/officeDocument/2006/relationships" ref="F57" r:id="rId105"/>
    <hyperlink xmlns:r="http://schemas.openxmlformats.org/officeDocument/2006/relationships" ref="G57" r:id="rId106"/>
    <hyperlink xmlns:r="http://schemas.openxmlformats.org/officeDocument/2006/relationships" ref="F58" r:id="rId107"/>
    <hyperlink xmlns:r="http://schemas.openxmlformats.org/officeDocument/2006/relationships" ref="F59" r:id="rId108"/>
    <hyperlink xmlns:r="http://schemas.openxmlformats.org/officeDocument/2006/relationships" ref="G59" r:id="rId109"/>
    <hyperlink xmlns:r="http://schemas.openxmlformats.org/officeDocument/2006/relationships" ref="F60" r:id="rId110"/>
    <hyperlink xmlns:r="http://schemas.openxmlformats.org/officeDocument/2006/relationships" ref="G60" r:id="rId111"/>
    <hyperlink xmlns:r="http://schemas.openxmlformats.org/officeDocument/2006/relationships" ref="F61" r:id="rId112"/>
    <hyperlink xmlns:r="http://schemas.openxmlformats.org/officeDocument/2006/relationships" ref="G61" r:id="rId113"/>
    <hyperlink xmlns:r="http://schemas.openxmlformats.org/officeDocument/2006/relationships" ref="F62" r:id="rId114"/>
    <hyperlink xmlns:r="http://schemas.openxmlformats.org/officeDocument/2006/relationships" ref="G62" r:id="rId115"/>
    <hyperlink xmlns:r="http://schemas.openxmlformats.org/officeDocument/2006/relationships" ref="F63" r:id="rId116"/>
    <hyperlink xmlns:r="http://schemas.openxmlformats.org/officeDocument/2006/relationships" ref="G63" r:id="rId117"/>
    <hyperlink xmlns:r="http://schemas.openxmlformats.org/officeDocument/2006/relationships" ref="F64" r:id="rId118"/>
    <hyperlink xmlns:r="http://schemas.openxmlformats.org/officeDocument/2006/relationships" ref="G64" r:id="rId119"/>
    <hyperlink xmlns:r="http://schemas.openxmlformats.org/officeDocument/2006/relationships" ref="F65" r:id="rId120"/>
    <hyperlink xmlns:r="http://schemas.openxmlformats.org/officeDocument/2006/relationships" ref="G65" r:id="rId121"/>
    <hyperlink xmlns:r="http://schemas.openxmlformats.org/officeDocument/2006/relationships" ref="F66" r:id="rId122"/>
    <hyperlink xmlns:r="http://schemas.openxmlformats.org/officeDocument/2006/relationships" ref="G66" r:id="rId123"/>
    <hyperlink xmlns:r="http://schemas.openxmlformats.org/officeDocument/2006/relationships" ref="F67" r:id="rId124"/>
    <hyperlink xmlns:r="http://schemas.openxmlformats.org/officeDocument/2006/relationships" ref="G67" r:id="rId125"/>
    <hyperlink xmlns:r="http://schemas.openxmlformats.org/officeDocument/2006/relationships" ref="F68" r:id="rId126"/>
    <hyperlink xmlns:r="http://schemas.openxmlformats.org/officeDocument/2006/relationships" ref="G68" r:id="rId127"/>
    <hyperlink xmlns:r="http://schemas.openxmlformats.org/officeDocument/2006/relationships" ref="F69" r:id="rId128"/>
    <hyperlink xmlns:r="http://schemas.openxmlformats.org/officeDocument/2006/relationships" ref="G69" r:id="rId129"/>
    <hyperlink xmlns:r="http://schemas.openxmlformats.org/officeDocument/2006/relationships" ref="F70" r:id="rId130"/>
    <hyperlink xmlns:r="http://schemas.openxmlformats.org/officeDocument/2006/relationships" ref="G70" r:id="rId131"/>
    <hyperlink xmlns:r="http://schemas.openxmlformats.org/officeDocument/2006/relationships" ref="F71" r:id="rId132"/>
    <hyperlink xmlns:r="http://schemas.openxmlformats.org/officeDocument/2006/relationships" ref="G71" r:id="rId133"/>
    <hyperlink xmlns:r="http://schemas.openxmlformats.org/officeDocument/2006/relationships" ref="F72" r:id="rId134"/>
    <hyperlink xmlns:r="http://schemas.openxmlformats.org/officeDocument/2006/relationships" ref="G72" r:id="rId135"/>
    <hyperlink xmlns:r="http://schemas.openxmlformats.org/officeDocument/2006/relationships" ref="F73" r:id="rId136"/>
    <hyperlink xmlns:r="http://schemas.openxmlformats.org/officeDocument/2006/relationships" ref="G73" r:id="rId137"/>
    <hyperlink xmlns:r="http://schemas.openxmlformats.org/officeDocument/2006/relationships" ref="F74" r:id="rId138"/>
    <hyperlink xmlns:r="http://schemas.openxmlformats.org/officeDocument/2006/relationships" ref="G74" r:id="rId139"/>
    <hyperlink xmlns:r="http://schemas.openxmlformats.org/officeDocument/2006/relationships" ref="F75" r:id="rId140"/>
    <hyperlink xmlns:r="http://schemas.openxmlformats.org/officeDocument/2006/relationships" ref="G75" r:id="rId141"/>
    <hyperlink xmlns:r="http://schemas.openxmlformats.org/officeDocument/2006/relationships" ref="F76" r:id="rId142"/>
    <hyperlink xmlns:r="http://schemas.openxmlformats.org/officeDocument/2006/relationships" ref="G76" r:id="rId143"/>
    <hyperlink xmlns:r="http://schemas.openxmlformats.org/officeDocument/2006/relationships" ref="F77" r:id="rId144"/>
    <hyperlink xmlns:r="http://schemas.openxmlformats.org/officeDocument/2006/relationships" ref="G77" r:id="rId145"/>
    <hyperlink xmlns:r="http://schemas.openxmlformats.org/officeDocument/2006/relationships" ref="F78" r:id="rId146"/>
    <hyperlink xmlns:r="http://schemas.openxmlformats.org/officeDocument/2006/relationships" ref="G78" r:id="rId147"/>
    <hyperlink xmlns:r="http://schemas.openxmlformats.org/officeDocument/2006/relationships" ref="F79" r:id="rId148"/>
    <hyperlink xmlns:r="http://schemas.openxmlformats.org/officeDocument/2006/relationships" ref="F80" r:id="rId149"/>
    <hyperlink xmlns:r="http://schemas.openxmlformats.org/officeDocument/2006/relationships" ref="G80" r:id="rId150"/>
    <hyperlink xmlns:r="http://schemas.openxmlformats.org/officeDocument/2006/relationships" ref="F81" r:id="rId151"/>
    <hyperlink xmlns:r="http://schemas.openxmlformats.org/officeDocument/2006/relationships" ref="G81" r:id="rId152"/>
    <hyperlink xmlns:r="http://schemas.openxmlformats.org/officeDocument/2006/relationships" ref="F82" r:id="rId153"/>
    <hyperlink xmlns:r="http://schemas.openxmlformats.org/officeDocument/2006/relationships" ref="F83" r:id="rId154"/>
    <hyperlink xmlns:r="http://schemas.openxmlformats.org/officeDocument/2006/relationships" ref="G83" r:id="rId155"/>
    <hyperlink xmlns:r="http://schemas.openxmlformats.org/officeDocument/2006/relationships" ref="F84" r:id="rId156"/>
    <hyperlink xmlns:r="http://schemas.openxmlformats.org/officeDocument/2006/relationships" ref="G84" r:id="rId157"/>
    <hyperlink xmlns:r="http://schemas.openxmlformats.org/officeDocument/2006/relationships" ref="F85" r:id="rId158"/>
    <hyperlink xmlns:r="http://schemas.openxmlformats.org/officeDocument/2006/relationships" ref="G85" r:id="rId159"/>
    <hyperlink xmlns:r="http://schemas.openxmlformats.org/officeDocument/2006/relationships" ref="F86" r:id="rId160"/>
    <hyperlink xmlns:r="http://schemas.openxmlformats.org/officeDocument/2006/relationships" ref="G86" r:id="rId161"/>
    <hyperlink xmlns:r="http://schemas.openxmlformats.org/officeDocument/2006/relationships" ref="F87" r:id="rId162"/>
    <hyperlink xmlns:r="http://schemas.openxmlformats.org/officeDocument/2006/relationships" ref="G87" r:id="rId163"/>
    <hyperlink xmlns:r="http://schemas.openxmlformats.org/officeDocument/2006/relationships" ref="F88" r:id="rId164"/>
    <hyperlink xmlns:r="http://schemas.openxmlformats.org/officeDocument/2006/relationships" ref="G88" r:id="rId165"/>
    <hyperlink xmlns:r="http://schemas.openxmlformats.org/officeDocument/2006/relationships" ref="F89" r:id="rId166"/>
    <hyperlink xmlns:r="http://schemas.openxmlformats.org/officeDocument/2006/relationships" ref="G89" r:id="rId167"/>
    <hyperlink xmlns:r="http://schemas.openxmlformats.org/officeDocument/2006/relationships" ref="F90" r:id="rId168"/>
    <hyperlink xmlns:r="http://schemas.openxmlformats.org/officeDocument/2006/relationships" ref="G90" r:id="rId169"/>
    <hyperlink xmlns:r="http://schemas.openxmlformats.org/officeDocument/2006/relationships" ref="F91" r:id="rId170"/>
    <hyperlink xmlns:r="http://schemas.openxmlformats.org/officeDocument/2006/relationships" ref="G91" r:id="rId171"/>
    <hyperlink xmlns:r="http://schemas.openxmlformats.org/officeDocument/2006/relationships" ref="F92" r:id="rId172"/>
    <hyperlink xmlns:r="http://schemas.openxmlformats.org/officeDocument/2006/relationships" ref="G92" r:id="rId173"/>
    <hyperlink xmlns:r="http://schemas.openxmlformats.org/officeDocument/2006/relationships" ref="F93" r:id="rId174"/>
    <hyperlink xmlns:r="http://schemas.openxmlformats.org/officeDocument/2006/relationships" ref="G93" r:id="rId175"/>
    <hyperlink xmlns:r="http://schemas.openxmlformats.org/officeDocument/2006/relationships" ref="F94" r:id="rId176"/>
    <hyperlink xmlns:r="http://schemas.openxmlformats.org/officeDocument/2006/relationships" ref="G94" r:id="rId177"/>
    <hyperlink xmlns:r="http://schemas.openxmlformats.org/officeDocument/2006/relationships" ref="F95" r:id="rId178"/>
    <hyperlink xmlns:r="http://schemas.openxmlformats.org/officeDocument/2006/relationships" ref="G95" r:id="rId179"/>
    <hyperlink xmlns:r="http://schemas.openxmlformats.org/officeDocument/2006/relationships" ref="F96" r:id="rId180"/>
    <hyperlink xmlns:r="http://schemas.openxmlformats.org/officeDocument/2006/relationships" ref="G96" r:id="rId181"/>
    <hyperlink xmlns:r="http://schemas.openxmlformats.org/officeDocument/2006/relationships" ref="F97" r:id="rId182"/>
    <hyperlink xmlns:r="http://schemas.openxmlformats.org/officeDocument/2006/relationships" ref="G97" r:id="rId183"/>
    <hyperlink xmlns:r="http://schemas.openxmlformats.org/officeDocument/2006/relationships" ref="F98" r:id="rId184"/>
    <hyperlink xmlns:r="http://schemas.openxmlformats.org/officeDocument/2006/relationships" ref="G98" r:id="rId185"/>
    <hyperlink xmlns:r="http://schemas.openxmlformats.org/officeDocument/2006/relationships" ref="F99" r:id="rId186"/>
    <hyperlink xmlns:r="http://schemas.openxmlformats.org/officeDocument/2006/relationships" ref="G99" r:id="rId187"/>
    <hyperlink xmlns:r="http://schemas.openxmlformats.org/officeDocument/2006/relationships" ref="F100" r:id="rId188"/>
    <hyperlink xmlns:r="http://schemas.openxmlformats.org/officeDocument/2006/relationships" ref="G100" r:id="rId189"/>
    <hyperlink xmlns:r="http://schemas.openxmlformats.org/officeDocument/2006/relationships" ref="F101" r:id="rId190"/>
    <hyperlink xmlns:r="http://schemas.openxmlformats.org/officeDocument/2006/relationships" ref="G101" r:id="rId191"/>
    <hyperlink xmlns:r="http://schemas.openxmlformats.org/officeDocument/2006/relationships" ref="F102" r:id="rId192"/>
    <hyperlink xmlns:r="http://schemas.openxmlformats.org/officeDocument/2006/relationships" ref="G102" r:id="rId193"/>
    <hyperlink xmlns:r="http://schemas.openxmlformats.org/officeDocument/2006/relationships" ref="F103" r:id="rId194"/>
    <hyperlink xmlns:r="http://schemas.openxmlformats.org/officeDocument/2006/relationships" ref="G103" r:id="rId195"/>
    <hyperlink xmlns:r="http://schemas.openxmlformats.org/officeDocument/2006/relationships" ref="F104" r:id="rId196"/>
    <hyperlink xmlns:r="http://schemas.openxmlformats.org/officeDocument/2006/relationships" ref="G104" r:id="rId197"/>
    <hyperlink xmlns:r="http://schemas.openxmlformats.org/officeDocument/2006/relationships" ref="F105" r:id="rId198"/>
    <hyperlink xmlns:r="http://schemas.openxmlformats.org/officeDocument/2006/relationships" ref="G105" r:id="rId199"/>
    <hyperlink xmlns:r="http://schemas.openxmlformats.org/officeDocument/2006/relationships" ref="F106" r:id="rId200"/>
    <hyperlink xmlns:r="http://schemas.openxmlformats.org/officeDocument/2006/relationships" ref="G106" r:id="rId201"/>
    <hyperlink xmlns:r="http://schemas.openxmlformats.org/officeDocument/2006/relationships" ref="F107" r:id="rId202"/>
    <hyperlink xmlns:r="http://schemas.openxmlformats.org/officeDocument/2006/relationships" ref="G107" r:id="rId203"/>
    <hyperlink xmlns:r="http://schemas.openxmlformats.org/officeDocument/2006/relationships" ref="F108" r:id="rId204"/>
    <hyperlink xmlns:r="http://schemas.openxmlformats.org/officeDocument/2006/relationships" ref="G108" r:id="rId205"/>
    <hyperlink xmlns:r="http://schemas.openxmlformats.org/officeDocument/2006/relationships" ref="F109" r:id="rId206"/>
    <hyperlink xmlns:r="http://schemas.openxmlformats.org/officeDocument/2006/relationships" ref="G109" r:id="rId207"/>
    <hyperlink xmlns:r="http://schemas.openxmlformats.org/officeDocument/2006/relationships" ref="F110" r:id="rId208"/>
    <hyperlink xmlns:r="http://schemas.openxmlformats.org/officeDocument/2006/relationships" ref="G110" r:id="rId209"/>
    <hyperlink xmlns:r="http://schemas.openxmlformats.org/officeDocument/2006/relationships" ref="F111" r:id="rId210"/>
    <hyperlink xmlns:r="http://schemas.openxmlformats.org/officeDocument/2006/relationships" ref="G111" r:id="rId211"/>
    <hyperlink xmlns:r="http://schemas.openxmlformats.org/officeDocument/2006/relationships" ref="F112" r:id="rId212"/>
    <hyperlink xmlns:r="http://schemas.openxmlformats.org/officeDocument/2006/relationships" ref="F113" r:id="rId213"/>
    <hyperlink xmlns:r="http://schemas.openxmlformats.org/officeDocument/2006/relationships" ref="G113" r:id="rId214"/>
    <hyperlink xmlns:r="http://schemas.openxmlformats.org/officeDocument/2006/relationships" ref="F114" r:id="rId215"/>
    <hyperlink xmlns:r="http://schemas.openxmlformats.org/officeDocument/2006/relationships" ref="F115" r:id="rId216"/>
    <hyperlink xmlns:r="http://schemas.openxmlformats.org/officeDocument/2006/relationships" ref="G115" r:id="rId217"/>
    <hyperlink xmlns:r="http://schemas.openxmlformats.org/officeDocument/2006/relationships" ref="F116" r:id="rId218"/>
    <hyperlink xmlns:r="http://schemas.openxmlformats.org/officeDocument/2006/relationships" ref="G116" r:id="rId219"/>
    <hyperlink xmlns:r="http://schemas.openxmlformats.org/officeDocument/2006/relationships" ref="F117" r:id="rId220"/>
    <hyperlink xmlns:r="http://schemas.openxmlformats.org/officeDocument/2006/relationships" ref="G117" r:id="rId221"/>
    <hyperlink xmlns:r="http://schemas.openxmlformats.org/officeDocument/2006/relationships" ref="F118" r:id="rId222"/>
    <hyperlink xmlns:r="http://schemas.openxmlformats.org/officeDocument/2006/relationships" ref="G118" r:id="rId223"/>
    <hyperlink xmlns:r="http://schemas.openxmlformats.org/officeDocument/2006/relationships" ref="F119" r:id="rId224"/>
    <hyperlink xmlns:r="http://schemas.openxmlformats.org/officeDocument/2006/relationships" ref="G119" r:id="rId225"/>
    <hyperlink xmlns:r="http://schemas.openxmlformats.org/officeDocument/2006/relationships" ref="F120" r:id="rId226"/>
    <hyperlink xmlns:r="http://schemas.openxmlformats.org/officeDocument/2006/relationships" ref="G120" r:id="rId227"/>
    <hyperlink xmlns:r="http://schemas.openxmlformats.org/officeDocument/2006/relationships" ref="F121" r:id="rId228"/>
    <hyperlink xmlns:r="http://schemas.openxmlformats.org/officeDocument/2006/relationships" ref="G121" r:id="rId229"/>
    <hyperlink xmlns:r="http://schemas.openxmlformats.org/officeDocument/2006/relationships" ref="F122" r:id="rId230"/>
    <hyperlink xmlns:r="http://schemas.openxmlformats.org/officeDocument/2006/relationships" ref="G122" r:id="rId231"/>
    <hyperlink xmlns:r="http://schemas.openxmlformats.org/officeDocument/2006/relationships" ref="F123" r:id="rId232"/>
    <hyperlink xmlns:r="http://schemas.openxmlformats.org/officeDocument/2006/relationships" ref="G123" r:id="rId233"/>
    <hyperlink xmlns:r="http://schemas.openxmlformats.org/officeDocument/2006/relationships" ref="F124" r:id="rId234"/>
    <hyperlink xmlns:r="http://schemas.openxmlformats.org/officeDocument/2006/relationships" ref="G124" r:id="rId235"/>
    <hyperlink xmlns:r="http://schemas.openxmlformats.org/officeDocument/2006/relationships" ref="F125" r:id="rId236"/>
    <hyperlink xmlns:r="http://schemas.openxmlformats.org/officeDocument/2006/relationships" ref="G125" r:id="rId237"/>
    <hyperlink xmlns:r="http://schemas.openxmlformats.org/officeDocument/2006/relationships" ref="F126" r:id="rId238"/>
    <hyperlink xmlns:r="http://schemas.openxmlformats.org/officeDocument/2006/relationships" ref="G126" r:id="rId239"/>
    <hyperlink xmlns:r="http://schemas.openxmlformats.org/officeDocument/2006/relationships" ref="F127" r:id="rId240"/>
    <hyperlink xmlns:r="http://schemas.openxmlformats.org/officeDocument/2006/relationships" ref="G127" r:id="rId241"/>
    <hyperlink xmlns:r="http://schemas.openxmlformats.org/officeDocument/2006/relationships" ref="F128" r:id="rId242"/>
    <hyperlink xmlns:r="http://schemas.openxmlformats.org/officeDocument/2006/relationships" ref="G128" r:id="rId243"/>
    <hyperlink xmlns:r="http://schemas.openxmlformats.org/officeDocument/2006/relationships" ref="F129" r:id="rId244"/>
    <hyperlink xmlns:r="http://schemas.openxmlformats.org/officeDocument/2006/relationships" ref="G129" r:id="rId245"/>
    <hyperlink xmlns:r="http://schemas.openxmlformats.org/officeDocument/2006/relationships" ref="F130" r:id="rId246"/>
    <hyperlink xmlns:r="http://schemas.openxmlformats.org/officeDocument/2006/relationships" ref="G130" r:id="rId247"/>
    <hyperlink xmlns:r="http://schemas.openxmlformats.org/officeDocument/2006/relationships" ref="F131" r:id="rId248"/>
    <hyperlink xmlns:r="http://schemas.openxmlformats.org/officeDocument/2006/relationships" ref="F132" r:id="rId249"/>
    <hyperlink xmlns:r="http://schemas.openxmlformats.org/officeDocument/2006/relationships" ref="F133" r:id="rId250"/>
    <hyperlink xmlns:r="http://schemas.openxmlformats.org/officeDocument/2006/relationships" ref="G133" r:id="rId251"/>
    <hyperlink xmlns:r="http://schemas.openxmlformats.org/officeDocument/2006/relationships" ref="F134" r:id="rId252"/>
    <hyperlink xmlns:r="http://schemas.openxmlformats.org/officeDocument/2006/relationships" ref="F135" r:id="rId253"/>
    <hyperlink xmlns:r="http://schemas.openxmlformats.org/officeDocument/2006/relationships" ref="G135" r:id="rId254"/>
    <hyperlink xmlns:r="http://schemas.openxmlformats.org/officeDocument/2006/relationships" ref="F136" r:id="rId255"/>
    <hyperlink xmlns:r="http://schemas.openxmlformats.org/officeDocument/2006/relationships" ref="G136" r:id="rId256"/>
    <hyperlink xmlns:r="http://schemas.openxmlformats.org/officeDocument/2006/relationships" ref="F137" r:id="rId257"/>
    <hyperlink xmlns:r="http://schemas.openxmlformats.org/officeDocument/2006/relationships" ref="G137" r:id="rId258"/>
    <hyperlink xmlns:r="http://schemas.openxmlformats.org/officeDocument/2006/relationships" ref="F138" r:id="rId259"/>
    <hyperlink xmlns:r="http://schemas.openxmlformats.org/officeDocument/2006/relationships" ref="G138" r:id="rId260"/>
    <hyperlink xmlns:r="http://schemas.openxmlformats.org/officeDocument/2006/relationships" ref="F139" r:id="rId261"/>
    <hyperlink xmlns:r="http://schemas.openxmlformats.org/officeDocument/2006/relationships" ref="G139" r:id="rId262"/>
    <hyperlink xmlns:r="http://schemas.openxmlformats.org/officeDocument/2006/relationships" ref="F140" r:id="rId263"/>
    <hyperlink xmlns:r="http://schemas.openxmlformats.org/officeDocument/2006/relationships" ref="G140" r:id="rId264"/>
    <hyperlink xmlns:r="http://schemas.openxmlformats.org/officeDocument/2006/relationships" ref="F141" r:id="rId265"/>
    <hyperlink xmlns:r="http://schemas.openxmlformats.org/officeDocument/2006/relationships" ref="G141" r:id="rId266"/>
    <hyperlink xmlns:r="http://schemas.openxmlformats.org/officeDocument/2006/relationships" ref="F142" r:id="rId267"/>
    <hyperlink xmlns:r="http://schemas.openxmlformats.org/officeDocument/2006/relationships" ref="G142" r:id="rId268"/>
    <hyperlink xmlns:r="http://schemas.openxmlformats.org/officeDocument/2006/relationships" ref="F143" r:id="rId269"/>
    <hyperlink xmlns:r="http://schemas.openxmlformats.org/officeDocument/2006/relationships" ref="G143" r:id="rId270"/>
    <hyperlink xmlns:r="http://schemas.openxmlformats.org/officeDocument/2006/relationships" ref="F144" r:id="rId271"/>
    <hyperlink xmlns:r="http://schemas.openxmlformats.org/officeDocument/2006/relationships" ref="G144" r:id="rId272"/>
    <hyperlink xmlns:r="http://schemas.openxmlformats.org/officeDocument/2006/relationships" ref="F145" r:id="rId273"/>
    <hyperlink xmlns:r="http://schemas.openxmlformats.org/officeDocument/2006/relationships" ref="G145" r:id="rId274"/>
    <hyperlink xmlns:r="http://schemas.openxmlformats.org/officeDocument/2006/relationships" ref="F146" r:id="rId275"/>
    <hyperlink xmlns:r="http://schemas.openxmlformats.org/officeDocument/2006/relationships" ref="G146" r:id="rId276"/>
    <hyperlink xmlns:r="http://schemas.openxmlformats.org/officeDocument/2006/relationships" ref="F147" r:id="rId277"/>
    <hyperlink xmlns:r="http://schemas.openxmlformats.org/officeDocument/2006/relationships" ref="G147" r:id="rId278"/>
    <hyperlink xmlns:r="http://schemas.openxmlformats.org/officeDocument/2006/relationships" ref="F148" r:id="rId279"/>
    <hyperlink xmlns:r="http://schemas.openxmlformats.org/officeDocument/2006/relationships" ref="G148" r:id="rId280"/>
    <hyperlink xmlns:r="http://schemas.openxmlformats.org/officeDocument/2006/relationships" ref="F149" r:id="rId281"/>
    <hyperlink xmlns:r="http://schemas.openxmlformats.org/officeDocument/2006/relationships" ref="G149" r:id="rId282"/>
    <hyperlink xmlns:r="http://schemas.openxmlformats.org/officeDocument/2006/relationships" ref="F150" r:id="rId283"/>
    <hyperlink xmlns:r="http://schemas.openxmlformats.org/officeDocument/2006/relationships" ref="G150" r:id="rId284"/>
    <hyperlink xmlns:r="http://schemas.openxmlformats.org/officeDocument/2006/relationships" ref="F151" r:id="rId285"/>
    <hyperlink xmlns:r="http://schemas.openxmlformats.org/officeDocument/2006/relationships" ref="G151" r:id="rId2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60" customWidth="1" min="2" max="2"/>
    <col width="16" customWidth="1" min="3" max="3"/>
    <col width="90" customWidth="1" min="4" max="4"/>
    <col width="60" customWidth="1" min="5" max="5"/>
  </cols>
  <sheetData>
    <row r="1" ht="32" customHeight="1">
      <c r="A1" s="12" t="inlineStr">
        <is>
          <t>Group</t>
        </is>
      </c>
      <c r="B1" s="12" t="inlineStr">
        <is>
          <t>Datasets (ids, primary first)</t>
        </is>
      </c>
      <c r="C1" s="12" t="inlineStr">
        <is>
          <t>Decision</t>
        </is>
      </c>
      <c r="D1" s="12" t="inlineStr">
        <is>
          <t>Reason</t>
        </is>
      </c>
      <c r="E1" s="12" t="inlineStr">
        <is>
          <t>Applied</t>
        </is>
      </c>
    </row>
    <row r="2">
      <c r="A2" s="4" t="inlineStr">
        <is>
          <t>D0001</t>
        </is>
      </c>
      <c r="B2" s="4" t="inlineStr">
        <is>
          <t>us_nasa_haqast_tropomi_no2_conus_monthly; nasa_cmr_haq_tropomi_no2_conus_m_l3</t>
        </is>
      </c>
      <c r="C2" s="4" t="inlineStr">
        <is>
          <t>same product</t>
        </is>
      </c>
      <c r="D2" s="4" t="inlineStr">
        <is>
          <t>Same GES DISC collection (HAQ_TROPOMI_NO2_CONUS_M_L3 V2.4) listed twice: Earthdata catalog page and its CMR concept record. Alternate was never promoted (lead), so nothing to drop.</t>
        </is>
      </c>
      <c r="E2" s="4" t="inlineStr">
        <is>
          <t>note on primary: CMR record https://cmr.earthdata.nasa.gov/search/concepts/C2839237275-GES_DISC.html; GES DISC landing https://disc.gsfc.nasa.gov/datacollection/HAQ_TROPOMI_NO2_CONUS_M_L3_2.4.html</t>
        </is>
      </c>
    </row>
    <row r="3">
      <c r="A3" s="4" t="inlineStr">
        <is>
          <t>D0002</t>
        </is>
      </c>
      <c r="B3" s="4" t="inlineStr">
        <is>
          <t>us_climatecentral_billion_dollar_disasters; us_noaa_billion_dollar_disasters</t>
        </is>
      </c>
      <c r="C3" s="4" t="inlineStr">
        <is>
          <t>distinct products</t>
        </is>
      </c>
      <c r="D3" s="4" t="inlineStr">
        <is>
          <t>NOAA's series was retired in 2025 (row is Failed); Climate Central continues it with the same method but as its own product, publisher and terms. Successor, not a copy.</t>
        </is>
      </c>
      <c r="E3" s="4" t="inlineStr">
        <is>
          <t>flag cleared; cross-reference kept in notes</t>
        </is>
      </c>
    </row>
    <row r="4">
      <c r="A4" s="4" t="inlineStr">
        <is>
          <t>D0003</t>
        </is>
      </c>
      <c r="B4" s="4" t="inlineStr">
        <is>
          <t>us_microsoft_us_building_footprints; au_datagovau_building_footprints; au_datagovau_2018_building_footprints; ca_opencanada_building_footprints; co_datosgovco_data_building_footprints_map</t>
        </is>
      </c>
      <c r="C4" s="4" t="inlineStr">
        <is>
          <t>distinct products</t>
        </is>
      </c>
      <c r="D4" s="4" t="inlineStr">
        <is>
          <t>Generic title 'Building Footprints'; the alternates are city/territory layers (Hobart, Melbourne, Yukon, Chicago), none kept. Only Microsoft's US product is in the kept set.</t>
        </is>
      </c>
      <c r="E4" s="4" t="inlineStr">
        <is>
          <t>flag cleared</t>
        </is>
      </c>
    </row>
    <row r="5">
      <c r="A5" s="4" t="inlineStr">
        <is>
          <t>D0004</t>
        </is>
      </c>
      <c r="B5" s="4" t="inlineStr">
        <is>
          <t>us_cdc_covid_community_levels; co_datosgovco_data_united_states_covid_19_community_levels_by_county</t>
        </is>
      </c>
      <c r="C5" s="4" t="inlineStr">
        <is>
          <t>same product</t>
        </is>
      </c>
      <c r="D5" s="4" t="inlineStr">
        <is>
          <t>Both point at data.cdc.gov id 3nnm-4jni; the Socrata discovery listing is the same dataset. Alternate was never promoted.</t>
        </is>
      </c>
      <c r="E5" s="4" t="inlineStr">
        <is>
          <t>note on primary: Socrata API https://data.cdc.gov/resource/3nnm-4jni.json</t>
        </is>
      </c>
    </row>
    <row r="6">
      <c r="A6" s="4" t="inlineStr">
        <is>
          <t>D0006</t>
        </is>
      </c>
      <c r="B6" s="4" t="inlineStr">
        <is>
          <t>us_nyc_street_tree_census_2015; us_socrata_data_2015_street_tree_census_tree_data</t>
        </is>
      </c>
      <c r="C6" s="4" t="inlineStr">
        <is>
          <t>same product</t>
        </is>
      </c>
      <c r="D6" s="4" t="inlineStr">
        <is>
          <t>Same NYC Open Data id uvpi-gqnh (data.gov entry vs Socrata listing). Alternate was never promoted.</t>
        </is>
      </c>
      <c r="E6" s="4" t="inlineStr">
        <is>
          <t>note on primary: Socrata API https://data.cityofnewyork.us/resource/uvpi-gqnh.json</t>
        </is>
      </c>
    </row>
    <row r="7">
      <c r="A7" s="4" t="inlineStr">
        <is>
          <t>D0007</t>
        </is>
      </c>
      <c r="B7" s="4" t="inlineStr">
        <is>
          <t>ca_statcan_cimd; ca_opencanada_canadian_index_of_multiple_deprivation_2021</t>
        </is>
      </c>
      <c r="C7" s="4" t="inlineStr">
        <is>
          <t>same product</t>
        </is>
      </c>
      <c r="D7" s="4" t="inlineStr">
        <is>
          <t>open.canada.ca record is Statistics Canada's own 2021 CIMD distribution (map service). Alternate was never promoted; its URLs fill the primary's empty access_url.</t>
        </is>
      </c>
      <c r="E7" s="4" t="inlineStr">
        <is>
          <t>access_url on primary: https://open.canada.ca/data/dataset/ec6dc8e7-2fa0-4e49-8969-38541ca0a34d; note: map service https://maps-cartes.services.geo.ca/server2_serveur2/rest/services/StatCan/multiple_deprivation_2021/MapServer</t>
        </is>
      </c>
    </row>
    <row r="8">
      <c r="A8" s="4" t="inlineStr">
        <is>
          <t>D0008</t>
        </is>
      </c>
      <c r="B8" s="4" t="inlineStr">
        <is>
          <t>gh_gss_phc_2021; bd_bbs_census_2022</t>
        </is>
      </c>
      <c r="C8" s="4" t="inlineStr">
        <is>
          <t>distinct products</t>
        </is>
      </c>
      <c r="D8" s="4" t="inlineStr">
        <is>
          <t>Ghana PHC 2021 and Bangladesh PHC 2022: different countries and statistical offices; matched only on the generic census title.</t>
        </is>
      </c>
      <c r="E8" s="4" t="inlineStr">
        <is>
          <t>flag cleared</t>
        </is>
      </c>
    </row>
    <row r="9">
      <c r="A9" s="4" t="inlineStr">
        <is>
          <t>D0020</t>
        </is>
      </c>
      <c r="B9" s="4" t="inlineStr">
        <is>
          <t>us_cdc_daily_tract_pm25; us_cdc_daily_county_pm25_2001_2022; us_cdc_daily_tract_ozone</t>
        </is>
      </c>
      <c r="C9" s="4" t="inlineStr">
        <is>
          <t>distinct products</t>
        </is>
      </c>
      <c r="D9" s="4" t="inlineStr">
        <is>
          <t>Three CDC downscaler products: tract PM2.5 2001-2016, county PM2.5 2001-2022, tract ozone 2001-2016. Different unit, years or pollutant; shared only the data.cdc.gov access URL.</t>
        </is>
      </c>
      <c r="E9" s="4" t="inlineStr">
        <is>
          <t>flag cleared</t>
        </is>
      </c>
    </row>
    <row r="10">
      <c r="A10" s="4" t="inlineStr">
        <is>
          <t>D0021</t>
        </is>
      </c>
      <c r="B10" s="4" t="inlineStr">
        <is>
          <t>us_census_acs_5year; us_census_acs_1year</t>
        </is>
      </c>
      <c r="C10" s="4" t="inlineStr">
        <is>
          <t>distinct products</t>
        </is>
      </c>
      <c r="D10" s="4" t="inlineStr">
        <is>
          <t>ACS 5-year and 1-year estimates are separate releases with different geographies (1-year only for 65,000+ population areas).</t>
        </is>
      </c>
      <c r="E10" s="4" t="inlineStr">
        <is>
          <t>flag cleared</t>
        </is>
      </c>
    </row>
    <row r="11">
      <c r="A11" s="4" t="inlineStr">
        <is>
          <t>D0022</t>
        </is>
      </c>
      <c r="B11" s="4" t="inlineStr">
        <is>
          <t>us_epa_enviroatlas_national; us_epa_enviroatlas_community</t>
        </is>
      </c>
      <c r="C11" s="4" t="inlineStr">
        <is>
          <t>distinct products</t>
        </is>
      </c>
      <c r="D11" s="4" t="inlineStr">
        <is>
          <t>EnviroAtlas national (HUC12/county/tract/block group, CONUS) and community (block group, selected cities) are separate collections on the same download page.</t>
        </is>
      </c>
      <c r="E11" s="4" t="inlineStr">
        <is>
          <t>flag cleared</t>
        </is>
      </c>
    </row>
    <row r="12">
      <c r="A12" s="4" t="inlineStr">
        <is>
          <t>D0023</t>
        </is>
      </c>
      <c r="B12" s="4" t="inlineStr">
        <is>
          <t>global_acag_pm25; us_wustl_acag_satpm25_north_america</t>
        </is>
      </c>
      <c r="C12" s="4" t="inlineStr">
        <is>
          <t>distinct products</t>
        </is>
      </c>
      <c r="D12" s="4" t="inlineStr">
        <is>
          <t>ACAG publishes the global (V6.GL) and North America (V5.NA) SatPM2.5 products separately with different versions, extents and resolution; same landing page.</t>
        </is>
      </c>
      <c r="E12" s="4" t="inlineStr">
        <is>
          <t>flag cleared</t>
        </is>
      </c>
    </row>
    <row r="13">
      <c r="A13" s="4" t="inlineStr">
        <is>
          <t>D0024</t>
        </is>
      </c>
      <c r="B13" s="4" t="inlineStr">
        <is>
          <t>us_cms_hospital_general_information; us_cms_nursing_home_provider_info</t>
        </is>
      </c>
      <c r="C13" s="4" t="inlineStr">
        <is>
          <t>distinct products</t>
        </is>
      </c>
      <c r="D13" s="4" t="inlineStr">
        <is>
          <t>Hospital General Information and Nursing Home Provider Information are different Provider Data Catalog datasets (xubh-q36u vs 4pq5-n9py) sharing the catalog API.</t>
        </is>
      </c>
      <c r="E13" s="4" t="inlineStr">
        <is>
          <t>flag cleared</t>
        </is>
      </c>
    </row>
    <row r="14">
      <c r="A14" s="4" t="inlineStr">
        <is>
          <t>D0027</t>
        </is>
      </c>
      <c r="B14" s="4" t="inlineStr">
        <is>
          <t>global_globio_grip; global_globio_grip4_roads</t>
        </is>
      </c>
      <c r="C14" s="4" t="inlineStr">
        <is>
          <t>host copy</t>
        </is>
      </c>
      <c r="D14" s="4" t="inlineStr">
        <is>
          <t>GRIP4 on globio.info (kept, link dead: DNS failure) and the GEE community catalog listing (lead, not kept) are the same product; the GEE page is a live host copy worth recording as an alternate route.</t>
        </is>
      </c>
      <c r="E14" s="4" t="inlineStr">
        <is>
          <t>note on primary: host copy https://gee-community-catalog.org/projects/grip/ (GEE community catalog)</t>
        </is>
      </c>
    </row>
    <row r="15">
      <c r="A15" s="4" t="inlineStr">
        <is>
          <t>D0028</t>
        </is>
      </c>
      <c r="B15" s="4" t="inlineStr">
        <is>
          <t>global_worldpop_population_100m; global_worldpop_population_1km</t>
        </is>
      </c>
      <c r="C15" s="4" t="inlineStr">
        <is>
          <t>distinct products</t>
        </is>
      </c>
      <c r="D15" s="4" t="inlineStr">
        <is>
          <t>WorldPop 100 m per-country and 1 km global mosaic are separate R2025A products (listing ids 135 and 137); same project page.</t>
        </is>
      </c>
      <c r="E15" s="4" t="inlineStr">
        <is>
          <t>flag cleared</t>
        </is>
      </c>
    </row>
    <row r="16">
      <c r="A16" s="4" t="inlineStr">
        <is>
          <t>D0030</t>
        </is>
      </c>
      <c r="B16" s="4" t="inlineStr">
        <is>
          <t>eu_eurostat_gisco_nuts; eu_eurostat_gisco_lau</t>
        </is>
      </c>
      <c r="C16" s="4" t="inlineStr">
        <is>
          <t>distinct products</t>
        </is>
      </c>
      <c r="D16" s="4" t="inlineStr">
        <is>
          <t>NUTS and LAU are different statistical-unit layers from GISCO; shared only the distribution API.</t>
        </is>
      </c>
      <c r="E16" s="4" t="inlineStr">
        <is>
          <t>flag cleared</t>
        </is>
      </c>
    </row>
    <row r="17">
      <c r="A17" s="4" t="inlineStr">
        <is>
          <t>D0046</t>
        </is>
      </c>
      <c r="B17" s="4" t="inlineStr">
        <is>
          <t>us_sedac_di_pm25_1km; us_sedac_di_no2_1km</t>
        </is>
      </c>
      <c r="C17" s="4" t="inlineStr">
        <is>
          <t>distinct products</t>
        </is>
      </c>
      <c r="D17" s="4" t="inlineStr">
        <is>
          <t>Companion SEDAC 1-km products for PM2.5 and NO2 (different DOIs).</t>
        </is>
      </c>
      <c r="E17" s="4" t="inlineStr">
        <is>
          <t>flag cleared</t>
        </is>
      </c>
    </row>
    <row r="18">
      <c r="A18" s="4" t="inlineStr">
        <is>
          <t>D0047</t>
        </is>
      </c>
      <c r="B18" s="4" t="inlineStr">
        <is>
          <t>global_nasa_mod13a2_v061; aws_nasa_mod13q1</t>
        </is>
      </c>
      <c r="C18" s="4" t="inlineStr">
        <is>
          <t>distinct products</t>
        </is>
      </c>
      <c r="D18" s="4" t="inlineStr">
        <is>
          <t>MOD13A2 (1 km) and MOD13Q1 (250 m) are different MODIS products; alternate was never promoted.</t>
        </is>
      </c>
      <c r="E18" s="4" t="inlineStr">
        <is>
          <t>flag cleared</t>
        </is>
      </c>
    </row>
    <row r="19">
      <c r="A19" s="4" t="inlineStr">
        <is>
          <t>D0156</t>
        </is>
      </c>
      <c r="B19" s="4" t="inlineStr">
        <is>
          <t>hdx_health_facilities_of_indonesia; hdx_health_facilities_of_india</t>
        </is>
      </c>
      <c r="C19" s="4" t="inlineStr">
        <is>
          <t>distinct products</t>
        </is>
      </c>
      <c r="D19" s="4" t="inlineStr">
        <is>
          <t>HOT OSM health-facility exports for Indonesia and India: same template, different countries.</t>
        </is>
      </c>
      <c r="E19" s="4" t="inlineStr">
        <is>
          <t>flag cleared</t>
        </is>
      </c>
    </row>
    <row r="20">
      <c r="A20" s="4" t="inlineStr">
        <is>
          <t>X0001</t>
        </is>
      </c>
      <c r="B20" s="4" t="inlineStr">
        <is>
          <t>us_census_tiger_line; us_census_tiger_line_county</t>
        </is>
      </c>
      <c r="C20" s="4" t="inlineStr">
        <is>
          <t>distinct products</t>
        </is>
      </c>
      <c r="D20" s="4" t="inlineStr">
        <is>
          <t>Same TIGER/Line page; the county row is one named layer of TIGER/Line, kept apart because gaiaCatalog has separate county recipes (us_2019/2020/2022/2023_county_tl).</t>
        </is>
      </c>
      <c r="E20" s="4" t="inlineStr">
        <is>
          <t>scan only; no change</t>
        </is>
      </c>
    </row>
    <row r="21">
      <c r="A21" s="4" t="inlineStr">
        <is>
          <t>X0002</t>
        </is>
      </c>
      <c r="B21" s="4" t="inlineStr">
        <is>
          <t>us_census_gazetteer; us_census_zcta</t>
        </is>
      </c>
      <c r="C21" s="4" t="inlineStr">
        <is>
          <t>distinct products</t>
        </is>
      </c>
      <c r="D21" s="4" t="inlineStr">
        <is>
          <t>Gazetteer files and ZCTA boundaries are different products; the ZCTA row's landing page points at the gazetteer page (listing quirk, access_url is TIGER).</t>
        </is>
      </c>
      <c r="E21" s="4" t="inlineStr">
        <is>
          <t>scan only; no change</t>
        </is>
      </c>
    </row>
    <row r="22">
      <c r="A22" s="4" t="inlineStr">
        <is>
          <t>X0003</t>
        </is>
      </c>
      <c r="B22" s="4" t="inlineStr">
        <is>
          <t>global_geonames; global_geonames_postal_codes</t>
        </is>
      </c>
      <c r="C22" s="4" t="inlineStr">
        <is>
          <t>distinct products</t>
        </is>
      </c>
      <c r="D22" s="4" t="inlineStr">
        <is>
          <t>GeoNames place database and postal-code dump are separate downloads.</t>
        </is>
      </c>
      <c r="E22" s="4" t="inlineStr">
        <is>
          <t>scan only; no change</t>
        </is>
      </c>
    </row>
    <row r="23">
      <c r="A23" s="4" t="inlineStr">
        <is>
          <t>X0004</t>
        </is>
      </c>
      <c r="B23" s="4" t="inlineStr">
        <is>
          <t>us_cmu_caces_lur; us_cmu_caces_rcm</t>
        </is>
      </c>
      <c r="C23" s="4" t="inlineStr">
        <is>
          <t>distinct products</t>
        </is>
      </c>
      <c r="D23" s="4" t="inlineStr">
        <is>
          <t>CACES LUR estimates and reduced-complexity models are different products on one data page.</t>
        </is>
      </c>
      <c r="E23" s="4" t="inlineStr">
        <is>
          <t>scan only; no change</t>
        </is>
      </c>
    </row>
    <row r="24">
      <c r="A24" s="4" t="inlineStr">
        <is>
          <t>X0005</t>
        </is>
      </c>
      <c r="B24" s="4" t="inlineStr">
        <is>
          <t>us_umich_nanda_recreation; us_umich_nanda_grocery_stores; us_umich_nanda_health_care</t>
        </is>
      </c>
      <c r="C24" s="4" t="inlineStr">
        <is>
          <t>distinct products</t>
        </is>
      </c>
      <c r="D24" s="4" t="inlineStr">
        <is>
          <t>Three NaNDA datasets announced on one blog post.</t>
        </is>
      </c>
      <c r="E24" s="4" t="inlineStr">
        <is>
          <t>scan only; no change</t>
        </is>
      </c>
    </row>
    <row r="25">
      <c r="A25" s="4" t="inlineStr">
        <is>
          <t>X0006</t>
        </is>
      </c>
      <c r="B25" s="4" t="inlineStr">
        <is>
          <t>eu_jrc_european_settlement_map; global_jrc_ghsl_ghs_built_s; global_jrc_ghsl_ghs_duc; global_jrc_ghsl_ghs_smod</t>
        </is>
      </c>
      <c r="C25" s="4" t="inlineStr">
        <is>
          <t>distinct products</t>
        </is>
      </c>
      <c r="D25" s="4" t="inlineStr">
        <is>
          <t>Four GHSL/ESM products on the datasets page.</t>
        </is>
      </c>
      <c r="E25" s="4" t="inlineStr">
        <is>
          <t>scan only; no change</t>
        </is>
      </c>
    </row>
  </sheetData>
  <autoFilter ref="A1:E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70" customWidth="1" min="2" max="2"/>
    <col width="28" customWidth="1" min="3" max="3"/>
    <col width="9" customWidth="1" min="4" max="4"/>
    <col width="11" customWidth="1" min="5" max="5"/>
    <col width="45" customWidth="1" min="6" max="6"/>
    <col width="28" customWidth="1" min="7" max="7"/>
  </cols>
  <sheetData>
    <row r="1" ht="32" customHeight="1">
      <c r="A1" s="12" t="inlineStr">
        <is>
          <t>Dataset</t>
        </is>
      </c>
      <c r="B1" s="12" t="inlineStr">
        <is>
          <t>Why left out</t>
        </is>
      </c>
      <c r="C1" s="12" t="inlineStr">
        <is>
          <t>Publisher</t>
        </is>
      </c>
      <c r="D1" s="12" t="inlineStr">
        <is>
          <t>Latest year</t>
        </is>
      </c>
      <c r="E1" s="12" t="inlineStr">
        <is>
          <t>Source</t>
        </is>
      </c>
      <c r="F1" s="12" t="inlineStr">
        <is>
          <t>Landing page</t>
        </is>
      </c>
      <c r="G1" s="12" t="inlineStr">
        <is>
          <t>id</t>
        </is>
      </c>
    </row>
    <row r="2">
      <c r="A2" s="4" t="inlineStr">
        <is>
          <t>Kenya - Number of Hospital ICU Beds per county</t>
        </is>
      </c>
      <c r="B2" s="4" t="inlineStr">
        <is>
          <t>browser check 2026-10-28: Archived one-day snapshot, update frequency Never. Move to trimmed.</t>
        </is>
      </c>
      <c r="C2" s="4" t="inlineStr">
        <is>
          <t>Kenya Open Data Initiative (inactive)</t>
        </is>
      </c>
      <c r="D2" s="4" t="n">
        <v>2020</v>
      </c>
      <c r="E2" s="4" t="inlineStr">
        <is>
          <t>Catalog lead</t>
        </is>
      </c>
      <c r="F2" s="17" t="inlineStr">
        <is>
          <t>https://data.humdata.org/dataset/kenya-number-of-hospital-icu-beds-per-county</t>
        </is>
      </c>
      <c r="G2" s="4" t="inlineStr">
        <is>
          <t>hdx_kenya_number_of_hospital_icu_beds_per_county</t>
        </is>
      </c>
    </row>
    <row r="3">
      <c r="A3" s="4" t="inlineStr">
        <is>
          <t>Enverus (formerly DrillingInfo) oil and gas well and production data</t>
        </is>
      </c>
      <c r="B3" s="4" t="inlineStr">
        <is>
          <t>browser check 2026-10-28: Commercial vendor homepage; not open data. Trim (not linkable for an open catalog).</t>
        </is>
      </c>
      <c r="C3" s="4" t="inlineStr">
        <is>
          <t>Enverus</t>
        </is>
      </c>
      <c r="D3" s="4" t="inlineStr"/>
      <c r="E3" s="4" t="inlineStr">
        <is>
          <t>Curated</t>
        </is>
      </c>
      <c r="F3" s="17" t="inlineStr">
        <is>
          <t>https://www.enverus.com/</t>
        </is>
      </c>
      <c r="G3" s="4" t="inlineStr">
        <is>
          <t>us_enverus_well_data</t>
        </is>
      </c>
    </row>
    <row r="4">
      <c r="A4" s="4" t="inlineStr">
        <is>
          <t>FAA Part 150 Noise Exposure Maps / airport noise contours</t>
        </is>
      </c>
      <c r="B4" s="4" t="inlineStr">
        <is>
          <t>browser check 2026-10-28: Program page; no dataset. Trim or replace with BTS National Transportation Noise Map.</t>
        </is>
      </c>
      <c r="C4" s="4" t="inlineStr">
        <is>
          <t>Federal Aviation Administration</t>
        </is>
      </c>
      <c r="D4" s="4" t="inlineStr"/>
      <c r="E4" s="4" t="inlineStr">
        <is>
          <t>Curated</t>
        </is>
      </c>
      <c r="F4" s="17" t="inlineStr">
        <is>
          <t>https://www.faa.gov/airports/environmental/airport_noise</t>
        </is>
      </c>
      <c r="G4" s="4" t="inlineStr">
        <is>
          <t>us_faa_airport_noise_exposure_maps</t>
        </is>
      </c>
    </row>
    <row r="5">
      <c r="A5" s="4" t="inlineStr">
        <is>
          <t>Environmental Noise Mapping IV 2022 - Federal Railroad Night Noise Index</t>
        </is>
      </c>
      <c r="B5" s="4" t="inlineStr">
        <is>
          <t>hyper-local publisher (single city/council)</t>
        </is>
      </c>
      <c r="C5" s="4" t="inlineStr">
        <is>
          <t>Stadt Dortmund</t>
        </is>
      </c>
      <c r="D5" s="4" t="n">
        <v>2022</v>
      </c>
      <c r="E5" s="4" t="inlineStr">
        <is>
          <t>Catalog lead</t>
        </is>
      </c>
      <c r="F5" s="17" t="inlineStr">
        <is>
          <t>https://data.europa.eu/data/datasets/umgebungslarmkatierung-iv-2022-bundesschienenwege-lnight-dortmund</t>
        </is>
      </c>
      <c r="G5" s="4" t="inlineStr">
        <is>
          <t>eu_dataeuropa_environmental_noise_mapping_iv_2022_federal_railroad_ni</t>
        </is>
      </c>
    </row>
    <row r="6">
      <c r="A6" s="4" t="inlineStr">
        <is>
          <t>Quartiers prioritaires de la politique de la ville - QPV - et quartiers de veille active - QVA - (2014-2023) de la Métropole de Lyon</t>
        </is>
      </c>
      <c r="B6" s="4" t="inlineStr">
        <is>
          <t>hyper-local publisher (single city/council)</t>
        </is>
      </c>
      <c r="C6" s="4" t="inlineStr">
        <is>
          <t>Métropole de Lyon</t>
        </is>
      </c>
      <c r="D6" s="4" t="n">
        <v>2026</v>
      </c>
      <c r="E6" s="4" t="inlineStr">
        <is>
          <t>Catalog lead</t>
        </is>
      </c>
      <c r="F6" s="17" t="inlineStr">
        <is>
          <t>https://www.data.gouv.fr/datasets/quartiers-prioritaires-de-la-politique-de-la-ville-qpv-et-quartiers-de-veille-active-qva-2014-2023-de-la-metropole-de-lyon</t>
        </is>
      </c>
      <c r="G6" s="4" t="inlineStr">
        <is>
          <t>fr_datagouv_quartiers_prioritaires_de_la_politique_de_la_ville_qpv</t>
        </is>
      </c>
    </row>
    <row r="7">
      <c r="A7" s="4" t="inlineStr">
        <is>
          <t>ACTGOV School Location 2026</t>
        </is>
      </c>
      <c r="B7" s="4" t="inlineStr">
        <is>
          <t>hyper-local publisher (single city/council); lead that is context, not a direct exposure or determinant</t>
        </is>
      </c>
      <c r="C7" s="4" t="inlineStr">
        <is>
          <t>ACT Government Geospatial Data Catalogue (ACTmapi)</t>
        </is>
      </c>
      <c r="D7" s="4" t="n">
        <v>2026</v>
      </c>
      <c r="E7" s="4" t="inlineStr">
        <is>
          <t>Catalog lead</t>
        </is>
      </c>
      <c r="F7" s="17" t="inlineStr">
        <is>
          <t>https://data.gov.au/data/dataset/actgov-school-location-2026</t>
        </is>
      </c>
      <c r="G7" s="4" t="inlineStr">
        <is>
          <t>au_datagovau_actgov_school_location_2026</t>
        </is>
      </c>
    </row>
    <row r="8">
      <c r="A8" s="4" t="inlineStr">
        <is>
          <t>County Development Plan 2025-2031 - Land Use Zoning Boundaries</t>
        </is>
      </c>
      <c r="B8" s="4" t="inlineStr">
        <is>
          <t>hyper-local publisher (single city/council); lead that is context, not a direct exposure or determinant</t>
        </is>
      </c>
      <c r="C8" s="4" t="inlineStr">
        <is>
          <t>Monaghan County Council</t>
        </is>
      </c>
      <c r="D8" s="4" t="n">
        <v>2031</v>
      </c>
      <c r="E8" s="4" t="inlineStr">
        <is>
          <t>Catalog lead</t>
        </is>
      </c>
      <c r="F8" s="17" t="inlineStr">
        <is>
          <t>https://data.gov.ie/dataset/county-development-plan-2025-2031-land-use-zoning-boundaries</t>
        </is>
      </c>
      <c r="G8" s="4" t="inlineStr">
        <is>
          <t>ie_datagovie_county_development_plan_2025_2031_land_use_zoning_bound</t>
        </is>
      </c>
    </row>
    <row r="9">
      <c r="A9" s="4" t="inlineStr">
        <is>
          <t>County Galway Land Use Zonings CDP 2022 2028</t>
        </is>
      </c>
      <c r="B9" s="4" t="inlineStr">
        <is>
          <t>hyper-local publisher (single city/council); lead that is context, not a direct exposure or determinant</t>
        </is>
      </c>
      <c r="C9" s="4" t="inlineStr">
        <is>
          <t>Galway County Council</t>
        </is>
      </c>
      <c r="D9" s="4" t="n">
        <v>2028</v>
      </c>
      <c r="E9" s="4" t="inlineStr">
        <is>
          <t>Catalog lead</t>
        </is>
      </c>
      <c r="F9" s="17" t="inlineStr">
        <is>
          <t>https://data.gov.ie/dataset/county-galway-land-use-zonings-cdp-2022-20283</t>
        </is>
      </c>
      <c r="G9" s="4" t="inlineStr">
        <is>
          <t>ie_datagovie_county_galway_land_use_zonings_cdp_2022_2028</t>
        </is>
      </c>
    </row>
    <row r="10">
      <c r="A10" s="4" t="inlineStr">
        <is>
          <t>Liste des communes de France : code INSEE, codes postaux, EPCI, population, superficie - 62 indicateurs</t>
        </is>
      </c>
      <c r="B10" s="4" t="inlineStr">
        <is>
          <t>hyper-local publisher (single city/council); lead that is context, not a direct exposure or determinant</t>
        </is>
      </c>
      <c r="C10" s="4" t="inlineStr">
        <is>
          <t>Ville de rêve</t>
        </is>
      </c>
      <c r="D10" s="4" t="n">
        <v>2026</v>
      </c>
      <c r="E10" s="4" t="inlineStr">
        <is>
          <t>Catalog lead</t>
        </is>
      </c>
      <c r="F10" s="17" t="inlineStr">
        <is>
          <t>https://www.data.gouv.fr/datasets/liste-des-communes-de-france-code-insee-codes-postaux-epci-population-superficie-62-indicateurs</t>
        </is>
      </c>
      <c r="G10" s="4" t="inlineStr">
        <is>
          <t>fr_datagouv_liste_des_communes_de_france_code_insee_codes_postaux_e</t>
        </is>
      </c>
    </row>
    <row r="11">
      <c r="A11" s="4" t="inlineStr">
        <is>
          <t>Recensement population 2018 - Grands quartiers - Population</t>
        </is>
      </c>
      <c r="B11" s="4" t="inlineStr">
        <is>
          <t>hyper-local publisher (single city/council); lead that is context, not a direct exposure or determinant</t>
        </is>
      </c>
      <c r="C11" s="4" t="inlineStr">
        <is>
          <t>Toulouse métropole</t>
        </is>
      </c>
      <c r="D11" s="4" t="n">
        <v>2018</v>
      </c>
      <c r="E11" s="4" t="inlineStr">
        <is>
          <t>Catalog lead</t>
        </is>
      </c>
      <c r="F11" s="17" t="inlineStr">
        <is>
          <t>https://www.data.gouv.fr/datasets/recensement-population-2018-grands-quartiers-population</t>
        </is>
      </c>
      <c r="G11" s="4" t="inlineStr">
        <is>
          <t>fr_datagouv_recensement_population_2018_grands_quartiers_population</t>
        </is>
      </c>
    </row>
    <row r="12">
      <c r="A12" s="4" t="inlineStr">
        <is>
          <t>School Warning VAS Signs 2023 FCC</t>
        </is>
      </c>
      <c r="B12" s="4" t="inlineStr">
        <is>
          <t>hyper-local publisher (single city/council); lead that is context, not a direct exposure or determinant</t>
        </is>
      </c>
      <c r="C12" s="4" t="inlineStr">
        <is>
          <t>Fingal County Council</t>
        </is>
      </c>
      <c r="D12" s="4" t="n">
        <v>2023</v>
      </c>
      <c r="E12" s="4" t="inlineStr">
        <is>
          <t>Catalog lead</t>
        </is>
      </c>
      <c r="F12" s="17" t="inlineStr">
        <is>
          <t>https://data.gov.ie/dataset/school-warning-vas-signs-2023-fcc1</t>
        </is>
      </c>
      <c r="G12" s="4" t="inlineStr">
        <is>
          <t>ie_datagovie_school_warning_vas_signs_2023_fcc</t>
        </is>
      </c>
    </row>
    <row r="13">
      <c r="A13" s="4" t="inlineStr">
        <is>
          <t>Administrative Boundaries and Others FCC</t>
        </is>
      </c>
      <c r="B13" s="4" t="inlineStr">
        <is>
          <t>hyper-local publisher (single city/council); lead that is context, not a direct exposure or determinant; lead with no dates</t>
        </is>
      </c>
      <c r="C13" s="4" t="inlineStr">
        <is>
          <t>Fingal County Council</t>
        </is>
      </c>
      <c r="D13" s="4" t="inlineStr"/>
      <c r="E13" s="4" t="inlineStr">
        <is>
          <t>Catalog lead</t>
        </is>
      </c>
      <c r="F13" s="17" t="inlineStr">
        <is>
          <t>https://data.gov.ie/dataset/administrative-boundaries-and-others-fcc1</t>
        </is>
      </c>
      <c r="G13" s="4" t="inlineStr">
        <is>
          <t>ie_datagovie_administrative_boundaries_and_others_fcc</t>
        </is>
      </c>
    </row>
    <row r="14">
      <c r="A14" s="4" t="inlineStr">
        <is>
          <t>Adopted Highways</t>
        </is>
      </c>
      <c r="B14" s="4" t="inlineStr">
        <is>
          <t>hyper-local publisher (single city/council); lead that is context, not a direct exposure or determinant; lead with no dates</t>
        </is>
      </c>
      <c r="C14" s="4" t="inlineStr">
        <is>
          <t>Wigan Metropolitan Borough Council</t>
        </is>
      </c>
      <c r="D14" s="4" t="inlineStr"/>
      <c r="E14" s="4" t="inlineStr">
        <is>
          <t>Catalog lead</t>
        </is>
      </c>
      <c r="F14" s="17" t="inlineStr">
        <is>
          <t>https://ckan.publishing.service.gov.uk/dataset/adopted-highways5</t>
        </is>
      </c>
      <c r="G14" s="4" t="inlineStr">
        <is>
          <t>gb_datagovuk_adopted_highways</t>
        </is>
      </c>
    </row>
    <row r="15">
      <c r="A15" s="4" t="inlineStr">
        <is>
          <t>Adopted Roads</t>
        </is>
      </c>
      <c r="B15" s="4" t="inlineStr">
        <is>
          <t>hyper-local publisher (single city/council); lead that is context, not a direct exposure or determinant; lead with no dates</t>
        </is>
      </c>
      <c r="C15" s="4" t="inlineStr">
        <is>
          <t>City of York Council</t>
        </is>
      </c>
      <c r="D15" s="4" t="inlineStr"/>
      <c r="E15" s="4" t="inlineStr">
        <is>
          <t>Catalog lead</t>
        </is>
      </c>
      <c r="F15" s="17" t="inlineStr">
        <is>
          <t>https://ckan.publishing.service.gov.uk/dataset/adopted-roads1</t>
        </is>
      </c>
      <c r="G15" s="4" t="inlineStr">
        <is>
          <t>gb_datagovuk_adopted_roads</t>
        </is>
      </c>
    </row>
    <row r="16">
      <c r="A16" s="4" t="inlineStr">
        <is>
          <t>District Electoral Divisions Boundaries</t>
        </is>
      </c>
      <c r="B16" s="4" t="inlineStr">
        <is>
          <t>hyper-local publisher (single city/council); lead that is context, not a direct exposure or determinant; lead with no dates</t>
        </is>
      </c>
      <c r="C16" s="4" t="inlineStr">
        <is>
          <t>Monaghan County Council</t>
        </is>
      </c>
      <c r="D16" s="4" t="inlineStr"/>
      <c r="E16" s="4" t="inlineStr">
        <is>
          <t>Catalog lead</t>
        </is>
      </c>
      <c r="F16" s="17" t="inlineStr">
        <is>
          <t>https://data.gov.ie/dataset/district-electoral-divisions-boundaries</t>
        </is>
      </c>
      <c r="G16" s="4" t="inlineStr">
        <is>
          <t>ie_datagovie_district_electoral_divisions_boundaries</t>
        </is>
      </c>
    </row>
    <row r="17">
      <c r="A17" s="4" t="inlineStr">
        <is>
          <t>Golden Plains Street Lighting</t>
        </is>
      </c>
      <c r="B17" s="4" t="inlineStr">
        <is>
          <t>hyper-local publisher (single city/council); lead that is context, not a direct exposure or determinant; lead with no dates</t>
        </is>
      </c>
      <c r="C17" s="4" t="inlineStr">
        <is>
          <t>Golden Plains Shire Council</t>
        </is>
      </c>
      <c r="D17" s="4" t="inlineStr"/>
      <c r="E17" s="4" t="inlineStr">
        <is>
          <t>Catalog lead</t>
        </is>
      </c>
      <c r="F17" s="17" t="inlineStr">
        <is>
          <t>https://data.gov.au/data/dataset/golden-plains-street-lighting</t>
        </is>
      </c>
      <c r="G17" s="4" t="inlineStr">
        <is>
          <t>au_datagovau_golden_plains_street_lighting</t>
        </is>
      </c>
    </row>
    <row r="18">
      <c r="A18" s="4" t="inlineStr">
        <is>
          <t>Highway Drain Nodes</t>
        </is>
      </c>
      <c r="B18" s="4" t="inlineStr">
        <is>
          <t>hyper-local publisher (single city/council); lead that is context, not a direct exposure or determinant; lead with no dates</t>
        </is>
      </c>
      <c r="C18" s="4" t="inlineStr">
        <is>
          <t>Sheffield City Council</t>
        </is>
      </c>
      <c r="D18" s="4" t="inlineStr"/>
      <c r="E18" s="4" t="inlineStr">
        <is>
          <t>Catalog lead</t>
        </is>
      </c>
      <c r="F18" s="17" t="inlineStr">
        <is>
          <t>https://data.europa.eu/data/datasets/highway-drain-nodes</t>
        </is>
      </c>
      <c r="G18" s="4" t="inlineStr">
        <is>
          <t>eu_dataeuropa_highway_drain_nodes</t>
        </is>
      </c>
    </row>
    <row r="19">
      <c r="A19" s="4" t="inlineStr">
        <is>
          <t>Highway Drains Linear Surface</t>
        </is>
      </c>
      <c r="B19" s="4" t="inlineStr">
        <is>
          <t>hyper-local publisher (single city/council); lead that is context, not a direct exposure or determinant; lead with no dates</t>
        </is>
      </c>
      <c r="C19" s="4" t="inlineStr">
        <is>
          <t>Sheffield City Council</t>
        </is>
      </c>
      <c r="D19" s="4" t="inlineStr"/>
      <c r="E19" s="4" t="inlineStr">
        <is>
          <t>Catalog lead</t>
        </is>
      </c>
      <c r="F19" s="17" t="inlineStr">
        <is>
          <t>https://data.europa.eu/data/datasets/highway-drains-linear-surface</t>
        </is>
      </c>
      <c r="G19" s="4" t="inlineStr">
        <is>
          <t>eu_dataeuropa_highway_drains_linear_surface</t>
        </is>
      </c>
    </row>
    <row r="20">
      <c r="A20" s="4" t="inlineStr">
        <is>
          <t>Highway Schemes</t>
        </is>
      </c>
      <c r="B20" s="4" t="inlineStr">
        <is>
          <t>hyper-local publisher (single city/council); lead that is context, not a direct exposure or determinant; lead with no dates</t>
        </is>
      </c>
      <c r="C20" s="4" t="inlineStr">
        <is>
          <t>Stockport Metropolitan Borough Council</t>
        </is>
      </c>
      <c r="D20" s="4" t="inlineStr"/>
      <c r="E20" s="4" t="inlineStr">
        <is>
          <t>Catalog lead</t>
        </is>
      </c>
      <c r="F20" s="17" t="inlineStr">
        <is>
          <t>https://ckan.publishing.service.gov.uk/dataset/highway-schemes</t>
        </is>
      </c>
      <c r="G20" s="4" t="inlineStr">
        <is>
          <t>gb_datagovuk_highway_schemes</t>
        </is>
      </c>
    </row>
    <row r="21">
      <c r="A21" s="4" t="inlineStr">
        <is>
          <t>Highways</t>
        </is>
      </c>
      <c r="B21" s="4" t="inlineStr">
        <is>
          <t>hyper-local publisher (single city/council); lead that is context, not a direct exposure or determinant; lead with no dates</t>
        </is>
      </c>
      <c r="C21" s="4" t="inlineStr">
        <is>
          <t>Wigan Metropolitan Borough Council</t>
        </is>
      </c>
      <c r="D21" s="4" t="inlineStr"/>
      <c r="E21" s="4" t="inlineStr">
        <is>
          <t>Catalog lead</t>
        </is>
      </c>
      <c r="F21" s="17" t="inlineStr">
        <is>
          <t>https://ckan.publishing.service.gov.uk/dataset/highways18</t>
        </is>
      </c>
      <c r="G21" s="4" t="inlineStr">
        <is>
          <t>gb_datagovuk_highways</t>
        </is>
      </c>
    </row>
    <row r="22">
      <c r="A22" s="4" t="inlineStr">
        <is>
          <t>Highways Annual Maintenance Programme</t>
        </is>
      </c>
      <c r="B22" s="4" t="inlineStr">
        <is>
          <t>hyper-local publisher (single city/council); lead that is context, not a direct exposure or determinant; lead with no dates</t>
        </is>
      </c>
      <c r="C22" s="4" t="inlineStr">
        <is>
          <t>City of York Council</t>
        </is>
      </c>
      <c r="D22" s="4" t="inlineStr"/>
      <c r="E22" s="4" t="inlineStr">
        <is>
          <t>Catalog lead</t>
        </is>
      </c>
      <c r="F22" s="17" t="inlineStr">
        <is>
          <t>https://data.europa.eu/data/datasets/highways-annual-maintenance-programme</t>
        </is>
      </c>
      <c r="G22" s="4" t="inlineStr">
        <is>
          <t>eu_dataeuropa_highways_annual_maintenance_programme</t>
        </is>
      </c>
    </row>
    <row r="23">
      <c r="A23" s="4" t="inlineStr">
        <is>
          <t>Hydraulic river hazard - PGRA AdB Central Apennines</t>
        </is>
      </c>
      <c r="B23" s="4" t="inlineStr">
        <is>
          <t>hyper-local publisher (single city/council); lead that is context, not a direct exposure or determinant; lead with no dates</t>
        </is>
      </c>
      <c r="C23" s="4" t="inlineStr">
        <is>
          <t>Comune di Arezzo</t>
        </is>
      </c>
      <c r="D23" s="4" t="inlineStr"/>
      <c r="E23" s="4" t="inlineStr">
        <is>
          <t>Catalog lead</t>
        </is>
      </c>
      <c r="F23" s="17" t="inlineStr">
        <is>
          <t>https://data.europa.eu/data/datasets/c_a390-pericolosita_idraulica_tevere-1</t>
        </is>
      </c>
      <c r="G23" s="4" t="inlineStr">
        <is>
          <t>eu_dataeuropa_hydraulic_river_hazard_pgra_adb_central_apennines</t>
        </is>
      </c>
    </row>
    <row r="24">
      <c r="A24" s="4" t="inlineStr">
        <is>
          <t>London Distributor Roads</t>
        </is>
      </c>
      <c r="B24" s="4" t="inlineStr">
        <is>
          <t>hyper-local publisher (single city/council); lead that is context, not a direct exposure or determinant; lead with no dates</t>
        </is>
      </c>
      <c r="C24" s="4" t="inlineStr">
        <is>
          <t>London Borough of Lambeth</t>
        </is>
      </c>
      <c r="D24" s="4" t="inlineStr"/>
      <c r="E24" s="4" t="inlineStr">
        <is>
          <t>Catalog lead</t>
        </is>
      </c>
      <c r="F24" s="17" t="inlineStr">
        <is>
          <t>https://data.europa.eu/data/datasets/london-distributor-roads</t>
        </is>
      </c>
      <c r="G24" s="4" t="inlineStr">
        <is>
          <t>eu_dataeuropa_london_distributor_roads</t>
        </is>
      </c>
    </row>
    <row r="25">
      <c r="A25" s="4" t="inlineStr">
        <is>
          <t>Luas Stops</t>
        </is>
      </c>
      <c r="B25" s="4" t="inlineStr">
        <is>
          <t>hyper-local publisher (single city/council); lead that is context, not a direct exposure or determinant; lead with no dates</t>
        </is>
      </c>
      <c r="C25" s="4" t="inlineStr">
        <is>
          <t>South Dublin County Council</t>
        </is>
      </c>
      <c r="D25" s="4" t="inlineStr"/>
      <c r="E25" s="4" t="inlineStr">
        <is>
          <t>Catalog lead</t>
        </is>
      </c>
      <c r="F25" s="17" t="inlineStr">
        <is>
          <t>https://data.gov.ie/dataset/luas-stops</t>
        </is>
      </c>
      <c r="G25" s="4" t="inlineStr">
        <is>
          <t>ie_datagovie_luas_stops</t>
        </is>
      </c>
    </row>
    <row r="26">
      <c r="A26" s="4" t="inlineStr">
        <is>
          <t>New Roads</t>
        </is>
      </c>
      <c r="B26" s="4" t="inlineStr">
        <is>
          <t>hyper-local publisher (single city/council); lead that is context, not a direct exposure or determinant; lead with no dates</t>
        </is>
      </c>
      <c r="C26" s="4" t="inlineStr">
        <is>
          <t>Galway City Council</t>
        </is>
      </c>
      <c r="D26" s="4" t="inlineStr"/>
      <c r="E26" s="4" t="inlineStr">
        <is>
          <t>Catalog lead</t>
        </is>
      </c>
      <c r="F26" s="17" t="inlineStr">
        <is>
          <t>https://data.gov.ie/dataset/new-roads</t>
        </is>
      </c>
      <c r="G26" s="4" t="inlineStr">
        <is>
          <t>ie_datagovie_new_roads</t>
        </is>
      </c>
    </row>
    <row r="27">
      <c r="A27" s="4" t="inlineStr">
        <is>
          <t>Primary Schools' Location</t>
        </is>
      </c>
      <c r="B27" s="4" t="inlineStr">
        <is>
          <t>hyper-local publisher (single city/council); lead that is context, not a direct exposure or determinant; lead with no dates</t>
        </is>
      </c>
      <c r="C27" s="4" t="inlineStr">
        <is>
          <t>City of York Council</t>
        </is>
      </c>
      <c r="D27" s="4" t="inlineStr"/>
      <c r="E27" s="4" t="inlineStr">
        <is>
          <t>Catalog lead</t>
        </is>
      </c>
      <c r="F27" s="17" t="inlineStr">
        <is>
          <t>https://ckan.publishing.service.gov.uk/dataset/primary-schools-location</t>
        </is>
      </c>
      <c r="G27" s="4" t="inlineStr">
        <is>
          <t>gb_datagovuk_primary_schools_location</t>
        </is>
      </c>
    </row>
    <row r="28">
      <c r="A28" s="4" t="inlineStr">
        <is>
          <t>Public transport LIA - Stops</t>
        </is>
      </c>
      <c r="B28" s="4" t="inlineStr">
        <is>
          <t>hyper-local publisher (single city/council); lead that is context, not a direct exposure or determinant; lead with no dates</t>
        </is>
      </c>
      <c r="C28" s="4" t="inlineStr">
        <is>
          <t>Le Havre Seine Métropole</t>
        </is>
      </c>
      <c r="D28" s="4" t="inlineStr"/>
      <c r="E28" s="4" t="inlineStr">
        <is>
          <t>Catalog lead</t>
        </is>
      </c>
      <c r="F28" s="17" t="inlineStr">
        <is>
          <t>https://data.europa.eu/data/datasets/5b55e3f8c751df17c30e78cf</t>
        </is>
      </c>
      <c r="G28" s="4" t="inlineStr">
        <is>
          <t>eu_dataeuropa_public_transport_lia_stops</t>
        </is>
      </c>
    </row>
    <row r="29">
      <c r="A29" s="4" t="inlineStr">
        <is>
          <t>Public transport stops bus and tram</t>
        </is>
      </c>
      <c r="B29" s="4" t="inlineStr">
        <is>
          <t>hyper-local publisher (single city/council); lead that is context, not a direct exposure or determinant; lead with no dates</t>
        </is>
      </c>
      <c r="C29" s="4" t="inlineStr">
        <is>
          <t>Brest métropole</t>
        </is>
      </c>
      <c r="D29" s="4" t="inlineStr"/>
      <c r="E29" s="4" t="inlineStr">
        <is>
          <t>Catalog lead</t>
        </is>
      </c>
      <c r="F29" s="17" t="inlineStr">
        <is>
          <t>https://data.europa.eu/data/datasets/64809558b07279955be4f762~~1</t>
        </is>
      </c>
      <c r="G29" s="4" t="inlineStr">
        <is>
          <t>eu_dataeuropa_public_transport_stops_bus_and_tram</t>
        </is>
      </c>
    </row>
    <row r="30">
      <c r="A30" s="4" t="inlineStr">
        <is>
          <t>Road Improvements</t>
        </is>
      </c>
      <c r="B30" s="4" t="inlineStr">
        <is>
          <t>hyper-local publisher (single city/council); lead that is context, not a direct exposure or determinant; lead with no dates</t>
        </is>
      </c>
      <c r="C30" s="4" t="inlineStr">
        <is>
          <t>Galway City Council</t>
        </is>
      </c>
      <c r="D30" s="4" t="inlineStr"/>
      <c r="E30" s="4" t="inlineStr">
        <is>
          <t>Catalog lead</t>
        </is>
      </c>
      <c r="F30" s="17" t="inlineStr">
        <is>
          <t>https://data.gov.ie/dataset/road-improvements</t>
        </is>
      </c>
      <c r="G30" s="4" t="inlineStr">
        <is>
          <t>ie_datagovie_road_improvements</t>
        </is>
      </c>
    </row>
    <row r="31">
      <c r="A31" s="4" t="inlineStr">
        <is>
          <t>Road Schedule</t>
        </is>
      </c>
      <c r="B31" s="4" t="inlineStr">
        <is>
          <t>hyper-local publisher (single city/council); lead that is context, not a direct exposure or determinant; lead with no dates</t>
        </is>
      </c>
      <c r="C31" s="4" t="inlineStr">
        <is>
          <t>Westmeath County Council</t>
        </is>
      </c>
      <c r="D31" s="4" t="inlineStr"/>
      <c r="E31" s="4" t="inlineStr">
        <is>
          <t>Catalog lead</t>
        </is>
      </c>
      <c r="F31" s="17" t="inlineStr">
        <is>
          <t>https://data.gov.ie/dataset/road-schedule</t>
        </is>
      </c>
      <c r="G31" s="4" t="inlineStr">
        <is>
          <t>ie_datagovie_road_schedule</t>
        </is>
      </c>
    </row>
    <row r="32">
      <c r="A32" s="4" t="inlineStr">
        <is>
          <t>School Warning Signs SDCC</t>
        </is>
      </c>
      <c r="B32" s="4" t="inlineStr">
        <is>
          <t>hyper-local publisher (single city/council); lead that is context, not a direct exposure or determinant; lead with no dates</t>
        </is>
      </c>
      <c r="C32" s="4" t="inlineStr">
        <is>
          <t>South Dublin County Council</t>
        </is>
      </c>
      <c r="D32" s="4" t="inlineStr"/>
      <c r="E32" s="4" t="inlineStr">
        <is>
          <t>Catalog lead</t>
        </is>
      </c>
      <c r="F32" s="17" t="inlineStr">
        <is>
          <t>https://data.gov.ie/dataset/school-warning-signs-sdcc</t>
        </is>
      </c>
      <c r="G32" s="4" t="inlineStr">
        <is>
          <t>ie_datagovie_school_warning_signs_sdcc</t>
        </is>
      </c>
    </row>
    <row r="33">
      <c r="A33" s="4" t="inlineStr">
        <is>
          <t>Secondary Schools' Location</t>
        </is>
      </c>
      <c r="B33" s="4" t="inlineStr">
        <is>
          <t>hyper-local publisher (single city/council); lead that is context, not a direct exposure or determinant; lead with no dates</t>
        </is>
      </c>
      <c r="C33" s="4" t="inlineStr">
        <is>
          <t>City of York Council</t>
        </is>
      </c>
      <c r="D33" s="4" t="inlineStr"/>
      <c r="E33" s="4" t="inlineStr">
        <is>
          <t>Catalog lead</t>
        </is>
      </c>
      <c r="F33" s="17" t="inlineStr">
        <is>
          <t>https://ckan.publishing.service.gov.uk/dataset/secondary-schools-location</t>
        </is>
      </c>
      <c r="G33" s="4" t="inlineStr">
        <is>
          <t>gb_datagovuk_secondary_schools_location</t>
        </is>
      </c>
    </row>
    <row r="34">
      <c r="A34" s="4" t="inlineStr">
        <is>
          <t>Street Lighting</t>
        </is>
      </c>
      <c r="B34" s="4" t="inlineStr">
        <is>
          <t>hyper-local publisher (single city/council); lead that is context, not a direct exposure or determinant; lead with no dates</t>
        </is>
      </c>
      <c r="C34" s="4" t="inlineStr">
        <is>
          <t>City of York Council</t>
        </is>
      </c>
      <c r="D34" s="4" t="inlineStr"/>
      <c r="E34" s="4" t="inlineStr">
        <is>
          <t>Catalog lead</t>
        </is>
      </c>
      <c r="F34" s="17" t="inlineStr">
        <is>
          <t>https://ckan.publishing.service.gov.uk/dataset/street-lighting</t>
        </is>
      </c>
      <c r="G34" s="4" t="inlineStr">
        <is>
          <t>gb_datagovuk_street_lighting</t>
        </is>
      </c>
    </row>
    <row r="35">
      <c r="A35" s="4" t="inlineStr">
        <is>
          <t>Street Lighting (sample data)</t>
        </is>
      </c>
      <c r="B35" s="4" t="inlineStr">
        <is>
          <t>hyper-local publisher (single city/council); lead that is context, not a direct exposure or determinant; lead with no dates</t>
        </is>
      </c>
      <c r="C35" s="4" t="inlineStr">
        <is>
          <t>City of Hobart Open Data</t>
        </is>
      </c>
      <c r="D35" s="4" t="inlineStr"/>
      <c r="E35" s="4" t="inlineStr">
        <is>
          <t>Catalog lead</t>
        </is>
      </c>
      <c r="F35" s="17" t="inlineStr">
        <is>
          <t>https://data.gov.au/data/dataset/street-lighting-sample-data</t>
        </is>
      </c>
      <c r="G35" s="4" t="inlineStr">
        <is>
          <t>au_datagovau_street_lighting_sample_data</t>
        </is>
      </c>
    </row>
    <row r="36">
      <c r="A36" s="4" t="inlineStr">
        <is>
          <t>Street Lighting Assets</t>
        </is>
      </c>
      <c r="B36" s="4" t="inlineStr">
        <is>
          <t>hyper-local publisher (single city/council); lead that is context, not a direct exposure or determinant; lead with no dates</t>
        </is>
      </c>
      <c r="C36" s="4" t="inlineStr">
        <is>
          <t>Derbyshire County Council</t>
        </is>
      </c>
      <c r="D36" s="4" t="inlineStr"/>
      <c r="E36" s="4" t="inlineStr">
        <is>
          <t>Catalog lead</t>
        </is>
      </c>
      <c r="F36" s="17" t="inlineStr">
        <is>
          <t>https://data.europa.eu/data/datasets/street-lighting-assets</t>
        </is>
      </c>
      <c r="G36" s="4" t="inlineStr">
        <is>
          <t>eu_dataeuropa_street_lighting_assets</t>
        </is>
      </c>
    </row>
    <row r="37">
      <c r="A37" s="4" t="inlineStr">
        <is>
          <t>Street Lights</t>
        </is>
      </c>
      <c r="B37" s="4" t="inlineStr">
        <is>
          <t>hyper-local publisher (single city/council); lead that is context, not a direct exposure or determinant; lead with no dates</t>
        </is>
      </c>
      <c r="C37" s="4" t="inlineStr">
        <is>
          <t>Salford City Council</t>
        </is>
      </c>
      <c r="D37" s="4" t="inlineStr"/>
      <c r="E37" s="4" t="inlineStr">
        <is>
          <t>Catalog lead</t>
        </is>
      </c>
      <c r="F37" s="17" t="inlineStr">
        <is>
          <t>https://ckan.publishing.service.gov.uk/dataset/street-lights1</t>
        </is>
      </c>
      <c r="G37" s="4" t="inlineStr">
        <is>
          <t>gb_datagovuk_street_lights</t>
        </is>
      </c>
    </row>
    <row r="38">
      <c r="A38" s="4" t="inlineStr">
        <is>
          <t>Street lights with emitted lux level (council-owned lights only)</t>
        </is>
      </c>
      <c r="B38" s="4" t="inlineStr">
        <is>
          <t>hyper-local publisher (single city/council); lead that is context, not a direct exposure or determinant; lead with no dates</t>
        </is>
      </c>
      <c r="C38" s="4" t="inlineStr">
        <is>
          <t>City of Melbourne</t>
        </is>
      </c>
      <c r="D38" s="4" t="inlineStr"/>
      <c r="E38" s="4" t="inlineStr">
        <is>
          <t>Catalog lead</t>
        </is>
      </c>
      <c r="F38" s="17" t="inlineStr">
        <is>
          <t>https://data.gov.au/data/dataset/street-lights-with-emitted-lux-level-council-owned-lights-only</t>
        </is>
      </c>
      <c r="G38" s="4" t="inlineStr">
        <is>
          <t>au_datagovau_street_lights_with_emitted_lux_level_council_owned_ligh</t>
        </is>
      </c>
    </row>
    <row r="39">
      <c r="A39" s="4" t="inlineStr">
        <is>
          <t>Category: Neighborhoods in Bologna</t>
        </is>
      </c>
      <c r="B39" s="4" t="inlineStr">
        <is>
          <t>hyper-local publisher (single city/council); lead with no dates</t>
        </is>
      </c>
      <c r="C39" s="4" t="inlineStr">
        <is>
          <t>Comune di Bologna</t>
        </is>
      </c>
      <c r="D39" s="4" t="inlineStr"/>
      <c r="E39" s="4" t="inlineStr">
        <is>
          <t>Catalog lead</t>
        </is>
      </c>
      <c r="F39" s="17" t="inlineStr">
        <is>
          <t>https://data.europa.eu/data/datasets/c_a944-case-di-quartiere-di-bologna</t>
        </is>
      </c>
      <c r="G39" s="4" t="inlineStr">
        <is>
          <t>eu_dataeuropa_category_neighborhoods_in_bologna</t>
        </is>
      </c>
    </row>
    <row r="40">
      <c r="A40" s="4" t="inlineStr">
        <is>
          <t>City Plan - Transport Noise Corridor Overlay - Noise Corridor - Railway</t>
        </is>
      </c>
      <c r="B40" s="4" t="inlineStr">
        <is>
          <t>hyper-local publisher (single city/council); lead with no dates</t>
        </is>
      </c>
      <c r="C40" s="4" t="inlineStr">
        <is>
          <t>Redland City Council Open Data</t>
        </is>
      </c>
      <c r="D40" s="4" t="inlineStr"/>
      <c r="E40" s="4" t="inlineStr">
        <is>
          <t>Catalog lead</t>
        </is>
      </c>
      <c r="F40" s="17" t="inlineStr">
        <is>
          <t>https://data.gov.au/data/dataset/city-plan-transport-noise-corridor-overlay-noise-corridor-railway</t>
        </is>
      </c>
      <c r="G40" s="4" t="inlineStr">
        <is>
          <t>au_datagovau_city_plan_transport_noise_corridor_overlay_noise_corrid</t>
        </is>
      </c>
    </row>
    <row r="41">
      <c r="A41" s="4" t="inlineStr">
        <is>
          <t>Clothing stores</t>
        </is>
      </c>
      <c r="B41" s="4" t="inlineStr">
        <is>
          <t>hyper-local publisher (single city/council); lead with no dates</t>
        </is>
      </c>
      <c r="C41" s="4" t="inlineStr">
        <is>
          <t>Metropolregion Rhein-Neckar</t>
        </is>
      </c>
      <c r="D41" s="4" t="inlineStr"/>
      <c r="E41" s="4" t="inlineStr">
        <is>
          <t>Catalog lead</t>
        </is>
      </c>
      <c r="F41" s="17" t="inlineStr">
        <is>
          <t>https://data.europa.eu/data/datasets/https-daten-digitale-mrn-de-dataset-d8f4e8ac-8ede-4522-83d0-c890ffb0b6e2-dataset</t>
        </is>
      </c>
      <c r="G41" s="4" t="inlineStr">
        <is>
          <t>eu_dataeuropa_clothing_stores</t>
        </is>
      </c>
    </row>
    <row r="42">
      <c r="A42" s="4" t="inlineStr">
        <is>
          <t>CoCo Markets DLR</t>
        </is>
      </c>
      <c r="B42" s="4" t="inlineStr">
        <is>
          <t>hyper-local publisher (single city/council); lead with no dates</t>
        </is>
      </c>
      <c r="C42" s="4" t="inlineStr">
        <is>
          <t>Dún Laoghaire-Rathdown County Council</t>
        </is>
      </c>
      <c r="D42" s="4" t="inlineStr"/>
      <c r="E42" s="4" t="inlineStr">
        <is>
          <t>Catalog lead</t>
        </is>
      </c>
      <c r="F42" s="17" t="inlineStr">
        <is>
          <t>https://data.gov.ie/dataset/coco-markets-dlr</t>
        </is>
      </c>
      <c r="G42" s="4" t="inlineStr">
        <is>
          <t>ie_datagovie_coco_markets_dlr</t>
        </is>
      </c>
    </row>
    <row r="43">
      <c r="A43" s="4" t="inlineStr">
        <is>
          <t>convenience store</t>
        </is>
      </c>
      <c r="B43" s="4" t="inlineStr">
        <is>
          <t>hyper-local publisher (single city/council); lead with no dates</t>
        </is>
      </c>
      <c r="C43" s="4" t="inlineStr">
        <is>
          <t>Metropolregion Rhein-Neckar</t>
        </is>
      </c>
      <c r="D43" s="4" t="inlineStr"/>
      <c r="E43" s="4" t="inlineStr">
        <is>
          <t>Catalog lead</t>
        </is>
      </c>
      <c r="F43" s="17" t="inlineStr">
        <is>
          <t>https://data.europa.eu/data/datasets/https-daten-digitale-mrn-de-dataset-42fe7074-965b-4244-b708-4efd7f9cb550-dataset</t>
        </is>
      </c>
      <c r="G43" s="4" t="inlineStr">
        <is>
          <t>eu_dataeuropa_convenience_store</t>
        </is>
      </c>
    </row>
    <row r="44">
      <c r="A44" s="4" t="inlineStr">
        <is>
          <t>Department stores</t>
        </is>
      </c>
      <c r="B44" s="4" t="inlineStr">
        <is>
          <t>hyper-local publisher (single city/council); lead with no dates</t>
        </is>
      </c>
      <c r="C44" s="4" t="inlineStr">
        <is>
          <t>Metropolregion Rhein-Neckar</t>
        </is>
      </c>
      <c r="D44" s="4" t="inlineStr"/>
      <c r="E44" s="4" t="inlineStr">
        <is>
          <t>Catalog lead</t>
        </is>
      </c>
      <c r="F44" s="17" t="inlineStr">
        <is>
          <t>https://data.europa.eu/data/datasets/https-daten-digitale-mrn-de-dataset-fe6d3ed4-f8f0-496b-a81b-84bb2712d62e-dataset</t>
        </is>
      </c>
      <c r="G44" s="4" t="inlineStr">
        <is>
          <t>eu_dataeuropa_department_stores</t>
        </is>
      </c>
    </row>
    <row r="45">
      <c r="A45" s="4" t="inlineStr">
        <is>
          <t>Furniture stores</t>
        </is>
      </c>
      <c r="B45" s="4" t="inlineStr">
        <is>
          <t>hyper-local publisher (single city/council); lead with no dates</t>
        </is>
      </c>
      <c r="C45" s="4" t="inlineStr">
        <is>
          <t>Metropolregion Rhein-Neckar</t>
        </is>
      </c>
      <c r="D45" s="4" t="inlineStr"/>
      <c r="E45" s="4" t="inlineStr">
        <is>
          <t>Catalog lead</t>
        </is>
      </c>
      <c r="F45" s="17" t="inlineStr">
        <is>
          <t>https://data.europa.eu/data/datasets/https-daten-digitale-mrn-de-dataset-3797fb2f-0439-4a9f-909b-51d94b2c853a-dataset</t>
        </is>
      </c>
      <c r="G45" s="4" t="inlineStr">
        <is>
          <t>eu_dataeuropa_furniture_stores</t>
        </is>
      </c>
    </row>
    <row r="46">
      <c r="A46" s="4" t="inlineStr">
        <is>
          <t>hospitals</t>
        </is>
      </c>
      <c r="B46" s="4" t="inlineStr">
        <is>
          <t>hyper-local publisher (single city/council); lead with no dates</t>
        </is>
      </c>
      <c r="C46" s="4" t="inlineStr">
        <is>
          <t>Brentwood Borough Council</t>
        </is>
      </c>
      <c r="D46" s="4" t="inlineStr"/>
      <c r="E46" s="4" t="inlineStr">
        <is>
          <t>Catalog lead</t>
        </is>
      </c>
      <c r="F46" s="17" t="inlineStr">
        <is>
          <t>https://ckan.publishing.service.gov.uk/dataset/hospitals</t>
        </is>
      </c>
      <c r="G46" s="4" t="inlineStr">
        <is>
          <t>gb_datagovuk_hospitals</t>
        </is>
      </c>
    </row>
    <row r="47">
      <c r="A47" s="4" t="inlineStr">
        <is>
          <t>Hospitals in the ACT</t>
        </is>
      </c>
      <c r="B47" s="4" t="inlineStr">
        <is>
          <t>hyper-local publisher (single city/council); lead with no dates</t>
        </is>
      </c>
      <c r="C47" s="4" t="inlineStr">
        <is>
          <t>ACT Government Open Data</t>
        </is>
      </c>
      <c r="D47" s="4" t="inlineStr"/>
      <c r="E47" s="4" t="inlineStr">
        <is>
          <t>Catalog lead</t>
        </is>
      </c>
      <c r="F47" s="17" t="inlineStr">
        <is>
          <t>https://data.gov.au/data/dataset/yg3r-apa2</t>
        </is>
      </c>
      <c r="G47" s="4" t="inlineStr">
        <is>
          <t>au_datagovau_hospitals_in_the_act</t>
        </is>
      </c>
    </row>
    <row r="48">
      <c r="A48" s="4" t="inlineStr">
        <is>
          <t>Household disposable income per inhabitant in euro, county level</t>
        </is>
      </c>
      <c r="B48" s="4" t="inlineStr">
        <is>
          <t>hyper-local publisher (single city/council); lead with no dates</t>
        </is>
      </c>
      <c r="C48" s="4" t="inlineStr">
        <is>
          <t>Metropolregion Rhein-Neckar</t>
        </is>
      </c>
      <c r="D48" s="4" t="inlineStr"/>
      <c r="E48" s="4" t="inlineStr">
        <is>
          <t>Catalog lead</t>
        </is>
      </c>
      <c r="F48" s="17" t="inlineStr">
        <is>
          <t>https://data.europa.eu/data/datasets/https-daten-digitale-mrn-de-dataset-41e5dfc6-2505-4911-b216-adeab8e91672-dataset</t>
        </is>
      </c>
      <c r="G48" s="4" t="inlineStr">
        <is>
          <t>eu_dataeuropa_household_disposable_income_per_inhabitant_in_euro_coun</t>
        </is>
      </c>
    </row>
    <row r="49">
      <c r="A49" s="4" t="inlineStr">
        <is>
          <t>Noosa Community Markets</t>
        </is>
      </c>
      <c r="B49" s="4" t="inlineStr">
        <is>
          <t>hyper-local publisher (single city/council); lead with no dates</t>
        </is>
      </c>
      <c r="C49" s="4" t="inlineStr">
        <is>
          <t>Noosa Shire Council</t>
        </is>
      </c>
      <c r="D49" s="4" t="inlineStr"/>
      <c r="E49" s="4" t="inlineStr">
        <is>
          <t>Catalog lead</t>
        </is>
      </c>
      <c r="F49" s="17" t="inlineStr">
        <is>
          <t>https://data.gov.au/data/dataset/noosa-community-markets</t>
        </is>
      </c>
      <c r="G49" s="4" t="inlineStr">
        <is>
          <t>au_datagovau_noosa_community_markets</t>
        </is>
      </c>
    </row>
    <row r="50">
      <c r="A50" s="4" t="inlineStr">
        <is>
          <t>Noosa Hospital</t>
        </is>
      </c>
      <c r="B50" s="4" t="inlineStr">
        <is>
          <t>hyper-local publisher (single city/council); lead with no dates</t>
        </is>
      </c>
      <c r="C50" s="4" t="inlineStr">
        <is>
          <t>Noosa Shire Council</t>
        </is>
      </c>
      <c r="D50" s="4" t="inlineStr"/>
      <c r="E50" s="4" t="inlineStr">
        <is>
          <t>Catalog lead</t>
        </is>
      </c>
      <c r="F50" s="17" t="inlineStr">
        <is>
          <t>https://data.gov.au/data/dataset/noosa-hospital</t>
        </is>
      </c>
      <c r="G50" s="4" t="inlineStr">
        <is>
          <t>au_datagovau_noosa_hospital</t>
        </is>
      </c>
    </row>
    <row r="51">
      <c r="A51" s="4" t="inlineStr">
        <is>
          <t>Park Light (Park Reserve)</t>
        </is>
      </c>
      <c r="B51" s="4" t="inlineStr">
        <is>
          <t>hyper-local publisher (single city/council); lead with no dates</t>
        </is>
      </c>
      <c r="C51" s="4" t="inlineStr">
        <is>
          <t>City of Casey</t>
        </is>
      </c>
      <c r="D51" s="4" t="inlineStr"/>
      <c r="E51" s="4" t="inlineStr">
        <is>
          <t>Catalog lead</t>
        </is>
      </c>
      <c r="F51" s="17" t="inlineStr">
        <is>
          <t>https://data.gov.au/data/dataset/park-light-park-reserve</t>
        </is>
      </c>
      <c r="G51" s="4" t="inlineStr">
        <is>
          <t>au_datagovau_park_light_park_reserve</t>
        </is>
      </c>
    </row>
    <row r="52">
      <c r="A52" s="4" t="inlineStr">
        <is>
          <t>Quartiers prioritaires - Bayonne</t>
        </is>
      </c>
      <c r="B52" s="4" t="inlineStr">
        <is>
          <t>hyper-local publisher (single city/council); lead with no dates</t>
        </is>
      </c>
      <c r="C52" s="4" t="inlineStr">
        <is>
          <t>Ville de Bayonne</t>
        </is>
      </c>
      <c r="D52" s="4" t="inlineStr"/>
      <c r="E52" s="4" t="inlineStr">
        <is>
          <t>Catalog lead</t>
        </is>
      </c>
      <c r="F52" s="17" t="inlineStr">
        <is>
          <t>https://www.data.gouv.fr/datasets/quartiers-prioritaires-bayonne-1</t>
        </is>
      </c>
      <c r="G52" s="4" t="inlineStr">
        <is>
          <t>fr_datagouv_quartiers_prioritaires_bayonne</t>
        </is>
      </c>
    </row>
    <row r="53">
      <c r="A53" s="4" t="inlineStr">
        <is>
          <t>Road Noise NoiseProfile 3D (3D)</t>
        </is>
      </c>
      <c r="B53" s="4" t="inlineStr">
        <is>
          <t>hyper-local publisher (single city/council); lead with no dates</t>
        </is>
      </c>
      <c r="C53" s="4" t="inlineStr">
        <is>
          <t>Park- und Grünanlagen, Grün Stadt Zürich, Tiefbau- und Entsorgungsdepartement</t>
        </is>
      </c>
      <c r="D53" s="4" t="inlineStr"/>
      <c r="E53" s="4" t="inlineStr">
        <is>
          <t>Catalog lead</t>
        </is>
      </c>
      <c r="F53" s="17" t="inlineStr">
        <is>
          <t>https://data.europa.eu/data/datasets/b9d61fcd-c3ce-44cf-b01f-c0b22cc36281-stadt-zurich</t>
        </is>
      </c>
      <c r="G53" s="4" t="inlineStr">
        <is>
          <t>eu_dataeuropa_road_noise_noiseprofile_3d_3d</t>
        </is>
      </c>
    </row>
    <row r="54">
      <c r="A54" s="4" t="inlineStr">
        <is>
          <t>Southend Hospitals</t>
        </is>
      </c>
      <c r="B54" s="4" t="inlineStr">
        <is>
          <t>hyper-local publisher (single city/council); lead with no dates</t>
        </is>
      </c>
      <c r="C54" s="4" t="inlineStr">
        <is>
          <t>Southend-on-Sea Borough Council</t>
        </is>
      </c>
      <c r="D54" s="4" t="inlineStr"/>
      <c r="E54" s="4" t="inlineStr">
        <is>
          <t>Catalog lead</t>
        </is>
      </c>
      <c r="F54" s="17" t="inlineStr">
        <is>
          <t>https://ckan.publishing.service.gov.uk/dataset/southend-hospitals</t>
        </is>
      </c>
      <c r="G54" s="4" t="inlineStr">
        <is>
          <t>gb_datagovuk_southend_hospitals</t>
        </is>
      </c>
    </row>
    <row r="55">
      <c r="A55" s="4" t="inlineStr">
        <is>
          <t>Unemployment rate foreigners in %, county level</t>
        </is>
      </c>
      <c r="B55" s="4" t="inlineStr">
        <is>
          <t>hyper-local publisher (single city/council); lead with no dates</t>
        </is>
      </c>
      <c r="C55" s="4" t="inlineStr">
        <is>
          <t>Metropolregion Rhein-Neckar</t>
        </is>
      </c>
      <c r="D55" s="4" t="inlineStr"/>
      <c r="E55" s="4" t="inlineStr">
        <is>
          <t>Catalog lead</t>
        </is>
      </c>
      <c r="F55" s="17" t="inlineStr">
        <is>
          <t>https://data.europa.eu/data/datasets/https-daten-digitale-mrn-de-dataset-9448af9d-6ed7-4184-9a76-318eb6bd01f5-dataset</t>
        </is>
      </c>
      <c r="G55" s="4" t="inlineStr">
        <is>
          <t>eu_dataeuropa_unemployment_rate_foreigners_in_county_level</t>
        </is>
      </c>
    </row>
    <row r="56">
      <c r="A56" s="4" t="inlineStr">
        <is>
          <t>Unemployment rate in %, county level</t>
        </is>
      </c>
      <c r="B56" s="4" t="inlineStr">
        <is>
          <t>hyper-local publisher (single city/council); lead with no dates</t>
        </is>
      </c>
      <c r="C56" s="4" t="inlineStr">
        <is>
          <t>Metropolregion Rhein-Neckar</t>
        </is>
      </c>
      <c r="D56" s="4" t="inlineStr"/>
      <c r="E56" s="4" t="inlineStr">
        <is>
          <t>Catalog lead</t>
        </is>
      </c>
      <c r="F56" s="17" t="inlineStr">
        <is>
          <t>https://data.europa.eu/data/datasets/https-daten-digitale-mrn-de-dataset-ed4bf88f-b85f-4cd0-907c-52d32fa9f7b6-dataset</t>
        </is>
      </c>
      <c r="G56" s="4" t="inlineStr">
        <is>
          <t>eu_dataeuropa_unemployment_rate_in_county_level</t>
        </is>
      </c>
    </row>
    <row r="57">
      <c r="A57" s="4" t="inlineStr">
        <is>
          <t>Unemployment rate men in %, county level</t>
        </is>
      </c>
      <c r="B57" s="4" t="inlineStr">
        <is>
          <t>hyper-local publisher (single city/council); lead with no dates</t>
        </is>
      </c>
      <c r="C57" s="4" t="inlineStr">
        <is>
          <t>Metropolregion Rhein-Neckar</t>
        </is>
      </c>
      <c r="D57" s="4" t="inlineStr"/>
      <c r="E57" s="4" t="inlineStr">
        <is>
          <t>Catalog lead</t>
        </is>
      </c>
      <c r="F57" s="17" t="inlineStr">
        <is>
          <t>https://data.europa.eu/data/datasets/https-daten-digitale-mrn-de-dataset-7a61e89d-416d-4ad1-a646-e84ce250dfbb-dataset</t>
        </is>
      </c>
      <c r="G57" s="4" t="inlineStr">
        <is>
          <t>eu_dataeuropa_unemployment_rate_men_in_county_level</t>
        </is>
      </c>
    </row>
    <row r="58">
      <c r="A58" s="4" t="inlineStr">
        <is>
          <t>Unemployment rate women in %, county level</t>
        </is>
      </c>
      <c r="B58" s="4" t="inlineStr">
        <is>
          <t>hyper-local publisher (single city/council); lead with no dates</t>
        </is>
      </c>
      <c r="C58" s="4" t="inlineStr">
        <is>
          <t>Metropolregion Rhein-Neckar</t>
        </is>
      </c>
      <c r="D58" s="4" t="inlineStr"/>
      <c r="E58" s="4" t="inlineStr">
        <is>
          <t>Catalog lead</t>
        </is>
      </c>
      <c r="F58" s="17" t="inlineStr">
        <is>
          <t>https://data.europa.eu/data/datasets/https-daten-digitale-mrn-de-dataset-9caa57f5-cea0-4bb6-842a-736e957498e3-dataset</t>
        </is>
      </c>
      <c r="G58" s="4" t="inlineStr">
        <is>
          <t>eu_dataeuropa_unemployment_rate_women_in_county_level</t>
        </is>
      </c>
    </row>
    <row r="59">
      <c r="A59" s="4" t="inlineStr">
        <is>
          <t>Waste Facility - Landfill Line</t>
        </is>
      </c>
      <c r="B59" s="4" t="inlineStr">
        <is>
          <t>hyper-local publisher (single city/council); lead with no dates</t>
        </is>
      </c>
      <c r="C59" s="4" t="inlineStr">
        <is>
          <t>City of Moreton Bay's Data Hub</t>
        </is>
      </c>
      <c r="D59" s="4" t="inlineStr"/>
      <c r="E59" s="4" t="inlineStr">
        <is>
          <t>Catalog lead</t>
        </is>
      </c>
      <c r="F59" s="17" t="inlineStr">
        <is>
          <t>https://data.gov.au/data/dataset/waste-facility-landfill-line</t>
        </is>
      </c>
      <c r="G59" s="4" t="inlineStr">
        <is>
          <t>au_datagovau_waste_facility_landfill_line</t>
        </is>
      </c>
    </row>
    <row r="60">
      <c r="A60" s="4" t="inlineStr">
        <is>
          <t>Waste Facility - Landfill Polygon</t>
        </is>
      </c>
      <c r="B60" s="4" t="inlineStr">
        <is>
          <t>hyper-local publisher (single city/council); lead with no dates</t>
        </is>
      </c>
      <c r="C60" s="4" t="inlineStr">
        <is>
          <t>City of Moreton Bay's Data Hub</t>
        </is>
      </c>
      <c r="D60" s="4" t="inlineStr"/>
      <c r="E60" s="4" t="inlineStr">
        <is>
          <t>Catalog lead</t>
        </is>
      </c>
      <c r="F60" s="17" t="inlineStr">
        <is>
          <t>https://data.gov.au/data/dataset/waste-facility-landfill-polygon</t>
        </is>
      </c>
      <c r="G60" s="4" t="inlineStr">
        <is>
          <t>au_datagovau_waste_facility_landfill_polygon</t>
        </is>
      </c>
    </row>
    <row r="61">
      <c r="A61" s="4" t="inlineStr">
        <is>
          <t>Weekly markets</t>
        </is>
      </c>
      <c r="B61" s="4" t="inlineStr">
        <is>
          <t>hyper-local publisher (single city/council); lead with no dates</t>
        </is>
      </c>
      <c r="C61" s="4" t="inlineStr">
        <is>
          <t>Calderdale Metropolitan Borough Council</t>
        </is>
      </c>
      <c r="D61" s="4" t="inlineStr"/>
      <c r="E61" s="4" t="inlineStr">
        <is>
          <t>Catalog lead</t>
        </is>
      </c>
      <c r="F61" s="17" t="inlineStr">
        <is>
          <t>https://ckan.publishing.service.gov.uk/dataset/weekly-markets1</t>
        </is>
      </c>
      <c r="G61" s="4" t="inlineStr">
        <is>
          <t>gb_datagovuk_weekly_markets</t>
        </is>
      </c>
    </row>
    <row r="62">
      <c r="A62" s="4" t="inlineStr">
        <is>
          <t>TWBC Open Data Site Allocations 2016 - Access Arrows</t>
        </is>
      </c>
      <c r="B62" s="4" t="inlineStr">
        <is>
          <t>hyper-local publisher (single city/council); unit guessed from a generic keyword</t>
        </is>
      </c>
      <c r="C62" s="4" t="inlineStr">
        <is>
          <t>Tunbridge Wells Borough Council</t>
        </is>
      </c>
      <c r="D62" s="4" t="n">
        <v>2016</v>
      </c>
      <c r="E62" s="4" t="inlineStr">
        <is>
          <t>Catalog lead</t>
        </is>
      </c>
      <c r="F62" s="17" t="inlineStr">
        <is>
          <t>https://data.europa.eu/data/datasets/twbc-open-data-site-allocations-2016-access-arrows12</t>
        </is>
      </c>
      <c r="G62" s="4" t="inlineStr">
        <is>
          <t>eu_dataeuropa_twbc_open_data_site_allocations_2016_access_arrows</t>
        </is>
      </c>
    </row>
    <row r="63">
      <c r="A63" s="4" t="inlineStr">
        <is>
          <t>Indicative Greenway Cycle Network</t>
        </is>
      </c>
      <c r="B63" s="4" t="inlineStr">
        <is>
          <t>hyper-local publisher (single city/council); unit guessed from a generic keyword; lead that is context, not a direct exposure or determinant; lead with no dates</t>
        </is>
      </c>
      <c r="C63" s="4" t="inlineStr">
        <is>
          <t>Galway City Council</t>
        </is>
      </c>
      <c r="D63" s="4" t="inlineStr"/>
      <c r="E63" s="4" t="inlineStr">
        <is>
          <t>Catalog lead</t>
        </is>
      </c>
      <c r="F63" s="17" t="inlineStr">
        <is>
          <t>https://data.gov.ie/dataset/indicative-greenway-cycle-network</t>
        </is>
      </c>
      <c r="G63" s="4" t="inlineStr">
        <is>
          <t>ie_datagovie_indicative_greenway_cycle_network</t>
        </is>
      </c>
    </row>
    <row r="64">
      <c r="A64" s="4" t="inlineStr">
        <is>
          <t>Primary Cycle Network</t>
        </is>
      </c>
      <c r="B64" s="4" t="inlineStr">
        <is>
          <t>hyper-local publisher (single city/council); unit guessed from a generic keyword; lead that is context, not a direct exposure or determinant; lead with no dates</t>
        </is>
      </c>
      <c r="C64" s="4" t="inlineStr">
        <is>
          <t>Galway City Council</t>
        </is>
      </c>
      <c r="D64" s="4" t="inlineStr"/>
      <c r="E64" s="4" t="inlineStr">
        <is>
          <t>Catalog lead</t>
        </is>
      </c>
      <c r="F64" s="17" t="inlineStr">
        <is>
          <t>https://data.gov.ie/dataset/primary-cycle-network</t>
        </is>
      </c>
      <c r="G64" s="4" t="inlineStr">
        <is>
          <t>ie_datagovie_primary_cycle_network</t>
        </is>
      </c>
    </row>
    <row r="65">
      <c r="A65" s="4" t="inlineStr">
        <is>
          <t>Traffic counting - counting station plan</t>
        </is>
      </c>
      <c r="B65" s="4" t="inlineStr">
        <is>
          <t>hyper-local publisher (single city/council); unit guessed from a generic keyword; lead that is context, not a direct exposure or determinant; lead with no dates</t>
        </is>
      </c>
      <c r="C65" s="4" t="inlineStr">
        <is>
          <t>Stadt Dortmund</t>
        </is>
      </c>
      <c r="D65" s="4" t="inlineStr"/>
      <c r="E65" s="4" t="inlineStr">
        <is>
          <t>Catalog lead</t>
        </is>
      </c>
      <c r="F65" s="17" t="inlineStr">
        <is>
          <t>https://data.europa.eu/data/datasets/verkehrszaehlung-zaehlstellenplan-dortmund</t>
        </is>
      </c>
      <c r="G65" s="4" t="inlineStr">
        <is>
          <t>eu_dataeuropa_traffic_counting_counting_station_plan</t>
        </is>
      </c>
    </row>
    <row r="66">
      <c r="A66" s="4" t="inlineStr">
        <is>
          <t>York Cycle Network</t>
        </is>
      </c>
      <c r="B66" s="4" t="inlineStr">
        <is>
          <t>hyper-local publisher (single city/council); unit guessed from a generic keyword; lead that is context, not a direct exposure or determinant; lead with no dates</t>
        </is>
      </c>
      <c r="C66" s="4" t="inlineStr">
        <is>
          <t>City of York Council</t>
        </is>
      </c>
      <c r="D66" s="4" t="inlineStr"/>
      <c r="E66" s="4" t="inlineStr">
        <is>
          <t>Catalog lead</t>
        </is>
      </c>
      <c r="F66" s="17" t="inlineStr">
        <is>
          <t>https://ckan.publishing.service.gov.uk/dataset/york-cycle-network</t>
        </is>
      </c>
      <c r="G66" s="4" t="inlineStr">
        <is>
          <t>gb_datagovuk_york_cycle_network</t>
        </is>
      </c>
    </row>
    <row r="67">
      <c r="A67" s="4" t="inlineStr">
        <is>
          <t>Air Pollution Control Sites (SDC) (Public)</t>
        </is>
      </c>
      <c r="B67" s="4" t="inlineStr">
        <is>
          <t>hyper-local publisher (single city/council); unit guessed from a generic keyword; lead with no dates</t>
        </is>
      </c>
      <c r="C67" s="4" t="inlineStr">
        <is>
          <t>Sevenoaks District Council</t>
        </is>
      </c>
      <c r="D67" s="4" t="inlineStr"/>
      <c r="E67" s="4" t="inlineStr">
        <is>
          <t>Catalog lead</t>
        </is>
      </c>
      <c r="F67" s="17" t="inlineStr">
        <is>
          <t>https://ckan.publishing.service.gov.uk/dataset/air-pollution-control-sites-sdc-public</t>
        </is>
      </c>
      <c r="G67" s="4" t="inlineStr">
        <is>
          <t>gb_datagovuk_air_pollution_control_sites_sdc_public</t>
        </is>
      </c>
    </row>
    <row r="68">
      <c r="A68" s="4" t="inlineStr">
        <is>
          <t>BASOL - Sites et sols pollués - GrandSoissons Agglomération</t>
        </is>
      </c>
      <c r="B68" s="4" t="inlineStr">
        <is>
          <t>hyper-local publisher (single city/council); unit guessed from a generic keyword; lead with no dates</t>
        </is>
      </c>
      <c r="C68" s="4" t="inlineStr">
        <is>
          <t>GrandSoissons Agglomération</t>
        </is>
      </c>
      <c r="D68" s="4" t="inlineStr"/>
      <c r="E68" s="4" t="inlineStr">
        <is>
          <t>Catalog lead</t>
        </is>
      </c>
      <c r="F68" s="17" t="inlineStr">
        <is>
          <t>https://www.data.gouv.fr/datasets/basol-sites-et-sols-pollues-grandsoissons-agglomeration</t>
        </is>
      </c>
      <c r="G68" s="4" t="inlineStr">
        <is>
          <t>fr_datagouv_basol_sites_et_sols_pollu_s_grandsoissons_agglom_ration</t>
        </is>
      </c>
    </row>
    <row r="69">
      <c r="A69" s="4" t="inlineStr">
        <is>
          <t>Bring Banks Locations FCC</t>
        </is>
      </c>
      <c r="B69" s="4" t="inlineStr">
        <is>
          <t>hyper-local publisher (single city/council); unit guessed from a generic keyword; lead with no dates</t>
        </is>
      </c>
      <c r="C69" s="4" t="inlineStr">
        <is>
          <t>Fingal County Council</t>
        </is>
      </c>
      <c r="D69" s="4" t="inlineStr"/>
      <c r="E69" s="4" t="inlineStr">
        <is>
          <t>Catalog lead</t>
        </is>
      </c>
      <c r="F69" s="17" t="inlineStr">
        <is>
          <t>https://data.gov.ie/dataset/bring-banks-locations-fcc1</t>
        </is>
      </c>
      <c r="G69" s="4" t="inlineStr">
        <is>
          <t>ie_datagovie_bring_banks_locations_fcc</t>
        </is>
      </c>
    </row>
    <row r="70">
      <c r="A70" s="4" t="inlineStr">
        <is>
          <t>Fire Stations DLR</t>
        </is>
      </c>
      <c r="B70" s="4" t="inlineStr">
        <is>
          <t>hyper-local publisher (single city/council); unit guessed from a generic keyword; lead with no dates</t>
        </is>
      </c>
      <c r="C70" s="4" t="inlineStr">
        <is>
          <t>Dún Laoghaire-Rathdown County Council</t>
        </is>
      </c>
      <c r="D70" s="4" t="inlineStr"/>
      <c r="E70" s="4" t="inlineStr">
        <is>
          <t>Catalog lead</t>
        </is>
      </c>
      <c r="F70" s="17" t="inlineStr">
        <is>
          <t>https://data.gov.ie/dataset/dun-laoghaire-rathdown-county-council-firestation</t>
        </is>
      </c>
      <c r="G70" s="4" t="inlineStr">
        <is>
          <t>ie_datagovie_fire_stations_dlr</t>
        </is>
      </c>
    </row>
    <row r="71">
      <c r="A71" s="4" t="inlineStr">
        <is>
          <t>Former Landfill Sites - Greater Geelong</t>
        </is>
      </c>
      <c r="B71" s="4" t="inlineStr">
        <is>
          <t>hyper-local publisher (single city/council); unit guessed from a generic keyword; lead with no dates</t>
        </is>
      </c>
      <c r="C71" s="4" t="inlineStr">
        <is>
          <t>City of Greater Geelong</t>
        </is>
      </c>
      <c r="D71" s="4" t="inlineStr"/>
      <c r="E71" s="4" t="inlineStr">
        <is>
          <t>Catalog lead</t>
        </is>
      </c>
      <c r="F71" s="17" t="inlineStr">
        <is>
          <t>https://data.gov.au/data/dataset/geelong-former-landfill-sites</t>
        </is>
      </c>
      <c r="G71" s="4" t="inlineStr">
        <is>
          <t>au_datagovau_former_landfill_sites_greater_geelong</t>
        </is>
      </c>
    </row>
    <row r="72">
      <c r="A72" s="4" t="inlineStr">
        <is>
          <t>Pollutant monitoring stations</t>
        </is>
      </c>
      <c r="B72" s="4" t="inlineStr">
        <is>
          <t>hyper-local publisher (single city/council); unit guessed from a generic keyword; lead with no dates</t>
        </is>
      </c>
      <c r="C72" s="4" t="inlineStr">
        <is>
          <t>Comune di Milano - Direzione Mobilità, Ambiente e Energia</t>
        </is>
      </c>
      <c r="D72" s="4" t="inlineStr"/>
      <c r="E72" s="4" t="inlineStr">
        <is>
          <t>Catalog lead</t>
        </is>
      </c>
      <c r="F72" s="17" t="inlineStr">
        <is>
          <t>https://data.europa.eu/data/datasets/ds484</t>
        </is>
      </c>
      <c r="G72" s="4" t="inlineStr">
        <is>
          <t>eu_dataeuropa_pollutant_monitoring_stations</t>
        </is>
      </c>
    </row>
    <row r="73">
      <c r="A73" s="4" t="inlineStr">
        <is>
          <t>Sheffield Household Waste Recycling Sites</t>
        </is>
      </c>
      <c r="B73" s="4" t="inlineStr">
        <is>
          <t>hyper-local publisher (single city/council); unit guessed from a generic keyword; lead with no dates</t>
        </is>
      </c>
      <c r="C73" s="4" t="inlineStr">
        <is>
          <t>Sheffield City Council</t>
        </is>
      </c>
      <c r="D73" s="4" t="inlineStr"/>
      <c r="E73" s="4" t="inlineStr">
        <is>
          <t>Catalog lead</t>
        </is>
      </c>
      <c r="F73" s="17" t="inlineStr">
        <is>
          <t>https://data.europa.eu/data/datasets/sheffield-household-waste-recycling-sites</t>
        </is>
      </c>
      <c r="G73" s="4" t="inlineStr">
        <is>
          <t>eu_dataeuropa_sheffield_household_waste_recycling_sites</t>
        </is>
      </c>
    </row>
    <row r="74">
      <c r="A74" s="4" t="inlineStr">
        <is>
          <t>Global Biodiversity Information Facility (GBIF)</t>
        </is>
      </c>
      <c r="B74" s="4" t="inlineStr">
        <is>
          <t>judged by eye: biodiversity occurrences, no residence-health use</t>
        </is>
      </c>
      <c r="C74" s="4" t="inlineStr">
        <is>
          <t>Global Biodiversity Information Facility;Microsoft</t>
        </is>
      </c>
      <c r="D74" s="4" t="inlineStr">
        <is>
          <t>current</t>
        </is>
      </c>
      <c r="E74" s="4" t="inlineStr">
        <is>
          <t>Catalog lead</t>
        </is>
      </c>
      <c r="F74" s="17" t="inlineStr">
        <is>
          <t>https://planetarycomputer.microsoft.com/dataset/gbif</t>
        </is>
      </c>
      <c r="G74" s="4" t="inlineStr">
        <is>
          <t>pc_gbif</t>
        </is>
      </c>
    </row>
    <row r="75">
      <c r="A75" s="4" t="inlineStr">
        <is>
          <t>DARTE Annual On-road CO2 Emissions on a 1-km Grid, Conterminous USA, V2, 1980-2017</t>
        </is>
      </c>
      <c r="B75" s="4" t="inlineStr">
        <is>
          <t>judged by eye: ends 2017; emissions inventory, not an exposure surface</t>
        </is>
      </c>
      <c r="C75" s="4" t="inlineStr">
        <is>
          <t>NASA Earthdata</t>
        </is>
      </c>
      <c r="D75" s="4" t="n">
        <v>2017</v>
      </c>
      <c r="E75" s="4" t="inlineStr">
        <is>
          <t>Catalog lead</t>
        </is>
      </c>
      <c r="F75" s="17" t="inlineStr">
        <is>
          <t>https://cmr.earthdata.nasa.gov/search/concepts/C2389100132-ORNL_CLOUD.html</t>
        </is>
      </c>
      <c r="G75" s="4" t="inlineStr">
        <is>
          <t>nasa_cmr_cms_darte_v2_1735</t>
        </is>
      </c>
    </row>
    <row r="76">
      <c r="A76" s="4" t="inlineStr">
        <is>
          <t>Hospital Admission Data from the Agency for HealthCare Research and Quality (AHRQ)</t>
        </is>
      </c>
      <c r="B76" s="4" t="inlineStr">
        <is>
          <t>judged by eye: odd catalog record; AHRQ data is better sourced directly</t>
        </is>
      </c>
      <c r="C76" s="4" t="inlineStr">
        <is>
          <t>NASA Earthdata</t>
        </is>
      </c>
      <c r="D76" s="4" t="inlineStr">
        <is>
          <t>current</t>
        </is>
      </c>
      <c r="E76" s="4" t="inlineStr">
        <is>
          <t>Catalog lead</t>
        </is>
      </c>
      <c r="F76" s="17" t="inlineStr">
        <is>
          <t>https://cmr.earthdata.nasa.gov/search/concepts/C1214136020-SCIOPS.html</t>
        </is>
      </c>
      <c r="G76" s="4" t="inlineStr">
        <is>
          <t>nasa_cmr_ahrq_hospital_admissions</t>
        </is>
      </c>
    </row>
    <row r="77">
      <c r="A77" s="4" t="inlineStr">
        <is>
          <t>Mozambique - Health facilities</t>
        </is>
      </c>
      <c r="B77" s="4" t="inlineStr">
        <is>
          <t>judged by eye: older one-off list (2017); HOT exports are fresher</t>
        </is>
      </c>
      <c r="C77" s="4" t="inlineStr">
        <is>
          <t>OCHA Mozambique</t>
        </is>
      </c>
      <c r="D77" s="4" t="n">
        <v>2017</v>
      </c>
      <c r="E77" s="4" t="inlineStr">
        <is>
          <t>Catalog lead</t>
        </is>
      </c>
      <c r="F77" s="17" t="inlineStr">
        <is>
          <t>https://data.humdata.org/dataset/mozambique-health-facilities</t>
        </is>
      </c>
      <c r="G77" s="4" t="inlineStr">
        <is>
          <t>hdx_mozambique_health_facilities</t>
        </is>
      </c>
    </row>
    <row r="78">
      <c r="A78" s="4" t="inlineStr">
        <is>
          <t>Kenya Coastal Zone - Infrastructure and Hotel, Health, Recreation Facilities</t>
        </is>
      </c>
      <c r="B78" s="4" t="inlineStr">
        <is>
          <t>judged by eye: one coastal zone, archival survey</t>
        </is>
      </c>
      <c r="C78" s="4" t="inlineStr">
        <is>
          <t>NASA Earthdata</t>
        </is>
      </c>
      <c r="D78" s="4" t="inlineStr">
        <is>
          <t>current</t>
        </is>
      </c>
      <c r="E78" s="4" t="inlineStr">
        <is>
          <t>Catalog lead</t>
        </is>
      </c>
      <c r="F78" s="17" t="inlineStr">
        <is>
          <t>https://cmr.earthdata.nasa.gov/search/concepts/C2232847291-CEOS_EXTRA.html</t>
        </is>
      </c>
      <c r="G78" s="4" t="inlineStr">
        <is>
          <t>nasa_cmr_nbid0129_101</t>
        </is>
      </c>
    </row>
    <row r="79">
      <c r="A79" s="4" t="inlineStr">
        <is>
          <t>Sudan: Hospitals in Khartoum State</t>
        </is>
      </c>
      <c r="B79" s="4" t="inlineStr">
        <is>
          <t>judged by eye: one state only (2019)</t>
        </is>
      </c>
      <c r="C79" s="4" t="inlineStr">
        <is>
          <t>OCHA Sudan</t>
        </is>
      </c>
      <c r="D79" s="4" t="n">
        <v>2019</v>
      </c>
      <c r="E79" s="4" t="inlineStr">
        <is>
          <t>Catalog lead</t>
        </is>
      </c>
      <c r="F79" s="17" t="inlineStr">
        <is>
          <t>https://data.humdata.org/dataset/sudan-hospitals-in-khartoum-state-as-of-oct-2019</t>
        </is>
      </c>
      <c r="G79" s="4" t="inlineStr">
        <is>
          <t>hdx_sudan_hospitals_in_khartoum_state</t>
        </is>
      </c>
    </row>
    <row r="80">
      <c r="A80" s="4" t="inlineStr">
        <is>
          <t>Ecuador, Road Access Constraints</t>
        </is>
      </c>
      <c r="B80" s="4" t="inlineStr">
        <is>
          <t>judged by eye: one-off logistics snapshot (2016)</t>
        </is>
      </c>
      <c r="C80" s="4" t="inlineStr">
        <is>
          <t>WFP - World Food Programme</t>
        </is>
      </c>
      <c r="D80" s="4" t="n">
        <v>2016</v>
      </c>
      <c r="E80" s="4" t="inlineStr">
        <is>
          <t>Catalog lead</t>
        </is>
      </c>
      <c r="F80" s="17" t="inlineStr">
        <is>
          <t>https://data.humdata.org/dataset/ecuador-road-access-constraints</t>
        </is>
      </c>
      <c r="G80" s="4" t="inlineStr">
        <is>
          <t>hdx_ecuador_road_access_constraints</t>
        </is>
      </c>
    </row>
    <row r="81">
      <c r="A81" s="4" t="inlineStr">
        <is>
          <t>Venezuelan Hospital National Survey</t>
        </is>
      </c>
      <c r="B81" s="4" t="inlineStr">
        <is>
          <t>judged by eye: one-off survey (2018)</t>
        </is>
      </c>
      <c r="C81" s="4" t="inlineStr">
        <is>
          <t>OCHA Latin America and the Caribbean (ROLAC)</t>
        </is>
      </c>
      <c r="D81" s="4" t="n">
        <v>2018</v>
      </c>
      <c r="E81" s="4" t="inlineStr">
        <is>
          <t>Catalog lead</t>
        </is>
      </c>
      <c r="F81" s="17" t="inlineStr">
        <is>
          <t>https://data.humdata.org/dataset/venezuelan-hospital-national-survey</t>
        </is>
      </c>
      <c r="G81" s="4" t="inlineStr">
        <is>
          <t>hdx_venezuelan_hospital_national_survey</t>
        </is>
      </c>
    </row>
    <row r="82">
      <c r="A82" s="4" t="inlineStr">
        <is>
          <t>HydroForecast - Kwando &amp; Upper Zambezi Rivers</t>
        </is>
      </c>
      <c r="B82" s="4" t="inlineStr">
        <is>
          <t>judged by eye: river forecast for one basin</t>
        </is>
      </c>
      <c r="C82" s="4" t="inlineStr">
        <is>
          <t>Upstream Tech;Microsoft</t>
        </is>
      </c>
      <c r="D82" s="4" t="inlineStr">
        <is>
          <t>current</t>
        </is>
      </c>
      <c r="E82" s="4" t="inlineStr">
        <is>
          <t>Catalog lead</t>
        </is>
      </c>
      <c r="F82" s="17" t="inlineStr">
        <is>
          <t>https://planetarycomputer.microsoft.com/dataset/kaza-hydroforecast</t>
        </is>
      </c>
      <c r="G82" s="4" t="inlineStr">
        <is>
          <t>pc_kaza_hydroforecast</t>
        </is>
      </c>
    </row>
    <row r="83">
      <c r="A83" s="4" t="inlineStr">
        <is>
          <t>Poverty in Laos by district (2015)</t>
        </is>
      </c>
      <c r="B83" s="4" t="inlineStr">
        <is>
          <t>judged by eye: single-year snapshot (2015)</t>
        </is>
      </c>
      <c r="C83" s="4" t="inlineStr">
        <is>
          <t>Open Development Laos</t>
        </is>
      </c>
      <c r="D83" s="4" t="n">
        <v>2015</v>
      </c>
      <c r="E83" s="4" t="inlineStr">
        <is>
          <t>Catalog lead</t>
        </is>
      </c>
      <c r="F83" s="17" t="inlineStr">
        <is>
          <t>https://data.opendevelopmentmekong.net/dataset/poverty-in-laos-by-district-2015</t>
        </is>
      </c>
      <c r="G83" s="4" t="inlineStr">
        <is>
          <t>mekong_odm_poverty_in_laos_by_district_2015</t>
        </is>
      </c>
    </row>
    <row r="84">
      <c r="A84" s="4" t="inlineStr">
        <is>
          <t>Poverty in Laos by province 2015</t>
        </is>
      </c>
      <c r="B84" s="4" t="inlineStr">
        <is>
          <t>judged by eye: single-year snapshot (2015)</t>
        </is>
      </c>
      <c r="C84" s="4" t="inlineStr">
        <is>
          <t>Open Development Laos</t>
        </is>
      </c>
      <c r="D84" s="4" t="n">
        <v>2015</v>
      </c>
      <c r="E84" s="4" t="inlineStr">
        <is>
          <t>Catalog lead</t>
        </is>
      </c>
      <c r="F84" s="17" t="inlineStr">
        <is>
          <t>https://data.opendevelopmentmekong.net/dataset/poverty-in-laos-by-province-2015</t>
        </is>
      </c>
      <c r="G84" s="4" t="inlineStr">
        <is>
          <t>mekong_odm_poverty_in_laos_by_province_2015</t>
        </is>
      </c>
    </row>
    <row r="85">
      <c r="A85" s="4" t="inlineStr">
        <is>
          <t>Met Office Global Deterministic 10km on a 2-year rolling archive</t>
        </is>
      </c>
      <c r="B85" s="4" t="inlineStr">
        <is>
          <t>judged by eye: weather forecast model output</t>
        </is>
      </c>
      <c r="C85" s="4" t="inlineStr">
        <is>
          <t>[Met Office](https://www.metoffice.gov.uk/)</t>
        </is>
      </c>
      <c r="D85" s="4" t="inlineStr">
        <is>
          <t>current</t>
        </is>
      </c>
      <c r="E85" s="4" t="inlineStr">
        <is>
          <t>Catalog lead</t>
        </is>
      </c>
      <c r="F85" s="17" t="inlineStr">
        <is>
          <t>https://registry.opendata.aws/met-office-global-deterministic/</t>
        </is>
      </c>
      <c r="G85" s="4" t="inlineStr">
        <is>
          <t>aws_met_office_global_deterministic</t>
        </is>
      </c>
    </row>
    <row r="86">
      <c r="A86" s="4" t="inlineStr">
        <is>
          <t>Affected Schools in Yemen</t>
        </is>
      </c>
      <c r="B86" s="4" t="inlineStr">
        <is>
          <t>lead that is context, not a direct exposure or determinant</t>
        </is>
      </c>
      <c r="C86" s="4" t="inlineStr">
        <is>
          <t>Education Cluster Yemen</t>
        </is>
      </c>
      <c r="D86" s="4" t="n">
        <v>2017</v>
      </c>
      <c r="E86" s="4" t="inlineStr">
        <is>
          <t>Catalog lead</t>
        </is>
      </c>
      <c r="F86" s="17" t="inlineStr">
        <is>
          <t>https://data.humdata.org/dataset/affected-schools-in-yemen</t>
        </is>
      </c>
      <c r="G86" s="4" t="inlineStr">
        <is>
          <t>hdx_affected_schools_in_yemen</t>
        </is>
      </c>
    </row>
    <row r="87">
      <c r="A87" s="4" t="inlineStr">
        <is>
          <t>Algeria: Planet Road Surface, Width, and Passability Data</t>
        </is>
      </c>
      <c r="B87" s="4" t="inlineStr">
        <is>
          <t>lead that is context, not a direct exposure or determinant</t>
        </is>
      </c>
      <c r="C87" s="4" t="inlineStr">
        <is>
          <t>HeiGIT (Heidelberg Institute for Geoinformation Technology)</t>
        </is>
      </c>
      <c r="D87" s="4" t="n">
        <v>2024</v>
      </c>
      <c r="E87" s="4" t="inlineStr">
        <is>
          <t>Catalog lead</t>
        </is>
      </c>
      <c r="F87" s="17" t="inlineStr">
        <is>
          <t>https://data.humdata.org/dataset/algeria-planet-road-surface-data</t>
        </is>
      </c>
      <c r="G87" s="4" t="inlineStr">
        <is>
          <t>hdx_algeria_planet_road_surface_width_and_passability_data</t>
        </is>
      </c>
    </row>
    <row r="88">
      <c r="A88" s="4" t="inlineStr">
        <is>
          <t>Angola: Planet Road Surface, Width, and Passability Data</t>
        </is>
      </c>
      <c r="B88" s="4" t="inlineStr">
        <is>
          <t>lead that is context, not a direct exposure or determinant</t>
        </is>
      </c>
      <c r="C88" s="4" t="inlineStr">
        <is>
          <t>HeiGIT (Heidelberg Institute for Geoinformation Technology)</t>
        </is>
      </c>
      <c r="D88" s="4" t="n">
        <v>2024</v>
      </c>
      <c r="E88" s="4" t="inlineStr">
        <is>
          <t>Catalog lead</t>
        </is>
      </c>
      <c r="F88" s="17" t="inlineStr">
        <is>
          <t>https://data.humdata.org/dataset/angola-planet-road-surface-data</t>
        </is>
      </c>
      <c r="G88" s="4" t="inlineStr">
        <is>
          <t>hdx_angola_planet_road_surface_width_and_passability_data</t>
        </is>
      </c>
    </row>
    <row r="89">
      <c r="A89" s="4" t="inlineStr">
        <is>
          <t>Bahamas Schools</t>
        </is>
      </c>
      <c r="B89" s="4" t="inlineStr">
        <is>
          <t>lead that is context, not a direct exposure or determinant</t>
        </is>
      </c>
      <c r="C89" s="4" t="inlineStr">
        <is>
          <t>OCHA Latin America and the Caribbean (ROLAC)</t>
        </is>
      </c>
      <c r="D89" s="4" t="n">
        <v>2019</v>
      </c>
      <c r="E89" s="4" t="inlineStr">
        <is>
          <t>Catalog lead</t>
        </is>
      </c>
      <c r="F89" s="17" t="inlineStr">
        <is>
          <t>https://data.humdata.org/dataset/bahamas-schools</t>
        </is>
      </c>
      <c r="G89" s="4" t="inlineStr">
        <is>
          <t>hdx_bahamas_schools</t>
        </is>
      </c>
    </row>
    <row r="90">
      <c r="A90" s="4" t="inlineStr">
        <is>
          <t>Bangladesh - Subnational Administrative Boundaries</t>
        </is>
      </c>
      <c r="B90" s="4" t="inlineStr">
        <is>
          <t>lead that is context, not a direct exposure or determinant</t>
        </is>
      </c>
      <c r="C90" s="4" t="inlineStr">
        <is>
          <t>OCHA Field Information Services Section (FISS)</t>
        </is>
      </c>
      <c r="D90" s="4" t="n">
        <v>2025</v>
      </c>
      <c r="E90" s="4" t="inlineStr">
        <is>
          <t>Catalog lead</t>
        </is>
      </c>
      <c r="F90" s="17" t="inlineStr">
        <is>
          <t>https://data.humdata.org/dataset/cod-ab-bgd</t>
        </is>
      </c>
      <c r="G90" s="4" t="inlineStr">
        <is>
          <t>hdx_bangladesh_subnational_administrative_boundaries</t>
        </is>
      </c>
    </row>
    <row r="91">
      <c r="A91" s="4" t="inlineStr">
        <is>
          <t>Brazil: School Geolocation and Connectivity Status</t>
        </is>
      </c>
      <c r="B91" s="4" t="inlineStr">
        <is>
          <t>lead that is context, not a direct exposure or determinant</t>
        </is>
      </c>
      <c r="C91" s="4" t="inlineStr">
        <is>
          <t>Giga</t>
        </is>
      </c>
      <c r="D91" s="4" t="n">
        <v>2025</v>
      </c>
      <c r="E91" s="4" t="inlineStr">
        <is>
          <t>Catalog lead</t>
        </is>
      </c>
      <c r="F91" s="17" t="inlineStr">
        <is>
          <t>https://data.humdata.org/dataset/brazil-school-geolocation-and-connectivity-status</t>
        </is>
      </c>
      <c r="G91" s="4" t="inlineStr">
        <is>
          <t>hdx_brazil_school_geolocation_and_connectivity_status</t>
        </is>
      </c>
    </row>
    <row r="92">
      <c r="A92" s="4" t="inlineStr">
        <is>
          <t>China: Planet Road Surface, Width, and Passability Data</t>
        </is>
      </c>
      <c r="B92" s="4" t="inlineStr">
        <is>
          <t>lead that is context, not a direct exposure or determinant</t>
        </is>
      </c>
      <c r="C92" s="4" t="inlineStr">
        <is>
          <t>HeiGIT (Heidelberg Institute for Geoinformation Technology)</t>
        </is>
      </c>
      <c r="D92" s="4" t="n">
        <v>2024</v>
      </c>
      <c r="E92" s="4" t="inlineStr">
        <is>
          <t>Catalog lead</t>
        </is>
      </c>
      <c r="F92" s="17" t="inlineStr">
        <is>
          <t>https://data.humdata.org/dataset/china-planet-road-surface-data</t>
        </is>
      </c>
      <c r="G92" s="4" t="inlineStr">
        <is>
          <t>hdx_china_planet_road_surface_width_and_passability_data</t>
        </is>
      </c>
    </row>
    <row r="93">
      <c r="A93" s="4" t="inlineStr">
        <is>
          <t>Collaborative Research: Observing the Atmospheric Boundary over the West Antarctic Ice Sheet</t>
        </is>
      </c>
      <c r="B93" s="4" t="inlineStr">
        <is>
          <t>lead that is context, not a direct exposure or determinant</t>
        </is>
      </c>
      <c r="C93" s="4" t="inlineStr">
        <is>
          <t>NASA Earthdata</t>
        </is>
      </c>
      <c r="D93" s="4" t="n">
        <v>2022</v>
      </c>
      <c r="E93" s="4" t="inlineStr">
        <is>
          <t>Catalog lead</t>
        </is>
      </c>
      <c r="F93" s="17" t="inlineStr">
        <is>
          <t>https://cmr.earthdata.nasa.gov/search/concepts/C2532075155-AMD_USAPDC.html</t>
        </is>
      </c>
      <c r="G93" s="4" t="inlineStr">
        <is>
          <t>nasa_cmr_usap_1745097</t>
        </is>
      </c>
    </row>
    <row r="94">
      <c r="A94" s="4" t="inlineStr">
        <is>
          <t>Communes 76 Liste et contours 2022</t>
        </is>
      </c>
      <c r="B94" s="4" t="inlineStr">
        <is>
          <t>lead that is context, not a direct exposure or determinant</t>
        </is>
      </c>
      <c r="C94" s="4" t="inlineStr">
        <is>
          <t>Département de la Seine-Maritime</t>
        </is>
      </c>
      <c r="D94" s="4" t="n">
        <v>2022</v>
      </c>
      <c r="E94" s="4" t="inlineStr">
        <is>
          <t>Catalog lead</t>
        </is>
      </c>
      <c r="F94" s="17" t="inlineStr">
        <is>
          <t>https://www.data.gouv.fr/datasets/communes-76-liste-et-contours-2022</t>
        </is>
      </c>
      <c r="G94" s="4" t="inlineStr">
        <is>
          <t>fr_datagouv_communes_76_liste_et_contours_2022</t>
        </is>
      </c>
    </row>
    <row r="95">
      <c r="A95" s="4" t="inlineStr">
        <is>
          <t>Constituency Boundaries - National Electoral Boundaries - Ungeneralised - 2026</t>
        </is>
      </c>
      <c r="B95" s="4" t="inlineStr">
        <is>
          <t>lead that is context, not a direct exposure or determinant</t>
        </is>
      </c>
      <c r="C95" s="4" t="inlineStr">
        <is>
          <t>Tailte Éireann</t>
        </is>
      </c>
      <c r="D95" s="4" t="n">
        <v>2026</v>
      </c>
      <c r="E95" s="4" t="inlineStr">
        <is>
          <t>Catalog lead</t>
        </is>
      </c>
      <c r="F95" s="17" t="inlineStr">
        <is>
          <t>https://data.gov.ie/dataset/constituency-boundaries-national-electoral-boundaries-ungeneralised-20261</t>
        </is>
      </c>
      <c r="G95" s="4" t="inlineStr">
        <is>
          <t>ie_datagovie_constituency_boundaries_national_electoral_boundaries_u</t>
        </is>
      </c>
    </row>
    <row r="96">
      <c r="A96" s="4" t="inlineStr">
        <is>
          <t>Contours des communes de France simplifié, avec régions et département d'outre-mer rapprochés</t>
        </is>
      </c>
      <c r="B96" s="4" t="inlineStr">
        <is>
          <t>lead that is context, not a direct exposure or determinant</t>
        </is>
      </c>
      <c r="C96" s="4" t="inlineStr">
        <is>
          <t>icem7</t>
        </is>
      </c>
      <c r="D96" s="4" t="n">
        <v>2020</v>
      </c>
      <c r="E96" s="4" t="inlineStr">
        <is>
          <t>Catalog lead</t>
        </is>
      </c>
      <c r="F96" s="17" t="inlineStr">
        <is>
          <t>https://www.data.gouv.fr/datasets/contours-des-communes-de-france-simplifie-avec-regions-et-departement-doutre-mer-rapproches</t>
        </is>
      </c>
      <c r="G96" s="4" t="inlineStr">
        <is>
          <t>fr_datagouv_contours_des_communes_de_france_simplifi_avec_r_gions_e</t>
        </is>
      </c>
    </row>
    <row r="97">
      <c r="A97" s="4" t="inlineStr">
        <is>
          <t>Contours d’incendies forestier sur les communes de Vif et de Voreppe - Isère</t>
        </is>
      </c>
      <c r="B97" s="4" t="inlineStr">
        <is>
          <t>lead that is context, not a direct exposure or determinant</t>
        </is>
      </c>
      <c r="C97" s="4" t="inlineStr">
        <is>
          <t>DDT de l'Isère</t>
        </is>
      </c>
      <c r="D97" s="4" t="n">
        <v>2022</v>
      </c>
      <c r="E97" s="4" t="inlineStr">
        <is>
          <t>Catalog lead</t>
        </is>
      </c>
      <c r="F97" s="17" t="inlineStr">
        <is>
          <t>https://www.data.gouv.fr/datasets/contours-dincendies-forestier-sur-les-communes-de-vif-et-de-voreppe-isere</t>
        </is>
      </c>
      <c r="G97" s="4" t="inlineStr">
        <is>
          <t>fr_datagouv_contours_d_incendies_forestier_sur_les_communes_de_vif</t>
        </is>
      </c>
    </row>
    <row r="98">
      <c r="A98" s="4" t="inlineStr">
        <is>
          <t>Democratic People's Republic of Korea: Planet Road Surface, Width, and Passability Data</t>
        </is>
      </c>
      <c r="B98" s="4" t="inlineStr">
        <is>
          <t>lead that is context, not a direct exposure or determinant</t>
        </is>
      </c>
      <c r="C98" s="4" t="inlineStr">
        <is>
          <t>HeiGIT (Heidelberg Institute for Geoinformation Technology)</t>
        </is>
      </c>
      <c r="D98" s="4" t="n">
        <v>2024</v>
      </c>
      <c r="E98" s="4" t="inlineStr">
        <is>
          <t>Catalog lead</t>
        </is>
      </c>
      <c r="F98" s="17" t="inlineStr">
        <is>
          <t>https://data.humdata.org/dataset/democratic-peoples-republic-of-korea-planet-road-surface-data</t>
        </is>
      </c>
      <c r="G98" s="4" t="inlineStr">
        <is>
          <t>hdx_democratic_people_s_republic_of_korea_planet_road_surfa</t>
        </is>
      </c>
    </row>
    <row r="99">
      <c r="A99" s="4" t="inlineStr">
        <is>
          <t>Djibouti: School Geolocation and Connectivity Status</t>
        </is>
      </c>
      <c r="B99" s="4" t="inlineStr">
        <is>
          <t>lead that is context, not a direct exposure or determinant</t>
        </is>
      </c>
      <c r="C99" s="4" t="inlineStr">
        <is>
          <t>Giga</t>
        </is>
      </c>
      <c r="D99" s="4" t="n">
        <v>2026</v>
      </c>
      <c r="E99" s="4" t="inlineStr">
        <is>
          <t>Catalog lead</t>
        </is>
      </c>
      <c r="F99" s="17" t="inlineStr">
        <is>
          <t>https://data.humdata.org/dataset/djibouti-school-geolocation-and-connectivity-status</t>
        </is>
      </c>
      <c r="G99" s="4" t="inlineStr">
        <is>
          <t>hdx_djibouti_school_geolocation_and_connectivity_status</t>
        </is>
      </c>
    </row>
    <row r="100">
      <c r="A100" s="4" t="inlineStr">
        <is>
          <t>Dynamap/Highways v2.0 CD-ROM: Major Road Networks Database from Geographic DataTechnology</t>
        </is>
      </c>
      <c r="B100" s="4" t="inlineStr">
        <is>
          <t>lead that is context, not a direct exposure or determinant</t>
        </is>
      </c>
      <c r="C100" s="4" t="inlineStr">
        <is>
          <t>NASA Earthdata</t>
        </is>
      </c>
      <c r="D100" s="4" t="inlineStr">
        <is>
          <t>current</t>
        </is>
      </c>
      <c r="E100" s="4" t="inlineStr">
        <is>
          <t>Catalog lead</t>
        </is>
      </c>
      <c r="F100" s="17" t="inlineStr">
        <is>
          <t>https://cmr.earthdata.nasa.gov/search/concepts/C1214585748-SCIOPS.html</t>
        </is>
      </c>
      <c r="G100" s="4" t="inlineStr">
        <is>
          <t>nasa_cmr_gdt_dynamap_hwy</t>
        </is>
      </c>
    </row>
    <row r="101">
      <c r="A101" s="4" t="inlineStr">
        <is>
          <t>ECOSTRESS Gridded Surface Energy Balance Instantaneous L3 Global 70 m V002</t>
        </is>
      </c>
      <c r="B101" s="4" t="inlineStr">
        <is>
          <t>lead that is context, not a direct exposure or determinant</t>
        </is>
      </c>
      <c r="C101" s="4" t="inlineStr">
        <is>
          <t>NASA Earthdata</t>
        </is>
      </c>
      <c r="D101" s="4" t="inlineStr">
        <is>
          <t>current</t>
        </is>
      </c>
      <c r="E101" s="4" t="inlineStr">
        <is>
          <t>Catalog lead</t>
        </is>
      </c>
      <c r="F101" s="17" t="inlineStr">
        <is>
          <t>https://cmr.earthdata.nasa.gov/search/concepts/C2074855428-LPCLOUD.html</t>
        </is>
      </c>
      <c r="G101" s="4" t="inlineStr">
        <is>
          <t>nasa_cmr_eco_l3g_seb</t>
        </is>
      </c>
    </row>
    <row r="102">
      <c r="A102" s="4" t="inlineStr">
        <is>
          <t>ECOSTRESS Tiled Evapotranspiration disALEXI 24-Hour L3 CONUS 70 m V002</t>
        </is>
      </c>
      <c r="B102" s="4" t="inlineStr">
        <is>
          <t>lead that is context, not a direct exposure or determinant</t>
        </is>
      </c>
      <c r="C102" s="4" t="inlineStr">
        <is>
          <t>NASA Earthdata</t>
        </is>
      </c>
      <c r="D102" s="4" t="inlineStr">
        <is>
          <t>current</t>
        </is>
      </c>
      <c r="E102" s="4" t="inlineStr">
        <is>
          <t>Catalog lead</t>
        </is>
      </c>
      <c r="F102" s="17" t="inlineStr">
        <is>
          <t>https://cmr.earthdata.nasa.gov/search/concepts/C2076105456-LPCLOUD.html</t>
        </is>
      </c>
      <c r="G102" s="4" t="inlineStr">
        <is>
          <t>nasa_cmr_eco_l3t_et_alexi</t>
        </is>
      </c>
    </row>
    <row r="103">
      <c r="A103" s="4" t="inlineStr">
        <is>
          <t>ECOSTRESS Tiled Surface Energy Balance Instantaneous L3 Global 70 m V002</t>
        </is>
      </c>
      <c r="B103" s="4" t="inlineStr">
        <is>
          <t>lead that is context, not a direct exposure or determinant</t>
        </is>
      </c>
      <c r="C103" s="4" t="inlineStr">
        <is>
          <t>NASA Earthdata</t>
        </is>
      </c>
      <c r="D103" s="4" t="inlineStr">
        <is>
          <t>current</t>
        </is>
      </c>
      <c r="E103" s="4" t="inlineStr">
        <is>
          <t>Catalog lead</t>
        </is>
      </c>
      <c r="F103" s="17" t="inlineStr">
        <is>
          <t>https://cmr.earthdata.nasa.gov/search/concepts/C2074852168-LPCLOUD.html</t>
        </is>
      </c>
      <c r="G103" s="4" t="inlineStr">
        <is>
          <t>nasa_cmr_eco_l3t_seb</t>
        </is>
      </c>
    </row>
    <row r="104">
      <c r="A104" s="4" t="inlineStr">
        <is>
          <t>Egypt - Subnational Administrative Boundaries</t>
        </is>
      </c>
      <c r="B104" s="4" t="inlineStr">
        <is>
          <t>lead that is context, not a direct exposure or determinant</t>
        </is>
      </c>
      <c r="C104" s="4" t="inlineStr">
        <is>
          <t>OCHA Field Information Services Section (FISS)</t>
        </is>
      </c>
      <c r="D104" s="4" t="n">
        <v>2024</v>
      </c>
      <c r="E104" s="4" t="inlineStr">
        <is>
          <t>Catalog lead</t>
        </is>
      </c>
      <c r="F104" s="17" t="inlineStr">
        <is>
          <t>https://data.humdata.org/dataset/cod-ab-egy</t>
        </is>
      </c>
      <c r="G104" s="4" t="inlineStr">
        <is>
          <t>hdx_egypt_subnational_administrative_boundaries</t>
        </is>
      </c>
    </row>
    <row r="105">
      <c r="A105" s="4" t="inlineStr">
        <is>
          <t>Egypt: Planet Road Surface, Width, and Passability Data</t>
        </is>
      </c>
      <c r="B105" s="4" t="inlineStr">
        <is>
          <t>lead that is context, not a direct exposure or determinant</t>
        </is>
      </c>
      <c r="C105" s="4" t="inlineStr">
        <is>
          <t>HeiGIT (Heidelberg Institute for Geoinformation Technology)</t>
        </is>
      </c>
      <c r="D105" s="4" t="n">
        <v>2024</v>
      </c>
      <c r="E105" s="4" t="inlineStr">
        <is>
          <t>Catalog lead</t>
        </is>
      </c>
      <c r="F105" s="17" t="inlineStr">
        <is>
          <t>https://data.humdata.org/dataset/egypt-planet-road-surface-data</t>
        </is>
      </c>
      <c r="G105" s="4" t="inlineStr">
        <is>
          <t>hdx_egypt_planet_road_surface_width_and_passability_data</t>
        </is>
      </c>
    </row>
    <row r="106">
      <c r="A106" s="4" t="inlineStr">
        <is>
          <t>Ethiopia - Subnational Administrative Boundaries</t>
        </is>
      </c>
      <c r="B106" s="4" t="inlineStr">
        <is>
          <t>lead that is context, not a direct exposure or determinant</t>
        </is>
      </c>
      <c r="C106" s="4" t="inlineStr">
        <is>
          <t>OCHA Field Information Services Section (FISS)</t>
        </is>
      </c>
      <c r="D106" s="4" t="n">
        <v>2025</v>
      </c>
      <c r="E106" s="4" t="inlineStr">
        <is>
          <t>Catalog lead</t>
        </is>
      </c>
      <c r="F106" s="17" t="inlineStr">
        <is>
          <t>https://data.humdata.org/dataset/cod-ab-eth</t>
        </is>
      </c>
      <c r="G106" s="4" t="inlineStr">
        <is>
          <t>hdx_ethiopia_subnational_administrative_boundaries</t>
        </is>
      </c>
    </row>
    <row r="107">
      <c r="A107" s="4" t="inlineStr">
        <is>
          <t>FLDAS2 Noah-MP GDAS Land Surface Model L4 Central Asia Daily 0.01 degree x 0.01 degree V001 (FLDAS_NOAHMP001_G_CA_D)</t>
        </is>
      </c>
      <c r="B107" s="4" t="inlineStr">
        <is>
          <t>lead that is context, not a direct exposure or determinant</t>
        </is>
      </c>
      <c r="C107" s="4" t="inlineStr">
        <is>
          <t>NASA Earthdata</t>
        </is>
      </c>
      <c r="D107" s="4" t="inlineStr">
        <is>
          <t>current</t>
        </is>
      </c>
      <c r="E107" s="4" t="inlineStr">
        <is>
          <t>Catalog lead</t>
        </is>
      </c>
      <c r="F107" s="17" t="inlineStr">
        <is>
          <t>https://cmr.earthdata.nasa.gov/search/concepts/C2773858780-GES_DISC.html</t>
        </is>
      </c>
      <c r="G107" s="4" t="inlineStr">
        <is>
          <t>nasa_cmr_fldas_noahmp001_g_ca_d</t>
        </is>
      </c>
    </row>
    <row r="108">
      <c r="A108" s="4" t="inlineStr">
        <is>
          <t>Formal Sector School Location Lower Myanmar</t>
        </is>
      </c>
      <c r="B108" s="4" t="inlineStr">
        <is>
          <t>lead that is context, not a direct exposure or determinant</t>
        </is>
      </c>
      <c r="C108" s="4" t="inlineStr">
        <is>
          <t>Myanmar Information Management Unit (MIMU)</t>
        </is>
      </c>
      <c r="D108" s="4" t="n">
        <v>2019</v>
      </c>
      <c r="E108" s="4" t="inlineStr">
        <is>
          <t>Catalog lead</t>
        </is>
      </c>
      <c r="F108" s="17" t="inlineStr">
        <is>
          <t>https://data.humdata.org/dataset/mimu-geonode-formal-sector-school-location-lower-myanmar</t>
        </is>
      </c>
      <c r="G108" s="4" t="inlineStr">
        <is>
          <t>hdx_formal_sector_school_location_lower_myanmar</t>
        </is>
      </c>
    </row>
    <row r="109">
      <c r="A109" s="4" t="inlineStr">
        <is>
          <t>Formal Sector School Location Upper Myanmar</t>
        </is>
      </c>
      <c r="B109" s="4" t="inlineStr">
        <is>
          <t>lead that is context, not a direct exposure or determinant</t>
        </is>
      </c>
      <c r="C109" s="4" t="inlineStr">
        <is>
          <t>Myanmar Information Management Unit (MIMU)</t>
        </is>
      </c>
      <c r="D109" s="4" t="n">
        <v>2019</v>
      </c>
      <c r="E109" s="4" t="inlineStr">
        <is>
          <t>Catalog lead</t>
        </is>
      </c>
      <c r="F109" s="17" t="inlineStr">
        <is>
          <t>https://data.humdata.org/dataset/mimu-geonode-formal-sector-school-location-upper-myanmar</t>
        </is>
      </c>
      <c r="G109" s="4" t="inlineStr">
        <is>
          <t>hdx_formal_sector_school_location_upper_myanmar</t>
        </is>
      </c>
    </row>
    <row r="110">
      <c r="A110" s="4" t="inlineStr">
        <is>
          <t>Gaeltacht Boundaries Ungeneralised - National Administrative Boundaries - 2015</t>
        </is>
      </c>
      <c r="B110" s="4" t="inlineStr">
        <is>
          <t>lead that is context, not a direct exposure or determinant</t>
        </is>
      </c>
      <c r="C110" s="4" t="inlineStr">
        <is>
          <t>Tailte Éireann</t>
        </is>
      </c>
      <c r="D110" s="4" t="n">
        <v>2015</v>
      </c>
      <c r="E110" s="4" t="inlineStr">
        <is>
          <t>Catalog lead</t>
        </is>
      </c>
      <c r="F110" s="17" t="inlineStr">
        <is>
          <t>https://data.gov.ie/dataset/gaeltacht-boundaries-ungeneralised-national-administrative-boundaries-2015</t>
        </is>
      </c>
      <c r="G110" s="4" t="inlineStr">
        <is>
          <t>ie_datagovie_gaeltacht_boundaries_ungeneralised_national_administrat</t>
        </is>
      </c>
    </row>
    <row r="111">
      <c r="A111" s="4" t="inlineStr">
        <is>
          <t>Geographic mapping of school locations in the Pacific</t>
        </is>
      </c>
      <c r="B111" s="4" t="inlineStr">
        <is>
          <t>lead that is context, not a direct exposure or determinant</t>
        </is>
      </c>
      <c r="C111" s="4" t="inlineStr">
        <is>
          <t>Pacific Community</t>
        </is>
      </c>
      <c r="D111" s="4" t="n">
        <v>2020</v>
      </c>
      <c r="E111" s="4" t="inlineStr">
        <is>
          <t>Catalog lead</t>
        </is>
      </c>
      <c r="F111" s="17" t="inlineStr">
        <is>
          <t>https://data.humdata.org/dataset/pdh-geographic-mapping-of-school-locations-in-the-pacific</t>
        </is>
      </c>
      <c r="G111" s="4" t="inlineStr">
        <is>
          <t>hdx_geographic_mapping_of_school_locations_in_the_pacific</t>
        </is>
      </c>
    </row>
    <row r="112">
      <c r="A112" s="4" t="inlineStr">
        <is>
          <t>Geologic map and map database of the Spreckels 7.5-minute quadrangle, Monterey County, California</t>
        </is>
      </c>
      <c r="B112" s="4" t="inlineStr">
        <is>
          <t>lead that is context, not a direct exposure or determinant</t>
        </is>
      </c>
      <c r="C112" s="4" t="inlineStr">
        <is>
          <t>NASA Earthdata</t>
        </is>
      </c>
      <c r="D112" s="4" t="inlineStr">
        <is>
          <t>current</t>
        </is>
      </c>
      <c r="E112" s="4" t="inlineStr">
        <is>
          <t>Catalog lead</t>
        </is>
      </c>
      <c r="F112" s="17" t="inlineStr">
        <is>
          <t>https://cmr.earthdata.nasa.gov/search/concepts/C2231552246-CEOS_EXTRA.html</t>
        </is>
      </c>
      <c r="G112" s="4" t="inlineStr">
        <is>
          <t>nasa_cmr_usgs_map_mf_2349</t>
        </is>
      </c>
    </row>
    <row r="113">
      <c r="A113" s="4" t="inlineStr">
        <is>
          <t>Geologic map of the Grand Junction quadrangle, Mesa County, Colorado</t>
        </is>
      </c>
      <c r="B113" s="4" t="inlineStr">
        <is>
          <t>lead that is context, not a direct exposure or determinant</t>
        </is>
      </c>
      <c r="C113" s="4" t="inlineStr">
        <is>
          <t>NASA Earthdata</t>
        </is>
      </c>
      <c r="D113" s="4" t="inlineStr">
        <is>
          <t>current</t>
        </is>
      </c>
      <c r="E113" s="4" t="inlineStr">
        <is>
          <t>Catalog lead</t>
        </is>
      </c>
      <c r="F113" s="17" t="inlineStr">
        <is>
          <t>https://cmr.earthdata.nasa.gov/search/concepts/C2231552505-CEOS_EXTRA.html</t>
        </is>
      </c>
      <c r="G113" s="4" t="inlineStr">
        <is>
          <t>nasa_cmr_usgs_map_mf_2363</t>
        </is>
      </c>
    </row>
    <row r="114">
      <c r="A114" s="4" t="inlineStr">
        <is>
          <t>Global Land Cover Mapping and Estimation Yearly 30 m V001</t>
        </is>
      </c>
      <c r="B114" s="4" t="inlineStr">
        <is>
          <t>lead that is context, not a direct exposure or determinant</t>
        </is>
      </c>
      <c r="C114" s="4" t="inlineStr">
        <is>
          <t>NASA Earthdata</t>
        </is>
      </c>
      <c r="D114" s="4" t="n">
        <v>2021</v>
      </c>
      <c r="E114" s="4" t="inlineStr">
        <is>
          <t>Catalog lead</t>
        </is>
      </c>
      <c r="F114" s="17" t="inlineStr">
        <is>
          <t>https://cmr.earthdata.nasa.gov/search/concepts/C2763264675-LPCLOUD.html</t>
        </is>
      </c>
      <c r="G114" s="4" t="inlineStr">
        <is>
          <t>nasa_cmr_glance30</t>
        </is>
      </c>
    </row>
    <row r="115">
      <c r="A115" s="4" t="inlineStr">
        <is>
          <t>GPM IMERG Early Precipitation L3 1 day 0.1 degree x 0.1 degree V07 (GPM_3IMERGDE) at GES DISC</t>
        </is>
      </c>
      <c r="B115" s="4" t="inlineStr">
        <is>
          <t>lead that is context, not a direct exposure or determinant</t>
        </is>
      </c>
      <c r="C115" s="4" t="inlineStr">
        <is>
          <t>NASA</t>
        </is>
      </c>
      <c r="D115" s="4" t="inlineStr">
        <is>
          <t>current</t>
        </is>
      </c>
      <c r="E115" s="4" t="inlineStr">
        <is>
          <t>Catalog lead</t>
        </is>
      </c>
      <c r="F115" s="17" t="inlineStr">
        <is>
          <t>https://registry.opendata.aws/nasa-gpm3imergde/</t>
        </is>
      </c>
      <c r="G115" s="4" t="inlineStr">
        <is>
          <t>aws_nasa_gpm3imergde</t>
        </is>
      </c>
    </row>
    <row r="116">
      <c r="A116" s="4" t="inlineStr">
        <is>
          <t>GPM IMERG Early Precipitation L3 Half Hourly 0.1 degree x 0.1 degree V07 (GPM_3IMERGHHE) at GES DISC</t>
        </is>
      </c>
      <c r="B116" s="4" t="inlineStr">
        <is>
          <t>lead that is context, not a direct exposure or determinant</t>
        </is>
      </c>
      <c r="C116" s="4" t="inlineStr">
        <is>
          <t>NASA</t>
        </is>
      </c>
      <c r="D116" s="4" t="inlineStr">
        <is>
          <t>current</t>
        </is>
      </c>
      <c r="E116" s="4" t="inlineStr">
        <is>
          <t>Catalog lead</t>
        </is>
      </c>
      <c r="F116" s="17" t="inlineStr">
        <is>
          <t>https://registry.opendata.aws/nasa-gpm3imerghhe/</t>
        </is>
      </c>
      <c r="G116" s="4" t="inlineStr">
        <is>
          <t>aws_nasa_gpm3imerghhe</t>
        </is>
      </c>
    </row>
    <row r="117">
      <c r="A117" s="4" t="inlineStr">
        <is>
          <t>GPM IMERG Final Precipitation L3 1 day 0.1 degree x 0.1 degree V07 (GPM_3IMERGDF) at GES DISC</t>
        </is>
      </c>
      <c r="B117" s="4" t="inlineStr">
        <is>
          <t>lead that is context, not a direct exposure or determinant</t>
        </is>
      </c>
      <c r="C117" s="4" t="inlineStr">
        <is>
          <t>NASA</t>
        </is>
      </c>
      <c r="D117" s="4" t="inlineStr">
        <is>
          <t>current</t>
        </is>
      </c>
      <c r="E117" s="4" t="inlineStr">
        <is>
          <t>Catalog lead</t>
        </is>
      </c>
      <c r="F117" s="17" t="inlineStr">
        <is>
          <t>https://registry.opendata.aws/nasa-gpm3imergdf/</t>
        </is>
      </c>
      <c r="G117" s="4" t="inlineStr">
        <is>
          <t>aws_nasa_gpm3imergdf</t>
        </is>
      </c>
    </row>
    <row r="118">
      <c r="A118" s="4" t="inlineStr">
        <is>
          <t>GPM IMERG Final Precipitation L3 1 month 0.1 degree x 0.1 degree V07 (GPM_3IMERGM) at GES DISC</t>
        </is>
      </c>
      <c r="B118" s="4" t="inlineStr">
        <is>
          <t>lead that is context, not a direct exposure or determinant</t>
        </is>
      </c>
      <c r="C118" s="4" t="inlineStr">
        <is>
          <t>NASA</t>
        </is>
      </c>
      <c r="D118" s="4" t="inlineStr">
        <is>
          <t>current</t>
        </is>
      </c>
      <c r="E118" s="4" t="inlineStr">
        <is>
          <t>Catalog lead</t>
        </is>
      </c>
      <c r="F118" s="17" t="inlineStr">
        <is>
          <t>https://registry.opendata.aws/nasa-gpm3imergm/</t>
        </is>
      </c>
      <c r="G118" s="4" t="inlineStr">
        <is>
          <t>aws_nasa_gpm3imergm</t>
        </is>
      </c>
    </row>
    <row r="119">
      <c r="A119" s="4" t="inlineStr">
        <is>
          <t>GPM IMERG Final Precipitation L3 Half Hourly 0.1 degree x 0.1 degree V07 (GPM_3IMERGHH) at GES DISC</t>
        </is>
      </c>
      <c r="B119" s="4" t="inlineStr">
        <is>
          <t>lead that is context, not a direct exposure or determinant</t>
        </is>
      </c>
      <c r="C119" s="4" t="inlineStr">
        <is>
          <t>NASA</t>
        </is>
      </c>
      <c r="D119" s="4" t="inlineStr">
        <is>
          <t>current</t>
        </is>
      </c>
      <c r="E119" s="4" t="inlineStr">
        <is>
          <t>Catalog lead</t>
        </is>
      </c>
      <c r="F119" s="17" t="inlineStr">
        <is>
          <t>https://registry.opendata.aws/nasa-gpm3imerghh/</t>
        </is>
      </c>
      <c r="G119" s="4" t="inlineStr">
        <is>
          <t>aws_nasa_gpm3imerghh</t>
        </is>
      </c>
    </row>
    <row r="120">
      <c r="A120" s="4" t="inlineStr">
        <is>
          <t>GPM IMERG Late Precipitation L3 1 day 0.1 degree x 0.1 degree V07 (GPM_3IMERGDL) at GES DISC</t>
        </is>
      </c>
      <c r="B120" s="4" t="inlineStr">
        <is>
          <t>lead that is context, not a direct exposure or determinant</t>
        </is>
      </c>
      <c r="C120" s="4" t="inlineStr">
        <is>
          <t>NASA</t>
        </is>
      </c>
      <c r="D120" s="4" t="inlineStr">
        <is>
          <t>current</t>
        </is>
      </c>
      <c r="E120" s="4" t="inlineStr">
        <is>
          <t>Catalog lead</t>
        </is>
      </c>
      <c r="F120" s="17" t="inlineStr">
        <is>
          <t>https://registry.opendata.aws/nasa-gpm3imergdl/</t>
        </is>
      </c>
      <c r="G120" s="4" t="inlineStr">
        <is>
          <t>aws_nasa_gpm3imergdl</t>
        </is>
      </c>
    </row>
    <row r="121">
      <c r="A121" s="4" t="inlineStr">
        <is>
          <t>GPM IMERG Late Precipitation L3 Half Hourly 0.1 degree x 0.1 degree V07 (GPM_3IMERGHHL) at GES DISC</t>
        </is>
      </c>
      <c r="B121" s="4" t="inlineStr">
        <is>
          <t>lead that is context, not a direct exposure or determinant</t>
        </is>
      </c>
      <c r="C121" s="4" t="inlineStr">
        <is>
          <t>NASA</t>
        </is>
      </c>
      <c r="D121" s="4" t="inlineStr">
        <is>
          <t>current</t>
        </is>
      </c>
      <c r="E121" s="4" t="inlineStr">
        <is>
          <t>Catalog lead</t>
        </is>
      </c>
      <c r="F121" s="17" t="inlineStr">
        <is>
          <t>https://registry.opendata.aws/nasa-gpm3imerghhl/</t>
        </is>
      </c>
      <c r="G121" s="4" t="inlineStr">
        <is>
          <t>aws_nasa_gpm3imerghhl</t>
        </is>
      </c>
    </row>
    <row r="122">
      <c r="A122" s="4" t="inlineStr">
        <is>
          <t>Groundwater and Soil Moisture Conditions from GRACE and GRACE-FO Data Assimilation L4 7-days 0.125 x 0.125 degree U.S. V4.0 (GRACEDADM_CLSM0125US_7D)</t>
        </is>
      </c>
      <c r="B122" s="4" t="inlineStr">
        <is>
          <t>lead that is context, not a direct exposure or determinant</t>
        </is>
      </c>
      <c r="C122" s="4" t="inlineStr">
        <is>
          <t>NASA Earthdata</t>
        </is>
      </c>
      <c r="D122" s="4" t="inlineStr">
        <is>
          <t>current</t>
        </is>
      </c>
      <c r="E122" s="4" t="inlineStr">
        <is>
          <t>Catalog lead</t>
        </is>
      </c>
      <c r="F122" s="17" t="inlineStr">
        <is>
          <t>https://cmr.earthdata.nasa.gov/search/concepts/C1993409520-GES_DISC.html</t>
        </is>
      </c>
      <c r="G122" s="4" t="inlineStr">
        <is>
          <t>nasa_cmr_gracedadm_clsm0125us_7d</t>
        </is>
      </c>
    </row>
    <row r="123">
      <c r="A123" s="4" t="inlineStr">
        <is>
          <t>Groundwater and Soil Moisture Conditions from GRACE and GRACE-FO Data Assimilation L4 7-days 0.25 x 0.25 degree Global V3.0 (GRACEDADM_CLSM025GL_7D)</t>
        </is>
      </c>
      <c r="B123" s="4" t="inlineStr">
        <is>
          <t>lead that is context, not a direct exposure or determinant</t>
        </is>
      </c>
      <c r="C123" s="4" t="inlineStr">
        <is>
          <t>NASA Earthdata</t>
        </is>
      </c>
      <c r="D123" s="4" t="inlineStr">
        <is>
          <t>current</t>
        </is>
      </c>
      <c r="E123" s="4" t="inlineStr">
        <is>
          <t>Catalog lead</t>
        </is>
      </c>
      <c r="F123" s="17" t="inlineStr">
        <is>
          <t>https://cmr.earthdata.nasa.gov/search/concepts/C2283200566-GES_DISC.html</t>
        </is>
      </c>
      <c r="G123" s="4" t="inlineStr">
        <is>
          <t>nasa_cmr_gracedadm_clsm025gl_7d</t>
        </is>
      </c>
    </row>
    <row r="124">
      <c r="A124" s="4" t="inlineStr">
        <is>
          <t>Honduras: School Geolocation and Connectivity Status</t>
        </is>
      </c>
      <c r="B124" s="4" t="inlineStr">
        <is>
          <t>lead that is context, not a direct exposure or determinant</t>
        </is>
      </c>
      <c r="C124" s="4" t="inlineStr">
        <is>
          <t>Giga</t>
        </is>
      </c>
      <c r="D124" s="4" t="n">
        <v>2026</v>
      </c>
      <c r="E124" s="4" t="inlineStr">
        <is>
          <t>Catalog lead</t>
        </is>
      </c>
      <c r="F124" s="17" t="inlineStr">
        <is>
          <t>https://data.humdata.org/dataset/honduras-school-geolocation-and-connectivity-status</t>
        </is>
      </c>
      <c r="G124" s="4" t="inlineStr">
        <is>
          <t>hdx_honduras_school_geolocation_and_connectivity_status</t>
        </is>
      </c>
    </row>
    <row r="125">
      <c r="A125" s="4" t="inlineStr">
        <is>
          <t>India - Subnational Administrative Boundaries</t>
        </is>
      </c>
      <c r="B125" s="4" t="inlineStr">
        <is>
          <t>lead that is context, not a direct exposure or determinant</t>
        </is>
      </c>
      <c r="C125" s="4" t="inlineStr">
        <is>
          <t>geoBoundaries</t>
        </is>
      </c>
      <c r="D125" s="4" t="n">
        <v>2021</v>
      </c>
      <c r="E125" s="4" t="inlineStr">
        <is>
          <t>Catalog lead</t>
        </is>
      </c>
      <c r="F125" s="17" t="inlineStr">
        <is>
          <t>https://data.humdata.org/dataset/geoboundaries-admin-boundaries-for-india</t>
        </is>
      </c>
      <c r="G125" s="4" t="inlineStr">
        <is>
          <t>hdx_india_subnational_administrative_boundaries</t>
        </is>
      </c>
    </row>
    <row r="126">
      <c r="A126" s="4" t="inlineStr">
        <is>
          <t>Invasive neophytes along national roads</t>
        </is>
      </c>
      <c r="B126" s="4" t="inlineStr">
        <is>
          <t>lead that is context, not a direct exposure or determinant</t>
        </is>
      </c>
      <c r="C126" s="4" t="inlineStr">
        <is>
          <t>NASA Earthdata</t>
        </is>
      </c>
      <c r="D126" s="4" t="n">
        <v>2023</v>
      </c>
      <c r="E126" s="4" t="inlineStr">
        <is>
          <t>Catalog lead</t>
        </is>
      </c>
      <c r="F126" s="17" t="inlineStr">
        <is>
          <t>https://cmr.earthdata.nasa.gov/search/concepts/C3383775480-ENVIDAT.html</t>
        </is>
      </c>
      <c r="G126" s="4" t="inlineStr">
        <is>
          <t>nasa_cmr_invasive_neopyhtes_along_national_roads</t>
        </is>
      </c>
    </row>
    <row r="127">
      <c r="A127" s="4" t="inlineStr">
        <is>
          <t>Kenya - Subnational Administrative Boundaries</t>
        </is>
      </c>
      <c r="B127" s="4" t="inlineStr">
        <is>
          <t>lead that is context, not a direct exposure or determinant</t>
        </is>
      </c>
      <c r="C127" s="4" t="inlineStr">
        <is>
          <t>OCHA Field Information Services Section (FISS)</t>
        </is>
      </c>
      <c r="D127" s="4" t="n">
        <v>2025</v>
      </c>
      <c r="E127" s="4" t="inlineStr">
        <is>
          <t>Catalog lead</t>
        </is>
      </c>
      <c r="F127" s="17" t="inlineStr">
        <is>
          <t>https://data.humdata.org/dataset/cod-ab-ken</t>
        </is>
      </c>
      <c r="G127" s="4" t="inlineStr">
        <is>
          <t>hdx_kenya_subnational_administrative_boundaries</t>
        </is>
      </c>
    </row>
    <row r="128">
      <c r="A128" s="4" t="inlineStr">
        <is>
          <t>Kenya: Population Per County and sub county from Census Report</t>
        </is>
      </c>
      <c r="B128" s="4" t="inlineStr">
        <is>
          <t>lead that is context, not a direct exposure or determinant</t>
        </is>
      </c>
      <c r="C128" s="4" t="inlineStr">
        <is>
          <t>Kenya National Bureau of Statistics (inactive)</t>
        </is>
      </c>
      <c r="D128" s="4" t="n">
        <v>2019</v>
      </c>
      <c r="E128" s="4" t="inlineStr">
        <is>
          <t>Catalog lead</t>
        </is>
      </c>
      <c r="F128" s="17" t="inlineStr">
        <is>
          <t>https://data.humdata.org/dataset/kenya-population-per-county-from-census-report-2019</t>
        </is>
      </c>
      <c r="G128" s="4" t="inlineStr">
        <is>
          <t>hdx_kenya_population_per_county_and_sub_county_from_census</t>
        </is>
      </c>
    </row>
    <row r="129">
      <c r="A129" s="4" t="inlineStr">
        <is>
          <t>Kyrgyzstan - Subnational Administrative Boundaries</t>
        </is>
      </c>
      <c r="B129" s="4" t="inlineStr">
        <is>
          <t>lead that is context, not a direct exposure or determinant</t>
        </is>
      </c>
      <c r="C129" s="4" t="inlineStr">
        <is>
          <t>OCHA Field Information Services Section (FISS)</t>
        </is>
      </c>
      <c r="D129" s="4" t="n">
        <v>2024</v>
      </c>
      <c r="E129" s="4" t="inlineStr">
        <is>
          <t>Catalog lead</t>
        </is>
      </c>
      <c r="F129" s="17" t="inlineStr">
        <is>
          <t>https://data.humdata.org/dataset/cod-ab-kgz</t>
        </is>
      </c>
      <c r="G129" s="4" t="inlineStr">
        <is>
          <t>hdx_kyrgyzstan_subnational_administrative_boundaries</t>
        </is>
      </c>
    </row>
    <row r="130">
      <c r="A130" s="4" t="inlineStr">
        <is>
          <t>Madagascar - Subnational Administrative Boundaries</t>
        </is>
      </c>
      <c r="B130" s="4" t="inlineStr">
        <is>
          <t>lead that is context, not a direct exposure or determinant</t>
        </is>
      </c>
      <c r="C130" s="4" t="inlineStr">
        <is>
          <t>OCHA Field Information Services Section (FISS)</t>
        </is>
      </c>
      <c r="D130" s="4" t="n">
        <v>2026</v>
      </c>
      <c r="E130" s="4" t="inlineStr">
        <is>
          <t>Catalog lead</t>
        </is>
      </c>
      <c r="F130" s="17" t="inlineStr">
        <is>
          <t>https://data.humdata.org/dataset/cod-ab-mdg</t>
        </is>
      </c>
      <c r="G130" s="4" t="inlineStr">
        <is>
          <t>hdx_madagascar_subnational_administrative_boundaries</t>
        </is>
      </c>
    </row>
    <row r="131">
      <c r="A131" s="4" t="inlineStr">
        <is>
          <t>Mexico: School Geolocation and Connectivity Status</t>
        </is>
      </c>
      <c r="B131" s="4" t="inlineStr">
        <is>
          <t>lead that is context, not a direct exposure or determinant</t>
        </is>
      </c>
      <c r="C131" s="4" t="inlineStr">
        <is>
          <t>Giga</t>
        </is>
      </c>
      <c r="D131" s="4" t="n">
        <v>2025</v>
      </c>
      <c r="E131" s="4" t="inlineStr">
        <is>
          <t>Catalog lead</t>
        </is>
      </c>
      <c r="F131" s="17" t="inlineStr">
        <is>
          <t>https://data.humdata.org/dataset/mexico-school-geolocation-and-connectivity-status</t>
        </is>
      </c>
      <c r="G131" s="4" t="inlineStr">
        <is>
          <t>hdx_mexico_school_geolocation_and_connectivity_status</t>
        </is>
      </c>
    </row>
    <row r="132">
      <c r="A132" s="4" t="inlineStr">
        <is>
          <t>Monaco: Planet Road Surface, Width, and Passability Data</t>
        </is>
      </c>
      <c r="B132" s="4" t="inlineStr">
        <is>
          <t>lead that is context, not a direct exposure or determinant</t>
        </is>
      </c>
      <c r="C132" s="4" t="inlineStr">
        <is>
          <t>HeiGIT (Heidelberg Institute for Geoinformation Technology)</t>
        </is>
      </c>
      <c r="D132" s="4" t="n">
        <v>2024</v>
      </c>
      <c r="E132" s="4" t="inlineStr">
        <is>
          <t>Catalog lead</t>
        </is>
      </c>
      <c r="F132" s="17" t="inlineStr">
        <is>
          <t>https://data.humdata.org/dataset/monaco-planet-road-surface-data</t>
        </is>
      </c>
      <c r="G132" s="4" t="inlineStr">
        <is>
          <t>hdx_monaco_planet_road_surface_width_and_passability_data</t>
        </is>
      </c>
    </row>
    <row r="133">
      <c r="A133" s="4" t="inlineStr">
        <is>
          <t>NCEP/CPC L3 Half Hourly 4km Global (60S - 60N) Merged IR V1 (GPM_MERGIR) at GES DISC</t>
        </is>
      </c>
      <c r="B133" s="4" t="inlineStr">
        <is>
          <t>lead that is context, not a direct exposure or determinant</t>
        </is>
      </c>
      <c r="C133" s="4" t="inlineStr">
        <is>
          <t>NASA</t>
        </is>
      </c>
      <c r="D133" s="4" t="inlineStr">
        <is>
          <t>current</t>
        </is>
      </c>
      <c r="E133" s="4" t="inlineStr">
        <is>
          <t>Catalog lead</t>
        </is>
      </c>
      <c r="F133" s="17" t="inlineStr">
        <is>
          <t>https://registry.opendata.aws/nasa-gpmmergir/</t>
        </is>
      </c>
      <c r="G133" s="4" t="inlineStr">
        <is>
          <t>aws_nasa_gpmmergir</t>
        </is>
      </c>
    </row>
    <row r="134">
      <c r="A134" s="4" t="inlineStr">
        <is>
          <t>New generation schools 2019</t>
        </is>
      </c>
      <c r="B134" s="4" t="inlineStr">
        <is>
          <t>lead that is context, not a direct exposure or determinant</t>
        </is>
      </c>
      <c r="C134" s="4" t="inlineStr">
        <is>
          <t>Open Development Cambodia</t>
        </is>
      </c>
      <c r="D134" s="4" t="n">
        <v>2019</v>
      </c>
      <c r="E134" s="4" t="inlineStr">
        <is>
          <t>Catalog lead</t>
        </is>
      </c>
      <c r="F134" s="17" t="inlineStr">
        <is>
          <t>https://data.opendevelopmentmekong.net/dataset/new-generation-schools--2019</t>
        </is>
      </c>
      <c r="G134" s="4" t="inlineStr">
        <is>
          <t>mekong_odm_new_generation_schools_2019</t>
        </is>
      </c>
    </row>
    <row r="135">
      <c r="A135" s="4" t="inlineStr">
        <is>
          <t>Nigeria - Independent National Electoral Commission - LGA and Wards</t>
        </is>
      </c>
      <c r="B135" s="4" t="inlineStr">
        <is>
          <t>lead that is context, not a direct exposure or determinant</t>
        </is>
      </c>
      <c r="C135" s="4" t="inlineStr">
        <is>
          <t>OCHA Nigeria</t>
        </is>
      </c>
      <c r="D135" s="4" t="n">
        <v>2017</v>
      </c>
      <c r="E135" s="4" t="inlineStr">
        <is>
          <t>Catalog lead</t>
        </is>
      </c>
      <c r="F135" s="17" t="inlineStr">
        <is>
          <t>https://data.humdata.org/dataset/nigeria-independent-national-electoral-commission-lga-and-wards</t>
        </is>
      </c>
      <c r="G135" s="4" t="inlineStr">
        <is>
          <t>hdx_nigeria_independent_national_electoral_commission_lga_a</t>
        </is>
      </c>
    </row>
    <row r="136">
      <c r="A136" s="4" t="inlineStr">
        <is>
          <t>Nigeria - Subnational Administrative Boundaries</t>
        </is>
      </c>
      <c r="B136" s="4" t="inlineStr">
        <is>
          <t>lead that is context, not a direct exposure or determinant</t>
        </is>
      </c>
      <c r="C136" s="4" t="inlineStr">
        <is>
          <t>OCHA Field Information Services Section (FISS)</t>
        </is>
      </c>
      <c r="D136" s="4" t="n">
        <v>2025</v>
      </c>
      <c r="E136" s="4" t="inlineStr">
        <is>
          <t>Catalog lead</t>
        </is>
      </c>
      <c r="F136" s="17" t="inlineStr">
        <is>
          <t>https://data.humdata.org/dataset/cod-ab-nga</t>
        </is>
      </c>
      <c r="G136" s="4" t="inlineStr">
        <is>
          <t>hdx_nigeria_subnational_administrative_boundaries</t>
        </is>
      </c>
    </row>
    <row r="137">
      <c r="A137" s="4" t="inlineStr">
        <is>
          <t>Nigeria: Planet Road Surface, Width, and Passability Data</t>
        </is>
      </c>
      <c r="B137" s="4" t="inlineStr">
        <is>
          <t>lead that is context, not a direct exposure or determinant</t>
        </is>
      </c>
      <c r="C137" s="4" t="inlineStr">
        <is>
          <t>HeiGIT (Heidelberg Institute for Geoinformation Technology)</t>
        </is>
      </c>
      <c r="D137" s="4" t="n">
        <v>2024</v>
      </c>
      <c r="E137" s="4" t="inlineStr">
        <is>
          <t>Catalog lead</t>
        </is>
      </c>
      <c r="F137" s="17" t="inlineStr">
        <is>
          <t>https://data.humdata.org/dataset/nigeria-planet-road-surface-data</t>
        </is>
      </c>
      <c r="G137" s="4" t="inlineStr">
        <is>
          <t>hdx_nigeria_planet_road_surface_width_and_passability_data</t>
        </is>
      </c>
    </row>
    <row r="138">
      <c r="A138" s="4" t="inlineStr">
        <is>
          <t>Pakistan - Subnational Administrative Boundaries</t>
        </is>
      </c>
      <c r="B138" s="4" t="inlineStr">
        <is>
          <t>lead that is context, not a direct exposure or determinant</t>
        </is>
      </c>
      <c r="C138" s="4" t="inlineStr">
        <is>
          <t>OCHA Field Information Services Section (FISS)</t>
        </is>
      </c>
      <c r="D138" s="4" t="n">
        <v>2024</v>
      </c>
      <c r="E138" s="4" t="inlineStr">
        <is>
          <t>Catalog lead</t>
        </is>
      </c>
      <c r="F138" s="17" t="inlineStr">
        <is>
          <t>https://data.humdata.org/dataset/cod-ab-pak</t>
        </is>
      </c>
      <c r="G138" s="4" t="inlineStr">
        <is>
          <t>hdx_pakistan_subnational_administrative_boundaries</t>
        </is>
      </c>
    </row>
    <row r="139">
      <c r="A139" s="4" t="inlineStr">
        <is>
          <t>Philippines - Subnational Administrative Boundaries</t>
        </is>
      </c>
      <c r="B139" s="4" t="inlineStr">
        <is>
          <t>lead that is context, not a direct exposure or determinant</t>
        </is>
      </c>
      <c r="C139" s="4" t="inlineStr">
        <is>
          <t>OCHA Field Information Services Section (FISS)</t>
        </is>
      </c>
      <c r="D139" s="4" t="n">
        <v>2024</v>
      </c>
      <c r="E139" s="4" t="inlineStr">
        <is>
          <t>Catalog lead</t>
        </is>
      </c>
      <c r="F139" s="17" t="inlineStr">
        <is>
          <t>https://data.humdata.org/dataset/cod-ab-phl</t>
        </is>
      </c>
      <c r="G139" s="4" t="inlineStr">
        <is>
          <t>hdx_philippines_subnational_administrative_boundaries</t>
        </is>
      </c>
    </row>
    <row r="140">
      <c r="A140" s="4" t="inlineStr">
        <is>
          <t>Population for Districts (2021 Census)</t>
        </is>
      </c>
      <c r="B140" s="4" t="inlineStr">
        <is>
          <t>lead that is context, not a direct exposure or determinant</t>
        </is>
      </c>
      <c r="C140" s="4" t="inlineStr">
        <is>
          <t>Český statistický úřad</t>
        </is>
      </c>
      <c r="D140" s="4" t="n">
        <v>2021</v>
      </c>
      <c r="E140" s="4" t="inlineStr">
        <is>
          <t>Catalog lead</t>
        </is>
      </c>
      <c r="F140" s="17" t="inlineStr">
        <is>
          <t>https://data.europa.eu/data/datasets/https-geodata-csu-gov-cz-as-odsdatovyportalapi-api-lod-catalog-c9b9fa64-1a43-4338-8d65-c3e8c74f1c5d</t>
        </is>
      </c>
      <c r="G140" s="4" t="inlineStr">
        <is>
          <t>eu_dataeuropa_population_for_districts_2021_census</t>
        </is>
      </c>
    </row>
    <row r="141">
      <c r="A141" s="4" t="inlineStr">
        <is>
          <t>Population for municipalities (2021 Census)</t>
        </is>
      </c>
      <c r="B141" s="4" t="inlineStr">
        <is>
          <t>lead that is context, not a direct exposure or determinant</t>
        </is>
      </c>
      <c r="C141" s="4" t="inlineStr">
        <is>
          <t>Český statistický úřad</t>
        </is>
      </c>
      <c r="D141" s="4" t="n">
        <v>2021</v>
      </c>
      <c r="E141" s="4" t="inlineStr">
        <is>
          <t>Catalog lead</t>
        </is>
      </c>
      <c r="F141" s="17" t="inlineStr">
        <is>
          <t>https://data.europa.eu/data/datasets/https-geodata-csu-gov-cz-as-odsdatovyportalapi-api-lod-catalog-730c2a51-ff01-4d19-bf91-bd6142a93483</t>
        </is>
      </c>
      <c r="G141" s="4" t="inlineStr">
        <is>
          <t>eu_dataeuropa_population_for_municipalities_2021_census</t>
        </is>
      </c>
    </row>
    <row r="142">
      <c r="A142" s="4" t="inlineStr">
        <is>
          <t>Primary schools in 2020</t>
        </is>
      </c>
      <c r="B142" s="4" t="inlineStr">
        <is>
          <t>lead that is context, not a direct exposure or determinant</t>
        </is>
      </c>
      <c r="C142" s="4" t="inlineStr">
        <is>
          <t>Open Development Cambodia</t>
        </is>
      </c>
      <c r="D142" s="4" t="n">
        <v>2020</v>
      </c>
      <c r="E142" s="4" t="inlineStr">
        <is>
          <t>Catalog lead</t>
        </is>
      </c>
      <c r="F142" s="17" t="inlineStr">
        <is>
          <t>https://data.opendevelopmentmekong.net/dataset/target-primary-school-for-the-implementation-of-the-innovation-for-social-accountability-in-cambodi</t>
        </is>
      </c>
      <c r="G142" s="4" t="inlineStr">
        <is>
          <t>mekong_odm_primary_schools_in_2020</t>
        </is>
      </c>
    </row>
    <row r="143">
      <c r="A143" s="4" t="inlineStr">
        <is>
          <t>Province Boundaries Ungeneralised - National Administrative Boundaries - 2015</t>
        </is>
      </c>
      <c r="B143" s="4" t="inlineStr">
        <is>
          <t>lead that is context, not a direct exposure or determinant</t>
        </is>
      </c>
      <c r="C143" s="4" t="inlineStr">
        <is>
          <t>Tailte Éireann</t>
        </is>
      </c>
      <c r="D143" s="4" t="n">
        <v>2015</v>
      </c>
      <c r="E143" s="4" t="inlineStr">
        <is>
          <t>Catalog lead</t>
        </is>
      </c>
      <c r="F143" s="17" t="inlineStr">
        <is>
          <t>https://data.gov.ie/dataset/province-boundaries-ungeneralised-national-administrative-boundaries-2015</t>
        </is>
      </c>
      <c r="G143" s="4" t="inlineStr">
        <is>
          <t>ie_datagovie_province_boundaries_ungeneralised_national_administrati</t>
        </is>
      </c>
    </row>
    <row r="144">
      <c r="A144" s="4" t="inlineStr">
        <is>
          <t>Roads in Turkey</t>
        </is>
      </c>
      <c r="B144" s="4" t="inlineStr">
        <is>
          <t>lead that is context, not a direct exposure or determinant</t>
        </is>
      </c>
      <c r="C144" s="4" t="inlineStr">
        <is>
          <t>Regional IM Working Group - Europe</t>
        </is>
      </c>
      <c r="D144" s="4" t="n">
        <v>2021</v>
      </c>
      <c r="E144" s="4" t="inlineStr">
        <is>
          <t>Catalog lead</t>
        </is>
      </c>
      <c r="F144" s="17" t="inlineStr">
        <is>
          <t>https://data.humdata.org/dataset/roads-in-turkey</t>
        </is>
      </c>
      <c r="G144" s="4" t="inlineStr">
        <is>
          <t>hdx_roads_in_turkey</t>
        </is>
      </c>
    </row>
    <row r="145">
      <c r="A145" s="4" t="inlineStr">
        <is>
          <t>Roads of Bangladesh</t>
        </is>
      </c>
      <c r="B145" s="4" t="inlineStr">
        <is>
          <t>lead that is context, not a direct exposure or determinant</t>
        </is>
      </c>
      <c r="C145" s="4" t="inlineStr">
        <is>
          <t>Humanitarian OpenStreetMap Team (HOT)</t>
        </is>
      </c>
      <c r="D145" s="4" t="n">
        <v>2026</v>
      </c>
      <c r="E145" s="4" t="inlineStr">
        <is>
          <t>Catalog lead</t>
        </is>
      </c>
      <c r="F145" s="17" t="inlineStr">
        <is>
          <t>https://data.humdata.org/dataset/hotosm_bgd_roads</t>
        </is>
      </c>
      <c r="G145" s="4" t="inlineStr">
        <is>
          <t>hdx_roads_of_bangladesh</t>
        </is>
      </c>
    </row>
    <row r="146">
      <c r="A146" s="4" t="inlineStr">
        <is>
          <t>Roads of Ghana</t>
        </is>
      </c>
      <c r="B146" s="4" t="inlineStr">
        <is>
          <t>lead that is context, not a direct exposure or determinant</t>
        </is>
      </c>
      <c r="C146" s="4" t="inlineStr">
        <is>
          <t>Humanitarian OpenStreetMap Team (HOT)</t>
        </is>
      </c>
      <c r="D146" s="4" t="n">
        <v>2026</v>
      </c>
      <c r="E146" s="4" t="inlineStr">
        <is>
          <t>Catalog lead</t>
        </is>
      </c>
      <c r="F146" s="17" t="inlineStr">
        <is>
          <t>https://data.humdata.org/dataset/hotosm_gha_roads</t>
        </is>
      </c>
      <c r="G146" s="4" t="inlineStr">
        <is>
          <t>hdx_roads_of_ghana</t>
        </is>
      </c>
    </row>
    <row r="147">
      <c r="A147" s="4" t="inlineStr">
        <is>
          <t>Roads of India</t>
        </is>
      </c>
      <c r="B147" s="4" t="inlineStr">
        <is>
          <t>lead that is context, not a direct exposure or determinant</t>
        </is>
      </c>
      <c r="C147" s="4" t="inlineStr">
        <is>
          <t>Humanitarian OpenStreetMap Team (HOT)</t>
        </is>
      </c>
      <c r="D147" s="4" t="n">
        <v>2026</v>
      </c>
      <c r="E147" s="4" t="inlineStr">
        <is>
          <t>Catalog lead</t>
        </is>
      </c>
      <c r="F147" s="17" t="inlineStr">
        <is>
          <t>https://data.humdata.org/dataset/hotosm_ind_roads</t>
        </is>
      </c>
      <c r="G147" s="4" t="inlineStr">
        <is>
          <t>hdx_roads_of_india</t>
        </is>
      </c>
    </row>
    <row r="148">
      <c r="A148" s="4" t="inlineStr">
        <is>
          <t>Roads of Kenya</t>
        </is>
      </c>
      <c r="B148" s="4" t="inlineStr">
        <is>
          <t>lead that is context, not a direct exposure or determinant</t>
        </is>
      </c>
      <c r="C148" s="4" t="inlineStr">
        <is>
          <t>Humanitarian OpenStreetMap Team (HOT)</t>
        </is>
      </c>
      <c r="D148" s="4" t="n">
        <v>2026</v>
      </c>
      <c r="E148" s="4" t="inlineStr">
        <is>
          <t>Catalog lead</t>
        </is>
      </c>
      <c r="F148" s="17" t="inlineStr">
        <is>
          <t>https://data.humdata.org/dataset/hotosm_ken_roads</t>
        </is>
      </c>
      <c r="G148" s="4" t="inlineStr">
        <is>
          <t>hdx_roads_of_kenya</t>
        </is>
      </c>
    </row>
    <row r="149">
      <c r="A149" s="4" t="inlineStr">
        <is>
          <t>Roads of Malaysia</t>
        </is>
      </c>
      <c r="B149" s="4" t="inlineStr">
        <is>
          <t>lead that is context, not a direct exposure or determinant</t>
        </is>
      </c>
      <c r="C149" s="4" t="inlineStr">
        <is>
          <t>Humanitarian OpenStreetMap Team (HOT)</t>
        </is>
      </c>
      <c r="D149" s="4" t="n">
        <v>2026</v>
      </c>
      <c r="E149" s="4" t="inlineStr">
        <is>
          <t>Catalog lead</t>
        </is>
      </c>
      <c r="F149" s="17" t="inlineStr">
        <is>
          <t>https://data.humdata.org/dataset/hotosm_mys_roads</t>
        </is>
      </c>
      <c r="G149" s="4" t="inlineStr">
        <is>
          <t>hdx_roads_of_malaysia</t>
        </is>
      </c>
    </row>
    <row r="150">
      <c r="A150" s="4" t="inlineStr">
        <is>
          <t>Roads of Nepal</t>
        </is>
      </c>
      <c r="B150" s="4" t="inlineStr">
        <is>
          <t>lead that is context, not a direct exposure or determinant</t>
        </is>
      </c>
      <c r="C150" s="4" t="inlineStr">
        <is>
          <t>Humanitarian OpenStreetMap Team (HOT)</t>
        </is>
      </c>
      <c r="D150" s="4" t="n">
        <v>2026</v>
      </c>
      <c r="E150" s="4" t="inlineStr">
        <is>
          <t>Catalog lead</t>
        </is>
      </c>
      <c r="F150" s="17" t="inlineStr">
        <is>
          <t>https://data.humdata.org/dataset/hotosm_npl_roads</t>
        </is>
      </c>
      <c r="G150" s="4" t="inlineStr">
        <is>
          <t>hdx_roads_of_nepal</t>
        </is>
      </c>
    </row>
    <row r="151">
      <c r="A151" s="4" t="inlineStr">
        <is>
          <t>Roads of Nigeria</t>
        </is>
      </c>
      <c r="B151" s="4" t="inlineStr">
        <is>
          <t>lead that is context, not a direct exposure or determinant</t>
        </is>
      </c>
      <c r="C151" s="4" t="inlineStr">
        <is>
          <t>Humanitarian OpenStreetMap Team (HOT)</t>
        </is>
      </c>
      <c r="D151" s="4" t="n">
        <v>2026</v>
      </c>
      <c r="E151" s="4" t="inlineStr">
        <is>
          <t>Catalog lead</t>
        </is>
      </c>
      <c r="F151" s="17" t="inlineStr">
        <is>
          <t>https://data.humdata.org/dataset/hotosm_nga_roads</t>
        </is>
      </c>
      <c r="G151" s="4" t="inlineStr">
        <is>
          <t>hdx_roads_of_nigeria</t>
        </is>
      </c>
    </row>
    <row r="152">
      <c r="A152" s="4" t="inlineStr">
        <is>
          <t>Roads of Pakistan</t>
        </is>
      </c>
      <c r="B152" s="4" t="inlineStr">
        <is>
          <t>lead that is context, not a direct exposure or determinant</t>
        </is>
      </c>
      <c r="C152" s="4" t="inlineStr">
        <is>
          <t>Humanitarian OpenStreetMap Team (HOT)</t>
        </is>
      </c>
      <c r="D152" s="4" t="n">
        <v>2026</v>
      </c>
      <c r="E152" s="4" t="inlineStr">
        <is>
          <t>Catalog lead</t>
        </is>
      </c>
      <c r="F152" s="17" t="inlineStr">
        <is>
          <t>https://data.humdata.org/dataset/hotosm_pak_roads</t>
        </is>
      </c>
      <c r="G152" s="4" t="inlineStr">
        <is>
          <t>hdx_roads_of_pakistan</t>
        </is>
      </c>
    </row>
    <row r="153">
      <c r="A153" s="4" t="inlineStr">
        <is>
          <t>Roads of Philippines</t>
        </is>
      </c>
      <c r="B153" s="4" t="inlineStr">
        <is>
          <t>lead that is context, not a direct exposure or determinant</t>
        </is>
      </c>
      <c r="C153" s="4" t="inlineStr">
        <is>
          <t>Humanitarian OpenStreetMap Team (HOT)</t>
        </is>
      </c>
      <c r="D153" s="4" t="n">
        <v>2026</v>
      </c>
      <c r="E153" s="4" t="inlineStr">
        <is>
          <t>Catalog lead</t>
        </is>
      </c>
      <c r="F153" s="17" t="inlineStr">
        <is>
          <t>https://data.humdata.org/dataset/hotosm_phl_roads</t>
        </is>
      </c>
      <c r="G153" s="4" t="inlineStr">
        <is>
          <t>hdx_roads_of_philippines</t>
        </is>
      </c>
    </row>
    <row r="154">
      <c r="A154" s="4" t="inlineStr">
        <is>
          <t>Roads of South Africa</t>
        </is>
      </c>
      <c r="B154" s="4" t="inlineStr">
        <is>
          <t>lead that is context, not a direct exposure or determinant</t>
        </is>
      </c>
      <c r="C154" s="4" t="inlineStr">
        <is>
          <t>Humanitarian OpenStreetMap Team (HOT)</t>
        </is>
      </c>
      <c r="D154" s="4" t="n">
        <v>2026</v>
      </c>
      <c r="E154" s="4" t="inlineStr">
        <is>
          <t>Catalog lead</t>
        </is>
      </c>
      <c r="F154" s="17" t="inlineStr">
        <is>
          <t>https://data.humdata.org/dataset/hotosm_zaf_roads</t>
        </is>
      </c>
      <c r="G154" s="4" t="inlineStr">
        <is>
          <t>hdx_roads_of_south_africa</t>
        </is>
      </c>
    </row>
    <row r="155">
      <c r="A155" s="4" t="inlineStr">
        <is>
          <t>Roads of Sri Lanka</t>
        </is>
      </c>
      <c r="B155" s="4" t="inlineStr">
        <is>
          <t>lead that is context, not a direct exposure or determinant</t>
        </is>
      </c>
      <c r="C155" s="4" t="inlineStr">
        <is>
          <t>Humanitarian OpenStreetMap Team (HOT)</t>
        </is>
      </c>
      <c r="D155" s="4" t="n">
        <v>2026</v>
      </c>
      <c r="E155" s="4" t="inlineStr">
        <is>
          <t>Catalog lead</t>
        </is>
      </c>
      <c r="F155" s="17" t="inlineStr">
        <is>
          <t>https://data.humdata.org/dataset/hotosm_lka_roads</t>
        </is>
      </c>
      <c r="G155" s="4" t="inlineStr">
        <is>
          <t>hdx_roads_of_sri_lanka</t>
        </is>
      </c>
    </row>
    <row r="156">
      <c r="A156" s="4" t="inlineStr">
        <is>
          <t>Roads of Thailand</t>
        </is>
      </c>
      <c r="B156" s="4" t="inlineStr">
        <is>
          <t>lead that is context, not a direct exposure or determinant</t>
        </is>
      </c>
      <c r="C156" s="4" t="inlineStr">
        <is>
          <t>Humanitarian OpenStreetMap Team (HOT)</t>
        </is>
      </c>
      <c r="D156" s="4" t="n">
        <v>2026</v>
      </c>
      <c r="E156" s="4" t="inlineStr">
        <is>
          <t>Catalog lead</t>
        </is>
      </c>
      <c r="F156" s="17" t="inlineStr">
        <is>
          <t>https://data.humdata.org/dataset/hotosm_tha_roads</t>
        </is>
      </c>
      <c r="G156" s="4" t="inlineStr">
        <is>
          <t>hdx_roads_of_thailand</t>
        </is>
      </c>
    </row>
    <row r="157">
      <c r="A157" s="4" t="inlineStr">
        <is>
          <t>Roads of Yemen</t>
        </is>
      </c>
      <c r="B157" s="4" t="inlineStr">
        <is>
          <t>lead that is context, not a direct exposure or determinant</t>
        </is>
      </c>
      <c r="C157" s="4" t="inlineStr">
        <is>
          <t>Humanitarian OpenStreetMap Team (HOT)</t>
        </is>
      </c>
      <c r="D157" s="4" t="n">
        <v>2026</v>
      </c>
      <c r="E157" s="4" t="inlineStr">
        <is>
          <t>Catalog lead</t>
        </is>
      </c>
      <c r="F157" s="17" t="inlineStr">
        <is>
          <t>https://data.humdata.org/dataset/hotosm_yem_roads</t>
        </is>
      </c>
      <c r="G157" s="4" t="inlineStr">
        <is>
          <t>hdx_roads_of_yemen</t>
        </is>
      </c>
    </row>
    <row r="158">
      <c r="A158" s="4" t="inlineStr">
        <is>
          <t>Régions, départements, communes et codes postaux de France, avec un point GPS par code postal et l'historique des changements</t>
        </is>
      </c>
      <c r="B158" s="4" t="inlineStr">
        <is>
          <t>lead that is context, not a direct exposure or determinant</t>
        </is>
      </c>
      <c r="C158" s="4" t="inlineStr"/>
      <c r="D158" s="4" t="n">
        <v>2026</v>
      </c>
      <c r="E158" s="4" t="inlineStr">
        <is>
          <t>Catalog lead</t>
        </is>
      </c>
      <c r="F158" s="17" t="inlineStr">
        <is>
          <t>https://www.data.gouv.fr/datasets/regions-departements-communes-et-codes-postaux-de-france-avec-un-point-gps-par-code-postal-et-lhistorique-des-changements</t>
        </is>
      </c>
      <c r="G158" s="4" t="inlineStr">
        <is>
          <t>fr_datagouv_r_gions_d_partements_communes_et_codes_postaux_de_franc</t>
        </is>
      </c>
    </row>
    <row r="159">
      <c r="A159" s="4" t="inlineStr">
        <is>
          <t>Saudi Arabia: Planet Road Surface, Width, and Passability Data</t>
        </is>
      </c>
      <c r="B159" s="4" t="inlineStr">
        <is>
          <t>lead that is context, not a direct exposure or determinant</t>
        </is>
      </c>
      <c r="C159" s="4" t="inlineStr">
        <is>
          <t>HeiGIT (Heidelberg Institute for Geoinformation Technology)</t>
        </is>
      </c>
      <c r="D159" s="4" t="n">
        <v>2024</v>
      </c>
      <c r="E159" s="4" t="inlineStr">
        <is>
          <t>Catalog lead</t>
        </is>
      </c>
      <c r="F159" s="17" t="inlineStr">
        <is>
          <t>https://data.humdata.org/dataset/saudi-arabia-planet-road-surface-data</t>
        </is>
      </c>
      <c r="G159" s="4" t="inlineStr">
        <is>
          <t>hdx_saudi_arabia_planet_road_surface_width_and_passability</t>
        </is>
      </c>
    </row>
    <row r="160">
      <c r="A160" s="4" t="inlineStr">
        <is>
          <t>Smerge-Noah-CCI root zone soil moisture 0-40 cm L4 daily 0.125 x 0.125 degree V2.0 (SMERGE_RZSM0_40CM)</t>
        </is>
      </c>
      <c r="B160" s="4" t="inlineStr">
        <is>
          <t>lead that is context, not a direct exposure or determinant</t>
        </is>
      </c>
      <c r="C160" s="4" t="inlineStr">
        <is>
          <t>NASA Earthdata</t>
        </is>
      </c>
      <c r="D160" s="4" t="n">
        <v>2019</v>
      </c>
      <c r="E160" s="4" t="inlineStr">
        <is>
          <t>Catalog lead</t>
        </is>
      </c>
      <c r="F160" s="17" t="inlineStr">
        <is>
          <t>https://cmr.earthdata.nasa.gov/search/concepts/C1569839798-GES_DISC.html</t>
        </is>
      </c>
      <c r="G160" s="4" t="inlineStr">
        <is>
          <t>nasa_cmr_smerge_rzsm0_40cm</t>
        </is>
      </c>
    </row>
    <row r="161">
      <c r="A161" s="4" t="inlineStr">
        <is>
          <t>South Africa: Planet Road Surface, Width, and Passability Data</t>
        </is>
      </c>
      <c r="B161" s="4" t="inlineStr">
        <is>
          <t>lead that is context, not a direct exposure or determinant</t>
        </is>
      </c>
      <c r="C161" s="4" t="inlineStr">
        <is>
          <t>HeiGIT (Heidelberg Institute for Geoinformation Technology)</t>
        </is>
      </c>
      <c r="D161" s="4" t="n">
        <v>2024</v>
      </c>
      <c r="E161" s="4" t="inlineStr">
        <is>
          <t>Catalog lead</t>
        </is>
      </c>
      <c r="F161" s="17" t="inlineStr">
        <is>
          <t>https://data.humdata.org/dataset/south-africa-planet-road-surface-data</t>
        </is>
      </c>
      <c r="G161" s="4" t="inlineStr">
        <is>
          <t>hdx_south_africa_planet_road_surface_width_and_passability</t>
        </is>
      </c>
    </row>
    <row r="162">
      <c r="A162" s="4" t="inlineStr">
        <is>
          <t>Sudan - Schools</t>
        </is>
      </c>
      <c r="B162" s="4" t="inlineStr">
        <is>
          <t>lead that is context, not a direct exposure or determinant</t>
        </is>
      </c>
      <c r="C162" s="4" t="inlineStr">
        <is>
          <t>OCHA Sudan</t>
        </is>
      </c>
      <c r="D162" s="4" t="n">
        <v>2021</v>
      </c>
      <c r="E162" s="4" t="inlineStr">
        <is>
          <t>Catalog lead</t>
        </is>
      </c>
      <c r="F162" s="17" t="inlineStr">
        <is>
          <t>https://data.humdata.org/dataset/sudan-schools</t>
        </is>
      </c>
      <c r="G162" s="4" t="inlineStr">
        <is>
          <t>hdx_sudan_schools</t>
        </is>
      </c>
    </row>
    <row r="163">
      <c r="A163" s="4" t="inlineStr">
        <is>
          <t>Thailand - Subnational Administrative Boundaries</t>
        </is>
      </c>
      <c r="B163" s="4" t="inlineStr">
        <is>
          <t>lead that is context, not a direct exposure or determinant</t>
        </is>
      </c>
      <c r="C163" s="4" t="inlineStr">
        <is>
          <t>OCHA Field Information Services Section (FISS)</t>
        </is>
      </c>
      <c r="D163" s="4" t="n">
        <v>2025</v>
      </c>
      <c r="E163" s="4" t="inlineStr">
        <is>
          <t>Catalog lead</t>
        </is>
      </c>
      <c r="F163" s="17" t="inlineStr">
        <is>
          <t>https://data.humdata.org/dataset/cod-ab-tha</t>
        </is>
      </c>
      <c r="G163" s="4" t="inlineStr">
        <is>
          <t>hdx_thailand_subnational_administrative_boundaries</t>
        </is>
      </c>
    </row>
    <row r="164">
      <c r="A164" s="4" t="inlineStr">
        <is>
          <t>Uganda - Subnational Administrative Boundaries</t>
        </is>
      </c>
      <c r="B164" s="4" t="inlineStr">
        <is>
          <t>lead that is context, not a direct exposure or determinant</t>
        </is>
      </c>
      <c r="C164" s="4" t="inlineStr">
        <is>
          <t>OCHA Field Information Services Section (FISS)</t>
        </is>
      </c>
      <c r="D164" s="4" t="n">
        <v>2026</v>
      </c>
      <c r="E164" s="4" t="inlineStr">
        <is>
          <t>Catalog lead</t>
        </is>
      </c>
      <c r="F164" s="17" t="inlineStr">
        <is>
          <t>https://data.humdata.org/dataset/cod-ab-uga</t>
        </is>
      </c>
      <c r="G164" s="4" t="inlineStr">
        <is>
          <t>hdx_uganda_subnational_administrative_boundaries</t>
        </is>
      </c>
    </row>
    <row r="165">
      <c r="A165" s="4" t="inlineStr">
        <is>
          <t>Ukraine - Subnational Administrative Boundaries</t>
        </is>
      </c>
      <c r="B165" s="4" t="inlineStr">
        <is>
          <t>lead that is context, not a direct exposure or determinant</t>
        </is>
      </c>
      <c r="C165" s="4" t="inlineStr">
        <is>
          <t>OCHA Field Information Services Section (FISS)</t>
        </is>
      </c>
      <c r="D165" s="4" t="n">
        <v>2025</v>
      </c>
      <c r="E165" s="4" t="inlineStr">
        <is>
          <t>Catalog lead</t>
        </is>
      </c>
      <c r="F165" s="17" t="inlineStr">
        <is>
          <t>https://data.humdata.org/dataset/cod-ab-ukr</t>
        </is>
      </c>
      <c r="G165" s="4" t="inlineStr">
        <is>
          <t>hdx_ukraine_subnational_administrative_boundaries</t>
        </is>
      </c>
    </row>
    <row r="166">
      <c r="A166" s="4" t="inlineStr">
        <is>
          <t>WLDAS Noah-MP 3.6 Land Surface Model L4 Daily 0.01 degree x 0.01 degree Version D1.0 (WLDAS_NOAHMP001_DA1) at GES DISC</t>
        </is>
      </c>
      <c r="B166" s="4" t="inlineStr">
        <is>
          <t>lead that is context, not a direct exposure or determinant</t>
        </is>
      </c>
      <c r="C166" s="4" t="inlineStr">
        <is>
          <t>NASA Earthdata</t>
        </is>
      </c>
      <c r="D166" s="4" t="n">
        <v>2024</v>
      </c>
      <c r="E166" s="4" t="inlineStr">
        <is>
          <t>Catalog lead</t>
        </is>
      </c>
      <c r="F166" s="17" t="inlineStr">
        <is>
          <t>https://cmr.earthdata.nasa.gov/search/concepts/C2789781977-GES_DISC.html</t>
        </is>
      </c>
      <c r="G166" s="4" t="inlineStr">
        <is>
          <t>nasa_cmr_wldas_noahmp001_da1</t>
        </is>
      </c>
    </row>
    <row r="167">
      <c r="A167" s="4" t="inlineStr">
        <is>
          <t>(Other) State Boundary - Geoscape Administrative Boundaries</t>
        </is>
      </c>
      <c r="B167" s="4" t="inlineStr">
        <is>
          <t>lead that is context, not a direct exposure or determinant; lead with no dates</t>
        </is>
      </c>
      <c r="C167" s="4" t="inlineStr">
        <is>
          <t>Department of Industry, Science and Resources (DISR)</t>
        </is>
      </c>
      <c r="D167" s="4" t="inlineStr"/>
      <c r="E167" s="4" t="inlineStr">
        <is>
          <t>Catalog lead</t>
        </is>
      </c>
      <c r="F167" s="17" t="inlineStr">
        <is>
          <t>https://data.gov.au/data/dataset/other-state-boundary-geoscape-administrative-boundaries</t>
        </is>
      </c>
      <c r="G167" s="4" t="inlineStr">
        <is>
          <t>au_datagovau_other_state_boundary_geoscape_administrative_boundaries</t>
        </is>
      </c>
    </row>
    <row r="168">
      <c r="A168" s="4" t="inlineStr">
        <is>
          <t>Adelaide Public Transport Stop Data</t>
        </is>
      </c>
      <c r="B168" s="4" t="inlineStr">
        <is>
          <t>lead that is context, not a direct exposure or determinant; lead with no dates</t>
        </is>
      </c>
      <c r="C168" s="4" t="inlineStr">
        <is>
          <t>Department for Infrastructure and Transport</t>
        </is>
      </c>
      <c r="D168" s="4" t="inlineStr"/>
      <c r="E168" s="4" t="inlineStr">
        <is>
          <t>Catalog lead</t>
        </is>
      </c>
      <c r="F168" s="17" t="inlineStr">
        <is>
          <t>https://data.gov.au/data/dataset/adelaide-public-transport-stop-data</t>
        </is>
      </c>
      <c r="G168" s="4" t="inlineStr">
        <is>
          <t>au_datagovau_adelaide_public_transport_stop_data</t>
        </is>
      </c>
    </row>
    <row r="169">
      <c r="A169" s="4" t="inlineStr">
        <is>
          <t>Agglomeration Roads Lden</t>
        </is>
      </c>
      <c r="B169" s="4" t="inlineStr">
        <is>
          <t>lead that is context, not a direct exposure or determinant; lead with no dates</t>
        </is>
      </c>
      <c r="C169" s="4" t="inlineStr">
        <is>
          <t>OpenDataNI</t>
        </is>
      </c>
      <c r="D169" s="4" t="inlineStr"/>
      <c r="E169" s="4" t="inlineStr">
        <is>
          <t>Catalog lead</t>
        </is>
      </c>
      <c r="F169" s="17" t="inlineStr">
        <is>
          <t>https://data.europa.eu/data/datasets/agglomeration-roads-lden</t>
        </is>
      </c>
      <c r="G169" s="4" t="inlineStr">
        <is>
          <t>eu_dataeuropa_agglomeration_roads_lden</t>
        </is>
      </c>
    </row>
    <row r="170">
      <c r="A170" s="4" t="inlineStr">
        <is>
          <t>Agglomeration Roads Leve</t>
        </is>
      </c>
      <c r="B170" s="4" t="inlineStr">
        <is>
          <t>lead that is context, not a direct exposure or determinant; lead with no dates</t>
        </is>
      </c>
      <c r="C170" s="4" t="inlineStr">
        <is>
          <t>OpenDataNI</t>
        </is>
      </c>
      <c r="D170" s="4" t="inlineStr"/>
      <c r="E170" s="4" t="inlineStr">
        <is>
          <t>Catalog lead</t>
        </is>
      </c>
      <c r="F170" s="17" t="inlineStr">
        <is>
          <t>https://data.europa.eu/data/datasets/agglomeration-roads-leve</t>
        </is>
      </c>
      <c r="G170" s="4" t="inlineStr">
        <is>
          <t>eu_dataeuropa_agglomeration_roads_leve</t>
        </is>
      </c>
    </row>
    <row r="171">
      <c r="A171" s="4" t="inlineStr">
        <is>
          <t>Canadian Drought Monitor</t>
        </is>
      </c>
      <c r="B171" s="4" t="inlineStr">
        <is>
          <t>lead that is context, not a direct exposure or determinant; lead with no dates</t>
        </is>
      </c>
      <c r="C171" s="4" t="inlineStr">
        <is>
          <t>Agriculture and Agri-Food Canada | Agriculture et Agroalimentaire Canada</t>
        </is>
      </c>
      <c r="D171" s="4" t="inlineStr"/>
      <c r="E171" s="4" t="inlineStr">
        <is>
          <t>Catalog lead</t>
        </is>
      </c>
      <c r="F171" s="17" t="inlineStr">
        <is>
          <t>https://open.canada.ca/data/dataset/292646cd-619f-4200-afb1-8b2c52f984a2</t>
        </is>
      </c>
      <c r="G171" s="4" t="inlineStr">
        <is>
          <t>ca_opencanada_canadian_drought_monitor</t>
        </is>
      </c>
    </row>
    <row r="172">
      <c r="A172" s="4" t="inlineStr">
        <is>
          <t>Cartography 1:1,000. Highway Pk Label</t>
        </is>
      </c>
      <c r="B172" s="4" t="inlineStr">
        <is>
          <t>lead that is context, not a direct exposure or determinant; lead with no dates</t>
        </is>
      </c>
      <c r="C172" s="4" t="inlineStr">
        <is>
          <t>Comunidad Foral de Navarra</t>
        </is>
      </c>
      <c r="D172" s="4" t="inlineStr"/>
      <c r="E172" s="4" t="inlineStr">
        <is>
          <t>Catalog lead</t>
        </is>
      </c>
      <c r="F172" s="17" t="inlineStr">
        <is>
          <t>https://data.europa.eu/data/datasets/https-datosabiertos-navarra-es-dataset-spasitnacarto1_txt_36pkautop-xml</t>
        </is>
      </c>
      <c r="G172" s="4" t="inlineStr">
        <is>
          <t>eu_dataeuropa_cartography_1_1_000_highway_pk_label</t>
        </is>
      </c>
    </row>
    <row r="173">
      <c r="A173" s="4" t="inlineStr">
        <is>
          <t>Cloud to Street - Microsoft Flood and Clouds Dataset</t>
        </is>
      </c>
      <c r="B173" s="4" t="inlineStr">
        <is>
          <t>lead that is context, not a direct exposure or determinant; lead with no dates</t>
        </is>
      </c>
      <c r="C173" s="4" t="inlineStr">
        <is>
          <t>[Radiant Earth Foundation](https://radiant.earth/)</t>
        </is>
      </c>
      <c r="D173" s="4" t="inlineStr"/>
      <c r="E173" s="4" t="inlineStr">
        <is>
          <t>Catalog lead</t>
        </is>
      </c>
      <c r="F173" s="17" t="inlineStr">
        <is>
          <t>https://registry.opendata.aws/c2smsfloods/</t>
        </is>
      </c>
      <c r="G173" s="4" t="inlineStr">
        <is>
          <t>aws_c2smsfloods</t>
        </is>
      </c>
    </row>
    <row r="174">
      <c r="A174" s="4" t="inlineStr">
        <is>
          <t>Communes 76 et contours</t>
        </is>
      </c>
      <c r="B174" s="4" t="inlineStr">
        <is>
          <t>lead that is context, not a direct exposure or determinant; lead with no dates</t>
        </is>
      </c>
      <c r="C174" s="4" t="inlineStr">
        <is>
          <t>Département de la Seine-Maritime</t>
        </is>
      </c>
      <c r="D174" s="4" t="inlineStr"/>
      <c r="E174" s="4" t="inlineStr">
        <is>
          <t>Catalog lead</t>
        </is>
      </c>
      <c r="F174" s="17" t="inlineStr">
        <is>
          <t>https://www.data.gouv.fr/datasets/communes-76-et-contours</t>
        </is>
      </c>
      <c r="G174" s="4" t="inlineStr">
        <is>
          <t>fr_datagouv_communes_76_et_contours</t>
        </is>
      </c>
    </row>
    <row r="175">
      <c r="A175" s="4" t="inlineStr">
        <is>
          <t>Counting vehicles, cyclists, and pedestrians at intersections equipped with traffic lights</t>
        </is>
      </c>
      <c r="B175" s="4" t="inlineStr">
        <is>
          <t>lead that is context, not a direct exposure or determinant; lead with no dates</t>
        </is>
      </c>
      <c r="C175" s="4" t="inlineStr">
        <is>
          <t>Government and Municipalities of Québec | Gouvernement et municipalités du Québec</t>
        </is>
      </c>
      <c r="D175" s="4" t="inlineStr"/>
      <c r="E175" s="4" t="inlineStr">
        <is>
          <t>Catalog lead</t>
        </is>
      </c>
      <c r="F175" s="17" t="inlineStr">
        <is>
          <t>https://open.canada.ca/data/dataset/584de76b-13b9-47ea-af12-0c37b8eb5de5</t>
        </is>
      </c>
      <c r="G175" s="4" t="inlineStr">
        <is>
          <t>ca_opencanada_counting_vehicles_cyclists_and_pedestrians_at_intersect</t>
        </is>
      </c>
    </row>
    <row r="176">
      <c r="A176" s="4" t="inlineStr">
        <is>
          <t>DDT 70 - Classement sonore des routes nationales et routes départementales en Haute-Saône</t>
        </is>
      </c>
      <c r="B176" s="4" t="inlineStr">
        <is>
          <t>lead that is context, not a direct exposure or determinant; lead with no dates</t>
        </is>
      </c>
      <c r="C176" s="4" t="inlineStr">
        <is>
          <t>Direction Départementale des Territoires de Haute-Saône</t>
        </is>
      </c>
      <c r="D176" s="4" t="inlineStr"/>
      <c r="E176" s="4" t="inlineStr">
        <is>
          <t>Catalog lead</t>
        </is>
      </c>
      <c r="F176" s="17" t="inlineStr">
        <is>
          <t>https://www.data.gouv.fr/datasets/ddt-70-classement-sonore-des-routes-nationales-et-routes-departementales-en-haute-saone-1</t>
        </is>
      </c>
      <c r="G176" s="4" t="inlineStr">
        <is>
          <t>fr_datagouv_ddt_70_classement_sonore_des_routes_nationales_et_route</t>
        </is>
      </c>
    </row>
    <row r="177">
      <c r="A177" s="4" t="inlineStr">
        <is>
          <t>Driving schools locations Vienna</t>
        </is>
      </c>
      <c r="B177" s="4" t="inlineStr">
        <is>
          <t>lead that is context, not a direct exposure or determinant; lead with no dates</t>
        </is>
      </c>
      <c r="C177" s="4" t="inlineStr">
        <is>
          <t>MA 65 - Rechtliche Verkehrsangelegenheiten</t>
        </is>
      </c>
      <c r="D177" s="4" t="inlineStr"/>
      <c r="E177" s="4" t="inlineStr">
        <is>
          <t>Catalog lead</t>
        </is>
      </c>
      <c r="F177" s="17" t="inlineStr">
        <is>
          <t>https://data.europa.eu/data/datasets/stadt-wien_fahrschulenwien</t>
        </is>
      </c>
      <c r="G177" s="4" t="inlineStr">
        <is>
          <t>eu_dataeuropa_driving_schools_locations_vienna</t>
        </is>
      </c>
    </row>
    <row r="178">
      <c r="A178" s="4" t="inlineStr">
        <is>
          <t>Flood Studies Update (FSU) Catchment Boundaries (ungauged)</t>
        </is>
      </c>
      <c r="B178" s="4" t="inlineStr">
        <is>
          <t>lead that is context, not a direct exposure or determinant; lead with no dates</t>
        </is>
      </c>
      <c r="C178" s="4" t="inlineStr">
        <is>
          <t>Office of Public Works</t>
        </is>
      </c>
      <c r="D178" s="4" t="inlineStr"/>
      <c r="E178" s="4" t="inlineStr">
        <is>
          <t>Catalog lead</t>
        </is>
      </c>
      <c r="F178" s="17" t="inlineStr">
        <is>
          <t>https://data.gov.ie/dataset/flood-studies-update-fsu-catchment-boundaries-ungauged</t>
        </is>
      </c>
      <c r="G178" s="4" t="inlineStr">
        <is>
          <t>ie_datagovie_flood_studies_update_fsu_catchment_boundaries_ungauged</t>
        </is>
      </c>
    </row>
    <row r="179">
      <c r="A179" s="4" t="inlineStr">
        <is>
          <t>Global 30m Height Above Nearest Drainage (HAND)</t>
        </is>
      </c>
      <c r="B179" s="4" t="inlineStr">
        <is>
          <t>lead that is context, not a direct exposure or determinant; lead with no dates</t>
        </is>
      </c>
      <c r="C179" s="4" t="inlineStr">
        <is>
          <t>[The Alaska Satellite Facility (ASF)](https://asf.alaska.edu/)</t>
        </is>
      </c>
      <c r="D179" s="4" t="inlineStr"/>
      <c r="E179" s="4" t="inlineStr">
        <is>
          <t>Catalog lead</t>
        </is>
      </c>
      <c r="F179" s="17" t="inlineStr">
        <is>
          <t>https://registry.opendata.aws/glo-30-hand/</t>
        </is>
      </c>
      <c r="G179" s="4" t="inlineStr">
        <is>
          <t>aws_glo_30_hand</t>
        </is>
      </c>
    </row>
    <row r="180">
      <c r="A180" s="4" t="inlineStr">
        <is>
          <t>Global aboveground biomass (AGB), 100m by CTrees.org</t>
        </is>
      </c>
      <c r="B180" s="4" t="inlineStr">
        <is>
          <t>lead that is context, not a direct exposure or determinant; lead with no dates</t>
        </is>
      </c>
      <c r="C180" s="4" t="inlineStr">
        <is>
          <t>[CTrees](https://ctrees.org/)</t>
        </is>
      </c>
      <c r="D180" s="4" t="inlineStr"/>
      <c r="E180" s="4" t="inlineStr">
        <is>
          <t>Catalog lead</t>
        </is>
      </c>
      <c r="F180" s="17" t="inlineStr">
        <is>
          <t>https://registry.opendata.aws/ctrees-agb-100m-global/</t>
        </is>
      </c>
      <c r="G180" s="4" t="inlineStr">
        <is>
          <t>aws_ctrees_agb_100m_global</t>
        </is>
      </c>
    </row>
    <row r="181">
      <c r="A181" s="4" t="inlineStr">
        <is>
          <t>Highway Boundary</t>
        </is>
      </c>
      <c r="B181" s="4" t="inlineStr">
        <is>
          <t>lead that is context, not a direct exposure or determinant; lead with no dates</t>
        </is>
      </c>
      <c r="C181" s="4" t="inlineStr">
        <is>
          <t>National Highways</t>
        </is>
      </c>
      <c r="D181" s="4" t="inlineStr"/>
      <c r="E181" s="4" t="inlineStr">
        <is>
          <t>Catalog lead</t>
        </is>
      </c>
      <c r="F181" s="17" t="inlineStr">
        <is>
          <t>https://ckan.publishing.service.gov.uk/dataset/highway-boundary</t>
        </is>
      </c>
      <c r="G181" s="4" t="inlineStr">
        <is>
          <t>gb_datagovuk_highway_boundary</t>
        </is>
      </c>
    </row>
    <row r="182">
      <c r="A182" s="4" t="inlineStr">
        <is>
          <t>HIGHWAY OFFICIAL</t>
        </is>
      </c>
      <c r="B182" s="4" t="inlineStr">
        <is>
          <t>lead that is context, not a direct exposure or determinant; lead with no dates</t>
        </is>
      </c>
      <c r="C182" s="4" t="inlineStr">
        <is>
          <t>Government of Saskatchewan | Gouvernement de la Saskatchewan</t>
        </is>
      </c>
      <c r="D182" s="4" t="inlineStr"/>
      <c r="E182" s="4" t="inlineStr">
        <is>
          <t>Catalog lead</t>
        </is>
      </c>
      <c r="F182" s="17" t="inlineStr">
        <is>
          <t>https://open.canada.ca/data/dataset/988a8b95-fa49-adc8-bbe7-6e69bb26099c</t>
        </is>
      </c>
      <c r="G182" s="4" t="inlineStr">
        <is>
          <t>ca_opencanada_highway_official</t>
        </is>
      </c>
    </row>
    <row r="183">
      <c r="A183" s="4" t="inlineStr">
        <is>
          <t>Highways in OpenStreetMap</t>
        </is>
      </c>
      <c r="B183" s="4" t="inlineStr">
        <is>
          <t>lead that is context, not a direct exposure or determinant; lead with no dates</t>
        </is>
      </c>
      <c r="C183" s="4" t="inlineStr">
        <is>
          <t>magellium</t>
        </is>
      </c>
      <c r="D183" s="4" t="inlineStr"/>
      <c r="E183" s="4" t="inlineStr">
        <is>
          <t>Catalog lead</t>
        </is>
      </c>
      <c r="F183" s="17" t="inlineStr">
        <is>
          <t>https://data.europa.eu/data/datasets/5f0e0ca43d4083f3d237efe0~~1</t>
        </is>
      </c>
      <c r="G183" s="4" t="inlineStr">
        <is>
          <t>eu_dataeuropa_highways_in_openstreetmap</t>
        </is>
      </c>
    </row>
    <row r="184">
      <c r="A184" s="4" t="inlineStr">
        <is>
          <t>Laos Administrative Boundaries (Village)</t>
        </is>
      </c>
      <c r="B184" s="4" t="inlineStr">
        <is>
          <t>lead that is context, not a direct exposure or determinant; lead with no dates</t>
        </is>
      </c>
      <c r="C184" s="4" t="inlineStr">
        <is>
          <t>Open Development Laos</t>
        </is>
      </c>
      <c r="D184" s="4" t="inlineStr"/>
      <c r="E184" s="4" t="inlineStr">
        <is>
          <t>Catalog lead</t>
        </is>
      </c>
      <c r="F184" s="17" t="inlineStr">
        <is>
          <t>https://data.opendevelopmentmekong.net/dataset/laos-administrative-boundaries-village</t>
        </is>
      </c>
      <c r="G184" s="4" t="inlineStr">
        <is>
          <t>mekong_odm_laos_administrative_boundaries_village</t>
        </is>
      </c>
    </row>
    <row r="185">
      <c r="A185" s="4" t="inlineStr">
        <is>
          <t>Luas Stop Locations</t>
        </is>
      </c>
      <c r="B185" s="4" t="inlineStr">
        <is>
          <t>lead that is context, not a direct exposure or determinant; lead with no dates</t>
        </is>
      </c>
      <c r="C185" s="4" t="inlineStr">
        <is>
          <t>Transport Infrastructure Ireland</t>
        </is>
      </c>
      <c r="D185" s="4" t="inlineStr"/>
      <c r="E185" s="4" t="inlineStr">
        <is>
          <t>Catalog lead</t>
        </is>
      </c>
      <c r="F185" s="17" t="inlineStr">
        <is>
          <t>https://data.gov.ie/dataset/luas-stop-locations</t>
        </is>
      </c>
      <c r="G185" s="4" t="inlineStr">
        <is>
          <t>ie_datagovie_luas_stop_locations</t>
        </is>
      </c>
    </row>
    <row r="186">
      <c r="A186" s="4" t="inlineStr">
        <is>
          <t>Major Roads Lday</t>
        </is>
      </c>
      <c r="B186" s="4" t="inlineStr">
        <is>
          <t>lead that is context, not a direct exposure or determinant; lead with no dates</t>
        </is>
      </c>
      <c r="C186" s="4" t="inlineStr">
        <is>
          <t>OpenDataNI</t>
        </is>
      </c>
      <c r="D186" s="4" t="inlineStr"/>
      <c r="E186" s="4" t="inlineStr">
        <is>
          <t>Catalog lead</t>
        </is>
      </c>
      <c r="F186" s="17" t="inlineStr">
        <is>
          <t>https://data.europa.eu/data/datasets/major-roads-lday1</t>
        </is>
      </c>
      <c r="G186" s="4" t="inlineStr">
        <is>
          <t>eu_dataeuropa_major_roads_lday</t>
        </is>
      </c>
    </row>
    <row r="187">
      <c r="A187" s="4" t="inlineStr">
        <is>
          <t>Major Roads Leve</t>
        </is>
      </c>
      <c r="B187" s="4" t="inlineStr">
        <is>
          <t>lead that is context, not a direct exposure or determinant; lead with no dates</t>
        </is>
      </c>
      <c r="C187" s="4" t="inlineStr">
        <is>
          <t>OpenDataNI</t>
        </is>
      </c>
      <c r="D187" s="4" t="inlineStr"/>
      <c r="E187" s="4" t="inlineStr">
        <is>
          <t>Catalog lead</t>
        </is>
      </c>
      <c r="F187" s="17" t="inlineStr">
        <is>
          <t>https://data.europa.eu/data/datasets/major-roads-leve1</t>
        </is>
      </c>
      <c r="G187" s="4" t="inlineStr">
        <is>
          <t>eu_dataeuropa_major_roads_leve</t>
        </is>
      </c>
    </row>
    <row r="188">
      <c r="A188" s="4" t="inlineStr">
        <is>
          <t>Major Roads Lnight</t>
        </is>
      </c>
      <c r="B188" s="4" t="inlineStr">
        <is>
          <t>lead that is context, not a direct exposure or determinant; lead with no dates</t>
        </is>
      </c>
      <c r="C188" s="4" t="inlineStr">
        <is>
          <t>OpenDataNI</t>
        </is>
      </c>
      <c r="D188" s="4" t="inlineStr"/>
      <c r="E188" s="4" t="inlineStr">
        <is>
          <t>Catalog lead</t>
        </is>
      </c>
      <c r="F188" s="17" t="inlineStr">
        <is>
          <t>https://data.europa.eu/data/datasets/major-roads-lnight</t>
        </is>
      </c>
      <c r="G188" s="4" t="inlineStr">
        <is>
          <t>eu_dataeuropa_major_roads_lnight</t>
        </is>
      </c>
    </row>
    <row r="189">
      <c r="A189" s="4" t="inlineStr">
        <is>
          <t>Mid Ulster Council District Electoral Areas</t>
        </is>
      </c>
      <c r="B189" s="4" t="inlineStr">
        <is>
          <t>lead that is context, not a direct exposure or determinant; lead with no dates</t>
        </is>
      </c>
      <c r="C189" s="4" t="inlineStr">
        <is>
          <t>OpenDataNI</t>
        </is>
      </c>
      <c r="D189" s="4" t="inlineStr"/>
      <c r="E189" s="4" t="inlineStr">
        <is>
          <t>Catalog lead</t>
        </is>
      </c>
      <c r="F189" s="17" t="inlineStr">
        <is>
          <t>https://ckan.publishing.service.gov.uk/dataset/mid-ulster-council-district-electoral-areas1</t>
        </is>
      </c>
      <c r="G189" s="4" t="inlineStr">
        <is>
          <t>gb_datagovuk_mid_ulster_council_district_electoral_areas</t>
        </is>
      </c>
    </row>
    <row r="190">
      <c r="A190" s="4" t="inlineStr">
        <is>
          <t>Municipal data on population density</t>
        </is>
      </c>
      <c r="B190" s="4" t="inlineStr">
        <is>
          <t>lead that is context, not a direct exposure or determinant; lead with no dates</t>
        </is>
      </c>
      <c r="C190" s="4" t="inlineStr">
        <is>
          <t>Région Île-de-France</t>
        </is>
      </c>
      <c r="D190" s="4" t="inlineStr"/>
      <c r="E190" s="4" t="inlineStr">
        <is>
          <t>Catalog lead</t>
        </is>
      </c>
      <c r="F190" s="17" t="inlineStr">
        <is>
          <t>https://data.europa.eu/data/datasets/53699323a3a729239d2040e7</t>
        </is>
      </c>
      <c r="G190" s="4" t="inlineStr">
        <is>
          <t>eu_dataeuropa_municipal_data_on_population_density</t>
        </is>
      </c>
    </row>
    <row r="191">
      <c r="A191" s="4" t="inlineStr">
        <is>
          <t>Myanmar Administrative Boundaries</t>
        </is>
      </c>
      <c r="B191" s="4" t="inlineStr">
        <is>
          <t>lead that is context, not a direct exposure or determinant; lead with no dates</t>
        </is>
      </c>
      <c r="C191" s="4" t="inlineStr">
        <is>
          <t>Open Development Myanmar</t>
        </is>
      </c>
      <c r="D191" s="4" t="inlineStr"/>
      <c r="E191" s="4" t="inlineStr">
        <is>
          <t>Catalog lead</t>
        </is>
      </c>
      <c r="F191" s="17" t="inlineStr">
        <is>
          <t>https://data.opendevelopmentmekong.net/dataset/mm-admin-boundaries</t>
        </is>
      </c>
      <c r="G191" s="4" t="inlineStr">
        <is>
          <t>mekong_odm_myanmar_administrative_boundaries</t>
        </is>
      </c>
    </row>
    <row r="192">
      <c r="A192" s="4" t="inlineStr">
        <is>
          <t>National Indicative Fluvial Mapping (NIFM) River Flood Extents - Current Scenario</t>
        </is>
      </c>
      <c r="B192" s="4" t="inlineStr">
        <is>
          <t>lead that is context, not a direct exposure or determinant; lead with no dates</t>
        </is>
      </c>
      <c r="C192" s="4" t="inlineStr">
        <is>
          <t>Office of Public Works</t>
        </is>
      </c>
      <c r="D192" s="4" t="inlineStr"/>
      <c r="E192" s="4" t="inlineStr">
        <is>
          <t>Catalog lead</t>
        </is>
      </c>
      <c r="F192" s="17" t="inlineStr">
        <is>
          <t>https://data.gov.ie/dataset/nifm-river-flood-extents-current-scenario</t>
        </is>
      </c>
      <c r="G192" s="4" t="inlineStr">
        <is>
          <t>ie_datagovie_national_indicative_fluvial_mapping_nifm_river_flood_ex</t>
        </is>
      </c>
    </row>
    <row r="193">
      <c r="A193" s="4" t="inlineStr">
        <is>
          <t>Non-authoritative Myanmar [township/district/state-region] administrative boundaries based on OpenStreetMap geometry</t>
        </is>
      </c>
      <c r="B193" s="4" t="inlineStr">
        <is>
          <t>lead that is context, not a direct exposure or determinant; lead with no dates</t>
        </is>
      </c>
      <c r="C193" s="4" t="inlineStr">
        <is>
          <t>Open Development Myanmar</t>
        </is>
      </c>
      <c r="D193" s="4" t="inlineStr"/>
      <c r="E193" s="4" t="inlineStr">
        <is>
          <t>Catalog lead</t>
        </is>
      </c>
      <c r="F193" s="17" t="inlineStr">
        <is>
          <t>https://data.opendevelopmentmekong.net/dataset/non-authoritative-myanmar-township-district-state-region-administrative-boundaries-based-on-openstr</t>
        </is>
      </c>
      <c r="G193" s="4" t="inlineStr">
        <is>
          <t>mekong_odm_non_authoritative_myanmar_township_district_state_regio</t>
        </is>
      </c>
    </row>
    <row r="194">
      <c r="A194" s="4" t="inlineStr">
        <is>
          <t>NSW Administrative Boundaries</t>
        </is>
      </c>
      <c r="B194" s="4" t="inlineStr">
        <is>
          <t>lead that is context, not a direct exposure or determinant; lead with no dates</t>
        </is>
      </c>
      <c r="C194" s="4" t="inlineStr">
        <is>
          <t>Spatial Services (DCS)</t>
        </is>
      </c>
      <c r="D194" s="4" t="inlineStr"/>
      <c r="E194" s="4" t="inlineStr">
        <is>
          <t>Catalog lead</t>
        </is>
      </c>
      <c r="F194" s="17" t="inlineStr">
        <is>
          <t>https://data.gov.au/data/dataset/nsw-nsw-administrative-boundaries</t>
        </is>
      </c>
      <c r="G194" s="4" t="inlineStr">
        <is>
          <t>au_datagovau_nsw_administrative_boundaries</t>
        </is>
      </c>
    </row>
    <row r="195">
      <c r="A195" s="4" t="inlineStr">
        <is>
          <t>NSW State Electoral Boundaries - Geoscape Administrative Boundaries</t>
        </is>
      </c>
      <c r="B195" s="4" t="inlineStr">
        <is>
          <t>lead that is context, not a direct exposure or determinant; lead with no dates</t>
        </is>
      </c>
      <c r="C195" s="4" t="inlineStr">
        <is>
          <t>Department of Industry, Science and Resources (DISR)</t>
        </is>
      </c>
      <c r="D195" s="4" t="inlineStr"/>
      <c r="E195" s="4" t="inlineStr">
        <is>
          <t>Catalog lead</t>
        </is>
      </c>
      <c r="F195" s="17" t="inlineStr">
        <is>
          <t>https://data.gov.au/data/dataset/nsw-state-electoral-boundaries-geoscape-administrative-boundaries</t>
        </is>
      </c>
      <c r="G195" s="4" t="inlineStr">
        <is>
          <t>au_datagovau_nsw_state_electoral_boundaries_geoscape_administrative</t>
        </is>
      </c>
    </row>
    <row r="196">
      <c r="A196" s="4" t="inlineStr">
        <is>
          <t>NT State Boundary - Geoscape Administrative Boundaries</t>
        </is>
      </c>
      <c r="B196" s="4" t="inlineStr">
        <is>
          <t>lead that is context, not a direct exposure or determinant; lead with no dates</t>
        </is>
      </c>
      <c r="C196" s="4" t="inlineStr">
        <is>
          <t>Department of Industry, Science and Resources (DISR)</t>
        </is>
      </c>
      <c r="D196" s="4" t="inlineStr"/>
      <c r="E196" s="4" t="inlineStr">
        <is>
          <t>Catalog lead</t>
        </is>
      </c>
      <c r="F196" s="17" t="inlineStr">
        <is>
          <t>https://data.gov.au/data/dataset/nt-state-boundary-geoscape-administrative-boundaries</t>
        </is>
      </c>
      <c r="G196" s="4" t="inlineStr">
        <is>
          <t>au_datagovau_nt_state_boundary_geoscape_administrative_boundaries</t>
        </is>
      </c>
    </row>
    <row r="197">
      <c r="A197" s="4" t="inlineStr">
        <is>
          <t>PTCP - OVERVIEW ROADS</t>
        </is>
      </c>
      <c r="B197" s="4" t="inlineStr">
        <is>
          <t>lead that is context, not a direct exposure or determinant; lead with no dates</t>
        </is>
      </c>
      <c r="C197" s="4" t="inlineStr">
        <is>
          <t>Italian Catalogue of metadata for Spatial Data</t>
        </is>
      </c>
      <c r="D197" s="4" t="inlineStr"/>
      <c r="E197" s="4" t="inlineStr">
        <is>
          <t>Catalog lead</t>
        </is>
      </c>
      <c r="F197" s="17" t="inlineStr">
        <is>
          <t>https://data.europa.eu/data/datasets/p_fe-2016-08-31t123417</t>
        </is>
      </c>
      <c r="G197" s="4" t="inlineStr">
        <is>
          <t>eu_dataeuropa_ptcp_overview_roads</t>
        </is>
      </c>
    </row>
    <row r="198">
      <c r="A198" s="4" t="inlineStr">
        <is>
          <t>Public Transport Authority Stops (PTA-001)</t>
        </is>
      </c>
      <c r="B198" s="4" t="inlineStr">
        <is>
          <t>lead that is context, not a direct exposure or determinant; lead with no dates</t>
        </is>
      </c>
      <c r="C198" s="4" t="inlineStr">
        <is>
          <t>Public Transport Authority</t>
        </is>
      </c>
      <c r="D198" s="4" t="inlineStr"/>
      <c r="E198" s="4" t="inlineStr">
        <is>
          <t>Catalog lead</t>
        </is>
      </c>
      <c r="F198" s="17" t="inlineStr">
        <is>
          <t>https://data.gov.au/data/dataset/public-transport-authority-stops-bus-stops</t>
        </is>
      </c>
      <c r="G198" s="4" t="inlineStr">
        <is>
          <t>au_datagovau_public_transport_authority_stops_pta_001</t>
        </is>
      </c>
    </row>
    <row r="199">
      <c r="A199" s="4" t="inlineStr">
        <is>
          <t>Public Transport Lines and Stops</t>
        </is>
      </c>
      <c r="B199" s="4" t="inlineStr">
        <is>
          <t>lead that is context, not a direct exposure or determinant; lead with no dates</t>
        </is>
      </c>
      <c r="C199" s="4" t="inlineStr">
        <is>
          <t>Department of Transport and Planning</t>
        </is>
      </c>
      <c r="D199" s="4" t="inlineStr"/>
      <c r="E199" s="4" t="inlineStr">
        <is>
          <t>Catalog lead</t>
        </is>
      </c>
      <c r="F199" s="17" t="inlineStr">
        <is>
          <t>https://data.gov.au/data/dataset/public-transport-lines-and-stops</t>
        </is>
      </c>
      <c r="G199" s="4" t="inlineStr">
        <is>
          <t>au_datagovau_public_transport_lines_and_stops</t>
        </is>
      </c>
    </row>
    <row r="200">
      <c r="A200" s="4" t="inlineStr">
        <is>
          <t>Public transport network Vienna stops</t>
        </is>
      </c>
      <c r="B200" s="4" t="inlineStr">
        <is>
          <t>lead that is context, not a direct exposure or determinant; lead with no dates</t>
        </is>
      </c>
      <c r="C200" s="4" t="inlineStr">
        <is>
          <t>opendataportal.at</t>
        </is>
      </c>
      <c r="D200" s="4" t="inlineStr"/>
      <c r="E200" s="4" t="inlineStr">
        <is>
          <t>Catalog lead</t>
        </is>
      </c>
      <c r="F200" s="17" t="inlineStr">
        <is>
          <t>https://data.europa.eu/data/datasets/stadt-wien_ffentlichesverkehrsnetzhaltestellenpunktewien</t>
        </is>
      </c>
      <c r="G200" s="4" t="inlineStr">
        <is>
          <t>eu_dataeuropa_public_transport_network_vienna_stops</t>
        </is>
      </c>
    </row>
    <row r="201">
      <c r="A201" s="4" t="inlineStr">
        <is>
          <t>Public transport stops</t>
        </is>
      </c>
      <c r="B201" s="4" t="inlineStr">
        <is>
          <t>lead that is context, not a direct exposure or determinant; lead with no dates</t>
        </is>
      </c>
      <c r="C201" s="4" t="inlineStr">
        <is>
          <t>Jihočeský kraj</t>
        </is>
      </c>
      <c r="D201" s="4" t="inlineStr"/>
      <c r="E201" s="4" t="inlineStr">
        <is>
          <t>Catalog lead</t>
        </is>
      </c>
      <c r="F201" s="17" t="inlineStr">
        <is>
          <t>https://data.europa.eu/data/datasets/https-data-gov-cz-zdroj-datove-sady-70890650-227359046</t>
        </is>
      </c>
      <c r="G201" s="4" t="inlineStr">
        <is>
          <t>eu_dataeuropa_public_transport_stops</t>
        </is>
      </c>
    </row>
    <row r="202">
      <c r="A202" s="4" t="inlineStr">
        <is>
          <t>QLD State Boundary - Geoscape Administrative Boundaries</t>
        </is>
      </c>
      <c r="B202" s="4" t="inlineStr">
        <is>
          <t>lead that is context, not a direct exposure or determinant; lead with no dates</t>
        </is>
      </c>
      <c r="C202" s="4" t="inlineStr">
        <is>
          <t>Department of Industry, Science and Resources (DISR)</t>
        </is>
      </c>
      <c r="D202" s="4" t="inlineStr"/>
      <c r="E202" s="4" t="inlineStr">
        <is>
          <t>Catalog lead</t>
        </is>
      </c>
      <c r="F202" s="17" t="inlineStr">
        <is>
          <t>https://data.gov.au/data/dataset/qld-state-boundary-geoscape-administrative-boundaries</t>
        </is>
      </c>
      <c r="G202" s="4" t="inlineStr">
        <is>
          <t>au_datagovau_qld_state_boundary_geoscape_administrative_boundaries</t>
        </is>
      </c>
    </row>
    <row r="203">
      <c r="A203" s="4" t="inlineStr">
        <is>
          <t>Road traffic counting</t>
        </is>
      </c>
      <c r="B203" s="4" t="inlineStr">
        <is>
          <t>lead that is context, not a direct exposure or determinant; lead with no dates</t>
        </is>
      </c>
      <c r="C203" s="4" t="inlineStr">
        <is>
          <t>Office cantonal des transports</t>
        </is>
      </c>
      <c r="D203" s="4" t="inlineStr"/>
      <c r="E203" s="4" t="inlineStr">
        <is>
          <t>Catalog lead</t>
        </is>
      </c>
      <c r="F203" s="17" t="inlineStr">
        <is>
          <t>https://data.europa.eu/data/datasets/otc_comptage_trafic-canton-geneve</t>
        </is>
      </c>
      <c r="G203" s="4" t="inlineStr">
        <is>
          <t>eu_dataeuropa_road_traffic_counting</t>
        </is>
      </c>
    </row>
    <row r="204">
      <c r="A204" s="4" t="inlineStr">
        <is>
          <t>Roads</t>
        </is>
      </c>
      <c r="B204" s="4" t="inlineStr">
        <is>
          <t>lead that is context, not a direct exposure or determinant; lead with no dates</t>
        </is>
      </c>
      <c r="C204" s="4" t="inlineStr">
        <is>
          <t>Department for Infrastructure and Transport</t>
        </is>
      </c>
      <c r="D204" s="4" t="inlineStr"/>
      <c r="E204" s="4" t="inlineStr">
        <is>
          <t>Catalog lead</t>
        </is>
      </c>
      <c r="F204" s="17" t="inlineStr">
        <is>
          <t>https://data.gov.au/data/dataset/roads</t>
        </is>
      </c>
      <c r="G204" s="4" t="inlineStr">
        <is>
          <t>au_datagovau_roads</t>
        </is>
      </c>
    </row>
    <row r="205">
      <c r="A205" s="4" t="inlineStr">
        <is>
          <t>Route : Secteurs exposés par le bruit sur les routes en Aveyron</t>
        </is>
      </c>
      <c r="B205" s="4" t="inlineStr">
        <is>
          <t>lead that is context, not a direct exposure or determinant; lead with no dates</t>
        </is>
      </c>
      <c r="C205" s="4" t="inlineStr">
        <is>
          <t>DDT Aveyron</t>
        </is>
      </c>
      <c r="D205" s="4" t="inlineStr"/>
      <c r="E205" s="4" t="inlineStr">
        <is>
          <t>Catalog lead</t>
        </is>
      </c>
      <c r="F205" s="17" t="inlineStr">
        <is>
          <t>https://www.data.gouv.fr/datasets/route-secteurs-exposes-par-le-bruit-sur-les-routes-en-aveyron</t>
        </is>
      </c>
      <c r="G205" s="4" t="inlineStr">
        <is>
          <t>fr_datagouv_route_secteurs_expos_s_par_le_bruit_sur_les_routes_en_a</t>
        </is>
      </c>
    </row>
    <row r="206">
      <c r="A206" s="4" t="inlineStr">
        <is>
          <t>Routes départementales</t>
        </is>
      </c>
      <c r="B206" s="4" t="inlineStr">
        <is>
          <t>lead that is context, not a direct exposure or determinant; lead with no dates</t>
        </is>
      </c>
      <c r="C206" s="4" t="inlineStr">
        <is>
          <t>Département du Doubs</t>
        </is>
      </c>
      <c r="D206" s="4" t="inlineStr"/>
      <c r="E206" s="4" t="inlineStr">
        <is>
          <t>Catalog lead</t>
        </is>
      </c>
      <c r="F206" s="17" t="inlineStr">
        <is>
          <t>https://www.data.gouv.fr/datasets/routes-departementales-1</t>
        </is>
      </c>
      <c r="G206" s="4" t="inlineStr">
        <is>
          <t>fr_datagouv_routes_d_partementales</t>
        </is>
      </c>
    </row>
    <row r="207">
      <c r="A207" s="4" t="inlineStr">
        <is>
          <t>SA State Boundary - Geoscape Administrative Boundaries</t>
        </is>
      </c>
      <c r="B207" s="4" t="inlineStr">
        <is>
          <t>lead that is context, not a direct exposure or determinant; lead with no dates</t>
        </is>
      </c>
      <c r="C207" s="4" t="inlineStr">
        <is>
          <t>Department of Industry, Science and Resources (DISR)</t>
        </is>
      </c>
      <c r="D207" s="4" t="inlineStr"/>
      <c r="E207" s="4" t="inlineStr">
        <is>
          <t>Catalog lead</t>
        </is>
      </c>
      <c r="F207" s="17" t="inlineStr">
        <is>
          <t>https://data.gov.au/data/dataset/sa-state-boundary-geoscape-administrative-boundaries</t>
        </is>
      </c>
      <c r="G207" s="4" t="inlineStr">
        <is>
          <t>au_datagovau_sa_state_boundary_geoscape_administrative_boundaries</t>
        </is>
      </c>
    </row>
    <row r="208">
      <c r="A208" s="4" t="inlineStr">
        <is>
          <t>SA State Electoral Boundaries - Geoscape Administrative Boundaries</t>
        </is>
      </c>
      <c r="B208" s="4" t="inlineStr">
        <is>
          <t>lead that is context, not a direct exposure or determinant; lead with no dates</t>
        </is>
      </c>
      <c r="C208" s="4" t="inlineStr">
        <is>
          <t>Department of Industry, Science and Resources (DISR)</t>
        </is>
      </c>
      <c r="D208" s="4" t="inlineStr"/>
      <c r="E208" s="4" t="inlineStr">
        <is>
          <t>Catalog lead</t>
        </is>
      </c>
      <c r="F208" s="17" t="inlineStr">
        <is>
          <t>https://data.gov.au/data/dataset/sa-state-electoral-boundaries</t>
        </is>
      </c>
      <c r="G208" s="4" t="inlineStr">
        <is>
          <t>au_datagovau_sa_state_electoral_boundaries_geoscape_administrative_b</t>
        </is>
      </c>
    </row>
    <row r="209">
      <c r="A209" s="4" t="inlineStr">
        <is>
          <t>Schools Locations Vienna</t>
        </is>
      </c>
      <c r="B209" s="4" t="inlineStr">
        <is>
          <t>lead that is context, not a direct exposure or determinant; lead with no dates</t>
        </is>
      </c>
      <c r="C209" s="4" t="inlineStr">
        <is>
          <t>MA 14 - Automationsunterstützte Datenverarbeitung, Informations- und Kommunikationstechnologie</t>
        </is>
      </c>
      <c r="D209" s="4" t="inlineStr"/>
      <c r="E209" s="4" t="inlineStr">
        <is>
          <t>Catalog lead</t>
        </is>
      </c>
      <c r="F209" s="17" t="inlineStr">
        <is>
          <t>https://data.europa.eu/data/datasets/stadt-wien_schulenstandortewien</t>
        </is>
      </c>
      <c r="G209" s="4" t="inlineStr">
        <is>
          <t>eu_dataeuropa_schools_locations_vienna</t>
        </is>
      </c>
    </row>
    <row r="210">
      <c r="A210" s="4" t="inlineStr">
        <is>
          <t>Street Lighting</t>
        </is>
      </c>
      <c r="B210" s="4" t="inlineStr">
        <is>
          <t>lead that is context, not a direct exposure or determinant; lead with no dates</t>
        </is>
      </c>
      <c r="C210" s="4" t="inlineStr">
        <is>
          <t>Planning Authority</t>
        </is>
      </c>
      <c r="D210" s="4" t="inlineStr"/>
      <c r="E210" s="4" t="inlineStr">
        <is>
          <t>Catalog lead</t>
        </is>
      </c>
      <c r="F210" s="17" t="inlineStr">
        <is>
          <t>https://data.europa.eu/data/datasets/3ef247e1-0e3a-4fca-81fa-5d9a01ed9573</t>
        </is>
      </c>
      <c r="G210" s="4" t="inlineStr">
        <is>
          <t>eu_dataeuropa_street_lighting</t>
        </is>
      </c>
    </row>
    <row r="211">
      <c r="A211" s="4" t="inlineStr">
        <is>
          <t>Street lights</t>
        </is>
      </c>
      <c r="B211" s="4" t="inlineStr">
        <is>
          <t>lead that is context, not a direct exposure or determinant; lead with no dates</t>
        </is>
      </c>
      <c r="C211" s="4" t="inlineStr">
        <is>
          <t>Statutární město Brno</t>
        </is>
      </c>
      <c r="D211" s="4" t="inlineStr"/>
      <c r="E211" s="4" t="inlineStr">
        <is>
          <t>Catalog lead</t>
        </is>
      </c>
      <c r="F211" s="17" t="inlineStr">
        <is>
          <t>https://data.europa.eu/data/datasets/https-kod-brno-cz-nkod-dataset-462d3e4e68984538a29e715a885d770e_0-ttl</t>
        </is>
      </c>
      <c r="G211" s="4" t="inlineStr">
        <is>
          <t>eu_dataeuropa_street_lights</t>
        </is>
      </c>
    </row>
    <row r="212">
      <c r="A212" s="4" t="inlineStr">
        <is>
          <t>Traffic lights — locations all intersections</t>
        </is>
      </c>
      <c r="B212" s="4" t="inlineStr">
        <is>
          <t>lead that is context, not a direct exposure or determinant; lead with no dates</t>
        </is>
      </c>
      <c r="C212" s="4" t="inlineStr">
        <is>
          <t>Government and Municipalities of Québec | Gouvernement et municipalités du Québec</t>
        </is>
      </c>
      <c r="D212" s="4" t="inlineStr"/>
      <c r="E212" s="4" t="inlineStr">
        <is>
          <t>Catalog lead</t>
        </is>
      </c>
      <c r="F212" s="17" t="inlineStr">
        <is>
          <t>https://open.canada.ca/data/dataset/02ebdab9-cbf3-4f56-8c29-79fa0ed0ed2e</t>
        </is>
      </c>
      <c r="G212" s="4" t="inlineStr">
        <is>
          <t>ca_opencanada_traffic_lights_locations_all_intersections</t>
        </is>
      </c>
    </row>
    <row r="213">
      <c r="A213" s="4" t="inlineStr">
        <is>
          <t>Traffic lights — pedestrian lights</t>
        </is>
      </c>
      <c r="B213" s="4" t="inlineStr">
        <is>
          <t>lead that is context, not a direct exposure or determinant; lead with no dates</t>
        </is>
      </c>
      <c r="C213" s="4" t="inlineStr">
        <is>
          <t>Government and Municipalities of Québec | Gouvernement et municipalités du Québec</t>
        </is>
      </c>
      <c r="D213" s="4" t="inlineStr"/>
      <c r="E213" s="4" t="inlineStr">
        <is>
          <t>Catalog lead</t>
        </is>
      </c>
      <c r="F213" s="17" t="inlineStr">
        <is>
          <t>https://open.canada.ca/data/dataset/9a42fb1d-7656-4839-8ac6-0f5d2b519503</t>
        </is>
      </c>
      <c r="G213" s="4" t="inlineStr">
        <is>
          <t>ca_opencanada_traffic_lights_pedestrian_lights</t>
        </is>
      </c>
    </row>
    <row r="214">
      <c r="A214" s="4" t="inlineStr">
        <is>
          <t>Tronçons de routes formant le réseau des routes de catégorie 1 et 2 des transports exceptionnels pour un usage national</t>
        </is>
      </c>
      <c r="B214" s="4" t="inlineStr">
        <is>
          <t>lead that is context, not a direct exposure or determinant; lead with no dates</t>
        </is>
      </c>
      <c r="C214" s="4" t="inlineStr">
        <is>
          <t>Direction Départementale des Territoires et de la Mer de la Somme</t>
        </is>
      </c>
      <c r="D214" s="4" t="inlineStr"/>
      <c r="E214" s="4" t="inlineStr">
        <is>
          <t>Catalog lead</t>
        </is>
      </c>
      <c r="F214" s="17" t="inlineStr">
        <is>
          <t>https://www.data.gouv.fr/datasets/troncons-de-routes-formant-le-reseau-des-routes-de-categorie-1-et-2-des-transports-exceptionnels-pour-un-usage-national</t>
        </is>
      </c>
      <c r="G214" s="4" t="inlineStr">
        <is>
          <t>fr_datagouv_tron_ons_de_routes_formant_le_r_seau_des_routes_de_cat</t>
        </is>
      </c>
    </row>
    <row r="215">
      <c r="A215" s="4" t="inlineStr">
        <is>
          <t>Tronçons de routes formant le réseau des routes à grande circulation pour un usage national</t>
        </is>
      </c>
      <c r="B215" s="4" t="inlineStr">
        <is>
          <t>lead that is context, not a direct exposure or determinant; lead with no dates</t>
        </is>
      </c>
      <c r="C215" s="4" t="inlineStr">
        <is>
          <t>Direction Départementale des Territoires du Bas-Rhin (67)</t>
        </is>
      </c>
      <c r="D215" s="4" t="inlineStr"/>
      <c r="E215" s="4" t="inlineStr">
        <is>
          <t>Catalog lead</t>
        </is>
      </c>
      <c r="F215" s="17" t="inlineStr">
        <is>
          <t>https://www.data.gouv.fr/datasets/troncons-de-routes-formant-le-reseau-des-routes-a-grande-circulation-pour-un-usage-national</t>
        </is>
      </c>
      <c r="G215" s="4" t="inlineStr">
        <is>
          <t>fr_datagouv_tron_ons_de_routes_formant_le_r_seau_des_routes_grande</t>
        </is>
      </c>
    </row>
    <row r="216">
      <c r="A216" s="4" t="inlineStr">
        <is>
          <t>Tusla Administrative Boundaries</t>
        </is>
      </c>
      <c r="B216" s="4" t="inlineStr">
        <is>
          <t>lead that is context, not a direct exposure or determinant; lead with no dates</t>
        </is>
      </c>
      <c r="C216" s="4" t="inlineStr">
        <is>
          <t>Tusla</t>
        </is>
      </c>
      <c r="D216" s="4" t="inlineStr"/>
      <c r="E216" s="4" t="inlineStr">
        <is>
          <t>Catalog lead</t>
        </is>
      </c>
      <c r="F216" s="17" t="inlineStr">
        <is>
          <t>https://data.gov.ie/dataset/tusla-service-areas-by-region</t>
        </is>
      </c>
      <c r="G216" s="4" t="inlineStr">
        <is>
          <t>ie_datagovie_tusla_administrative_boundaries</t>
        </is>
      </c>
    </row>
    <row r="217">
      <c r="A217" s="4" t="inlineStr">
        <is>
          <t>VIC State Electoral Boundaries - Geoscape Administrative Boundaries</t>
        </is>
      </c>
      <c r="B217" s="4" t="inlineStr">
        <is>
          <t>lead that is context, not a direct exposure or determinant; lead with no dates</t>
        </is>
      </c>
      <c r="C217" s="4" t="inlineStr">
        <is>
          <t>Department of Industry, Science and Resources (DISR)</t>
        </is>
      </c>
      <c r="D217" s="4" t="inlineStr"/>
      <c r="E217" s="4" t="inlineStr">
        <is>
          <t>Catalog lead</t>
        </is>
      </c>
      <c r="F217" s="17" t="inlineStr">
        <is>
          <t>https://data.gov.au/data/dataset/vic-state-electoral-boundaries-geoscape-administrative-boundaries</t>
        </is>
      </c>
      <c r="G217" s="4" t="inlineStr">
        <is>
          <t>au_datagovau_vic_state_electoral_boundaries_geoscape_administrative</t>
        </is>
      </c>
    </row>
    <row r="218">
      <c r="A218" s="4" t="inlineStr">
        <is>
          <t>VicRoads Declared Roads</t>
        </is>
      </c>
      <c r="B218" s="4" t="inlineStr">
        <is>
          <t>lead that is context, not a direct exposure or determinant; lead with no dates</t>
        </is>
      </c>
      <c r="C218" s="4" t="inlineStr">
        <is>
          <t>Department of Transport and Planning</t>
        </is>
      </c>
      <c r="D218" s="4" t="inlineStr"/>
      <c r="E218" s="4" t="inlineStr">
        <is>
          <t>Catalog lead</t>
        </is>
      </c>
      <c r="F218" s="17" t="inlineStr">
        <is>
          <t>https://data.gov.au/data/dataset/vicroads-declared-roads</t>
        </is>
      </c>
      <c r="G218" s="4" t="inlineStr">
        <is>
          <t>au_datagovau_vicroads_declared_roads</t>
        </is>
      </c>
    </row>
    <row r="219">
      <c r="A219" s="4" t="inlineStr">
        <is>
          <t>WA State Boundary - Geoscape Administrative Boundaries</t>
        </is>
      </c>
      <c r="B219" s="4" t="inlineStr">
        <is>
          <t>lead that is context, not a direct exposure or determinant; lead with no dates</t>
        </is>
      </c>
      <c r="C219" s="4" t="inlineStr">
        <is>
          <t>Department of Industry, Science and Resources (DISR)</t>
        </is>
      </c>
      <c r="D219" s="4" t="inlineStr"/>
      <c r="E219" s="4" t="inlineStr">
        <is>
          <t>Catalog lead</t>
        </is>
      </c>
      <c r="F219" s="17" t="inlineStr">
        <is>
          <t>https://data.gov.au/data/dataset/wa-state-boundary-geoscape-administrative-boundaries</t>
        </is>
      </c>
      <c r="G219" s="4" t="inlineStr">
        <is>
          <t>au_datagovau_wa_state_boundary_geoscape_administrative_boundaries</t>
        </is>
      </c>
    </row>
    <row r="220">
      <c r="A220" s="4" t="inlineStr">
        <is>
          <t>WA State Electoral Boundaries - Geoscape Administrative Boundaries</t>
        </is>
      </c>
      <c r="B220" s="4" t="inlineStr">
        <is>
          <t>lead that is context, not a direct exposure or determinant; lead with no dates</t>
        </is>
      </c>
      <c r="C220" s="4" t="inlineStr">
        <is>
          <t>Department of Industry, Science and Resources (DISR)</t>
        </is>
      </c>
      <c r="D220" s="4" t="inlineStr"/>
      <c r="E220" s="4" t="inlineStr">
        <is>
          <t>Catalog lead</t>
        </is>
      </c>
      <c r="F220" s="17" t="inlineStr">
        <is>
          <t>https://data.gov.au/data/dataset/wa-state-electoral-boundaries-geoscape-administrative-boundaries</t>
        </is>
      </c>
      <c r="G220" s="4" t="inlineStr">
        <is>
          <t>au_datagovau_wa_state_electoral_boundaries_geoscape_administrative_b</t>
        </is>
      </c>
    </row>
    <row r="221">
      <c r="A221" s="4" t="inlineStr">
        <is>
          <t>Administrative Counties (1971) Boundaries EW</t>
        </is>
      </c>
      <c r="B221" s="4" t="inlineStr">
        <is>
          <t>lead that is context, not a direct exposure or determinant; stale snapshot: lead ending 1971</t>
        </is>
      </c>
      <c r="C221" s="4" t="inlineStr">
        <is>
          <t>Office for National Statistics</t>
        </is>
      </c>
      <c r="D221" s="4" t="n">
        <v>1971</v>
      </c>
      <c r="E221" s="4" t="inlineStr">
        <is>
          <t>Catalog lead</t>
        </is>
      </c>
      <c r="F221" s="17" t="inlineStr">
        <is>
          <t>https://ckan.publishing.service.gov.uk/dataset/administrative-counties-1971-boundaries-ew</t>
        </is>
      </c>
      <c r="G221" s="4" t="inlineStr">
        <is>
          <t>gb_datagovuk_administrative_counties_1971_boundaries_ew</t>
        </is>
      </c>
    </row>
    <row r="222">
      <c r="A222" s="4" t="inlineStr">
        <is>
          <t>Administrative Districts (1971) Boundaries EW</t>
        </is>
      </c>
      <c r="B222" s="4" t="inlineStr">
        <is>
          <t>lead that is context, not a direct exposure or determinant; stale snapshot: lead ending 1971</t>
        </is>
      </c>
      <c r="C222" s="4" t="inlineStr">
        <is>
          <t>Office for National Statistics</t>
        </is>
      </c>
      <c r="D222" s="4" t="n">
        <v>1971</v>
      </c>
      <c r="E222" s="4" t="inlineStr">
        <is>
          <t>Catalog lead</t>
        </is>
      </c>
      <c r="F222" s="17" t="inlineStr">
        <is>
          <t>https://ckan.publishing.service.gov.uk/dataset/administrative-districts-1971-boundaries-ew</t>
        </is>
      </c>
      <c r="G222" s="4" t="inlineStr">
        <is>
          <t>gb_datagovuk_administrative_districts_1971_boundaries_ew</t>
        </is>
      </c>
    </row>
    <row r="223">
      <c r="A223" s="4" t="inlineStr">
        <is>
          <t>LBA-ECO LC-09 Natural, Infrastructure, and Boundary Features, Amazonian Sites, Brazil</t>
        </is>
      </c>
      <c r="B223" s="4" t="inlineStr">
        <is>
          <t>lead that is context, not a direct exposure or determinant; stale snapshot: lead ending 2004</t>
        </is>
      </c>
      <c r="C223" s="4" t="inlineStr">
        <is>
          <t>NASA Earthdata</t>
        </is>
      </c>
      <c r="D223" s="4" t="n">
        <v>2004</v>
      </c>
      <c r="E223" s="4" t="inlineStr">
        <is>
          <t>Catalog lead</t>
        </is>
      </c>
      <c r="F223" s="17" t="inlineStr">
        <is>
          <t>https://cmr.earthdata.nasa.gov/search/concepts/C2777821076-ORNL_CLOUD.html</t>
        </is>
      </c>
      <c r="G223" s="4" t="inlineStr">
        <is>
          <t>nasa_cmr_lc09_gis_study_areas_986</t>
        </is>
      </c>
    </row>
    <row r="224">
      <c r="A224" s="4" t="inlineStr">
        <is>
          <t>Federal Electoral District Cartographic Boundary Files - 2006 Census</t>
        </is>
      </c>
      <c r="B224" s="4" t="inlineStr">
        <is>
          <t>lead that is context, not a direct exposure or determinant; stale snapshot: lead ending 2006</t>
        </is>
      </c>
      <c r="C224" s="4" t="inlineStr">
        <is>
          <t>Statistics Canada | Statistique Canada</t>
        </is>
      </c>
      <c r="D224" s="4" t="n">
        <v>2006</v>
      </c>
      <c r="E224" s="4" t="inlineStr">
        <is>
          <t>Catalog lead</t>
        </is>
      </c>
      <c r="F224" s="17" t="inlineStr">
        <is>
          <t>https://open.canada.ca/data/dataset/bcdb6685-c1cf-4664-8b4e-63dc9e6921c5</t>
        </is>
      </c>
      <c r="G224" s="4" t="inlineStr">
        <is>
          <t>ca_opencanada_federal_electoral_district_cartographic_boundary_files</t>
        </is>
      </c>
    </row>
    <row r="225">
      <c r="A225" s="4" t="inlineStr">
        <is>
          <t>Federal Electoral District Digital Boundary Files - 2006 Census</t>
        </is>
      </c>
      <c r="B225" s="4" t="inlineStr">
        <is>
          <t>lead that is context, not a direct exposure or determinant; stale snapshot: lead ending 2006</t>
        </is>
      </c>
      <c r="C225" s="4" t="inlineStr">
        <is>
          <t>Statistics Canada | Statistique Canada</t>
        </is>
      </c>
      <c r="D225" s="4" t="n">
        <v>2006</v>
      </c>
      <c r="E225" s="4" t="inlineStr">
        <is>
          <t>Catalog lead</t>
        </is>
      </c>
      <c r="F225" s="17" t="inlineStr">
        <is>
          <t>https://open.canada.ca/data/dataset/7e2e7c67-d6dc-4dbb-944e-a52dba5a1a89</t>
        </is>
      </c>
      <c r="G225" s="4" t="inlineStr">
        <is>
          <t>ca_opencanada_federal_electoral_district_digital_boundary_files_2006</t>
        </is>
      </c>
    </row>
    <row r="226">
      <c r="A226" s="4" t="inlineStr">
        <is>
          <t>Philippines - School locations</t>
        </is>
      </c>
      <c r="B226" s="4" t="inlineStr">
        <is>
          <t>lead that is context, not a direct exposure or determinant; stale snapshot: lead ending 2008</t>
        </is>
      </c>
      <c r="C226" s="4" t="inlineStr">
        <is>
          <t>OCHA Philippines</t>
        </is>
      </c>
      <c r="D226" s="4" t="n">
        <v>2008</v>
      </c>
      <c r="E226" s="4" t="inlineStr">
        <is>
          <t>Catalog lead</t>
        </is>
      </c>
      <c r="F226" s="17" t="inlineStr">
        <is>
          <t>https://data.humdata.org/dataset/philippines-education-0-0</t>
        </is>
      </c>
      <c r="G226" s="4" t="inlineStr">
        <is>
          <t>hdx_philippines_school_locations</t>
        </is>
      </c>
    </row>
    <row r="227">
      <c r="A227" s="4" t="inlineStr">
        <is>
          <t>Road Network File - 2012</t>
        </is>
      </c>
      <c r="B227" s="4" t="inlineStr">
        <is>
          <t>lead that is context, not a direct exposure or determinant; stale snapshot: lead ending 2012</t>
        </is>
      </c>
      <c r="C227" s="4" t="inlineStr">
        <is>
          <t>Statistics Canada | Statistique Canada</t>
        </is>
      </c>
      <c r="D227" s="4" t="n">
        <v>2012</v>
      </c>
      <c r="E227" s="4" t="inlineStr">
        <is>
          <t>Catalog lead</t>
        </is>
      </c>
      <c r="F227" s="17" t="inlineStr">
        <is>
          <t>https://open.canada.ca/data/dataset/ea135e2d-87a3-4bf5-9ccb-4f7c2432b280</t>
        </is>
      </c>
      <c r="G227" s="4" t="inlineStr">
        <is>
          <t>ca_opencanada_road_network_file_2012</t>
        </is>
      </c>
    </row>
    <row r="228">
      <c r="A228" s="4" t="inlineStr">
        <is>
          <t>Bangladesh - Hazards (Drought risk, Earthquake risk, Flood risk and River erosion risk)</t>
        </is>
      </c>
      <c r="B228" s="4" t="inlineStr">
        <is>
          <t>lead that is context, not a direct exposure or determinant; stale snapshot: lead ending 2013</t>
        </is>
      </c>
      <c r="C228" s="4" t="inlineStr">
        <is>
          <t>OCHA Regional Office for Asia and the Pacific (ROAP)</t>
        </is>
      </c>
      <c r="D228" s="4" t="n">
        <v>2013</v>
      </c>
      <c r="E228" s="4" t="inlineStr">
        <is>
          <t>Catalog lead</t>
        </is>
      </c>
      <c r="F228" s="17" t="inlineStr">
        <is>
          <t>https://data.humdata.org/dataset/bangladesh-hazards</t>
        </is>
      </c>
      <c r="G228" s="4" t="inlineStr">
        <is>
          <t>hdx_bangladesh_hazards_drought_risk_earthquake_risk_flood_r</t>
        </is>
      </c>
    </row>
    <row r="229">
      <c r="A229" s="4" t="inlineStr">
        <is>
          <t>Constituency Boundaries Generalised 20m - National Electoral Boundaries - 2013</t>
        </is>
      </c>
      <c r="B229" s="4" t="inlineStr">
        <is>
          <t>lead that is context, not a direct exposure or determinant; stale snapshot: lead ending 2013</t>
        </is>
      </c>
      <c r="C229" s="4" t="inlineStr">
        <is>
          <t>Tailte Éireann</t>
        </is>
      </c>
      <c r="D229" s="4" t="n">
        <v>2013</v>
      </c>
      <c r="E229" s="4" t="inlineStr">
        <is>
          <t>Catalog lead</t>
        </is>
      </c>
      <c r="F229" s="17" t="inlineStr">
        <is>
          <t>https://data.gov.ie/dataset/constituency-boundaries-generalised-20m-national-electoral-boundaries-2013</t>
        </is>
      </c>
      <c r="G229" s="4" t="inlineStr">
        <is>
          <t>ie_datagovie_constituency_boundaries_generalised_20m_national_electo</t>
        </is>
      </c>
    </row>
    <row r="230">
      <c r="A230" s="4" t="inlineStr">
        <is>
          <t>Constituency Boundaries Ungeneralised - National Electoral Boundaries - 2013</t>
        </is>
      </c>
      <c r="B230" s="4" t="inlineStr">
        <is>
          <t>lead that is context, not a direct exposure or determinant; stale snapshot: lead ending 2013</t>
        </is>
      </c>
      <c r="C230" s="4" t="inlineStr">
        <is>
          <t>Tailte Éireann</t>
        </is>
      </c>
      <c r="D230" s="4" t="n">
        <v>2013</v>
      </c>
      <c r="E230" s="4" t="inlineStr">
        <is>
          <t>Catalog lead</t>
        </is>
      </c>
      <c r="F230" s="17" t="inlineStr">
        <is>
          <t>https://data.gov.ie/dataset/constituency-boundaries-ungeneralised-national-electoral-boundaries-2013</t>
        </is>
      </c>
      <c r="G230" s="4" t="inlineStr">
        <is>
          <t>ie_datagovie_constituency_boundaries_ungeneralised_national_electora</t>
        </is>
      </c>
    </row>
    <row r="231">
      <c r="A231" s="4" t="inlineStr">
        <is>
          <t>National Road Network 2013</t>
        </is>
      </c>
      <c r="B231" s="4" t="inlineStr">
        <is>
          <t>lead that is context, not a direct exposure or determinant; stale snapshot: lead ending 2013</t>
        </is>
      </c>
      <c r="C231" s="4" t="inlineStr">
        <is>
          <t>Transport Infrastructure Ireland</t>
        </is>
      </c>
      <c r="D231" s="4" t="n">
        <v>2013</v>
      </c>
      <c r="E231" s="4" t="inlineStr">
        <is>
          <t>Catalog lead</t>
        </is>
      </c>
      <c r="F231" s="17" t="inlineStr">
        <is>
          <t>https://data.gov.ie/dataset/national-road-network-2013</t>
        </is>
      </c>
      <c r="G231" s="4" t="inlineStr">
        <is>
          <t>ie_datagovie_national_road_network_2013</t>
        </is>
      </c>
    </row>
    <row r="232">
      <c r="A232" s="4" t="inlineStr">
        <is>
          <t>Nepal - Road distance of district headquarters from Kathmandu [via Prithvi Highway]</t>
        </is>
      </c>
      <c r="B232" s="4" t="inlineStr">
        <is>
          <t>lead that is context, not a direct exposure or determinant; stale snapshot: lead ending 2014</t>
        </is>
      </c>
      <c r="C232" s="4" t="inlineStr">
        <is>
          <t>OpenNepal (inactive)</t>
        </is>
      </c>
      <c r="D232" s="4" t="n">
        <v>2014</v>
      </c>
      <c r="E232" s="4" t="inlineStr">
        <is>
          <t>Catalog lead</t>
        </is>
      </c>
      <c r="F232" s="17" t="inlineStr">
        <is>
          <t>https://data.humdata.org/dataset/road-distance-of-district-headquarters-from-kathmandu-via-prithvi-highway</t>
        </is>
      </c>
      <c r="G232" s="4" t="inlineStr">
        <is>
          <t>hdx_nepal_road_distance_of_district_headquarters_from_kathm</t>
        </is>
      </c>
    </row>
    <row r="233">
      <c r="A233" s="4" t="inlineStr">
        <is>
          <t>Access to health facilities</t>
        </is>
      </c>
      <c r="B233" s="4" t="inlineStr">
        <is>
          <t>lead with no dates</t>
        </is>
      </c>
      <c r="C233" s="4" t="inlineStr">
        <is>
          <t>Open Development Cambodia</t>
        </is>
      </c>
      <c r="D233" s="4" t="inlineStr"/>
      <c r="E233" s="4" t="inlineStr">
        <is>
          <t>Catalog lead</t>
        </is>
      </c>
      <c r="F233" s="17" t="inlineStr">
        <is>
          <t>https://data.opendevelopmentmekong.net/dataset/access-to-health-facilities</t>
        </is>
      </c>
      <c r="G233" s="4" t="inlineStr">
        <is>
          <t>mekong_odm_access_to_health_facilities</t>
        </is>
      </c>
    </row>
    <row r="234">
      <c r="A234" s="4" t="inlineStr">
        <is>
          <t>Access to Internet at Home by District</t>
        </is>
      </c>
      <c r="B234" s="4" t="inlineStr">
        <is>
          <t>lead with no dates</t>
        </is>
      </c>
      <c r="C234" s="4" t="inlineStr">
        <is>
          <t>National Statistics Office</t>
        </is>
      </c>
      <c r="D234" s="4" t="inlineStr"/>
      <c r="E234" s="4" t="inlineStr">
        <is>
          <t>Catalog lead</t>
        </is>
      </c>
      <c r="F234" s="17" t="inlineStr">
        <is>
          <t>https://data.europa.eu/data/datasets/1717c7b4-8a66-4f19-b686-6042fbed5255</t>
        </is>
      </c>
      <c r="G234" s="4" t="inlineStr">
        <is>
          <t>eu_dataeuropa_access_to_internet_at_home_by_district</t>
        </is>
      </c>
    </row>
    <row r="235">
      <c r="A235" s="4" t="inlineStr">
        <is>
          <t>Air Quality Monitoring Sites</t>
        </is>
      </c>
      <c r="B235" s="4" t="inlineStr">
        <is>
          <t>lead with no dates</t>
        </is>
      </c>
      <c r="C235" s="4" t="inlineStr">
        <is>
          <t>Environment Protection Authority (EPA)</t>
        </is>
      </c>
      <c r="D235" s="4" t="inlineStr"/>
      <c r="E235" s="4" t="inlineStr">
        <is>
          <t>Catalog lead</t>
        </is>
      </c>
      <c r="F235" s="17" t="inlineStr">
        <is>
          <t>https://data.gov.au/data/dataset/air-quality-monitoring-sites</t>
        </is>
      </c>
      <c r="G235" s="4" t="inlineStr">
        <is>
          <t>au_datagovau_air_quality_monitoring_sites</t>
        </is>
      </c>
    </row>
    <row r="236">
      <c r="A236" s="4" t="inlineStr">
        <is>
          <t>At Risk of Poverty or social exclusion by District</t>
        </is>
      </c>
      <c r="B236" s="4" t="inlineStr">
        <is>
          <t>lead with no dates</t>
        </is>
      </c>
      <c r="C236" s="4" t="inlineStr">
        <is>
          <t>National Statistics Office</t>
        </is>
      </c>
      <c r="D236" s="4" t="inlineStr"/>
      <c r="E236" s="4" t="inlineStr">
        <is>
          <t>Catalog lead</t>
        </is>
      </c>
      <c r="F236" s="17" t="inlineStr">
        <is>
          <t>https://data.europa.eu/data/datasets/e77907c3-c927-4df9-946d-a3f34748c67d</t>
        </is>
      </c>
      <c r="G236" s="4" t="inlineStr">
        <is>
          <t>eu_dataeuropa_at_risk_of_poverty_or_social_exclusion_by_district</t>
        </is>
      </c>
    </row>
    <row r="237">
      <c r="A237" s="4" t="inlineStr">
        <is>
          <t>At Risk of Poverty Rate by District</t>
        </is>
      </c>
      <c r="B237" s="4" t="inlineStr">
        <is>
          <t>lead with no dates</t>
        </is>
      </c>
      <c r="C237" s="4" t="inlineStr">
        <is>
          <t>National Statistics Office</t>
        </is>
      </c>
      <c r="D237" s="4" t="inlineStr"/>
      <c r="E237" s="4" t="inlineStr">
        <is>
          <t>Catalog lead</t>
        </is>
      </c>
      <c r="F237" s="17" t="inlineStr">
        <is>
          <t>https://data.europa.eu/data/datasets/2179a74f-f6bd-4066-b04a-76621eca4eb5</t>
        </is>
      </c>
      <c r="G237" s="4" t="inlineStr">
        <is>
          <t>eu_dataeuropa_at_risk_of_poverty_rate_by_district</t>
        </is>
      </c>
    </row>
    <row r="238">
      <c r="A238" s="4" t="inlineStr">
        <is>
          <t>Christmas markets and New Year’s stalls Locations Vienna</t>
        </is>
      </c>
      <c r="B238" s="4" t="inlineStr">
        <is>
          <t>lead with no dates</t>
        </is>
      </c>
      <c r="C238" s="4" t="inlineStr">
        <is>
          <t>opendataportal.at</t>
        </is>
      </c>
      <c r="D238" s="4" t="inlineStr"/>
      <c r="E238" s="4" t="inlineStr">
        <is>
          <t>Catalog lead</t>
        </is>
      </c>
      <c r="F238" s="17" t="inlineStr">
        <is>
          <t>https://data.europa.eu/data/datasets/stadt-wien_weihnachtsmrkteundsilvesterstndewien</t>
        </is>
      </c>
      <c r="G238" s="4" t="inlineStr">
        <is>
          <t>eu_dataeuropa_christmas_markets_and_new_year_s_stalls_locations_vienn</t>
        </is>
      </c>
    </row>
    <row r="239">
      <c r="A239" s="4" t="inlineStr">
        <is>
          <t>COVID-19 Vaccinations in the United States,County</t>
        </is>
      </c>
      <c r="B239" s="4" t="inlineStr">
        <is>
          <t>lead with no dates</t>
        </is>
      </c>
      <c r="C239" s="4" t="inlineStr">
        <is>
          <t>IISInfo</t>
        </is>
      </c>
      <c r="D239" s="4" t="inlineStr"/>
      <c r="E239" s="4" t="inlineStr">
        <is>
          <t>Catalog lead</t>
        </is>
      </c>
      <c r="F239" s="17" t="inlineStr">
        <is>
          <t>https://data.cdc.gov/d/8xkx-amqh</t>
        </is>
      </c>
      <c r="G239" s="4" t="inlineStr">
        <is>
          <t>co_datosgovco_data_covid_19_vaccinations_in_the_united_states_county</t>
        </is>
      </c>
    </row>
    <row r="240">
      <c r="A240" s="4" t="inlineStr">
        <is>
          <t>EMEP (The European Monitoring and Evaluation Programme) Air Quality monitoring sites</t>
        </is>
      </c>
      <c r="B240" s="4" t="inlineStr">
        <is>
          <t>lead with no dates</t>
        </is>
      </c>
      <c r="C240" s="4" t="inlineStr">
        <is>
          <t>Environmental Protection Agency</t>
        </is>
      </c>
      <c r="D240" s="4" t="inlineStr"/>
      <c r="E240" s="4" t="inlineStr">
        <is>
          <t>Catalog lead</t>
        </is>
      </c>
      <c r="F240" s="17" t="inlineStr">
        <is>
          <t>https://data.gov.ie/dataset/emep-the-european-monitoring-and-evaluation-programme-air-quality-monitoring-sites</t>
        </is>
      </c>
      <c r="G240" s="4" t="inlineStr">
        <is>
          <t>ie_datagovie_emep_the_european_monitoring_and_evaluation_programme_a</t>
        </is>
      </c>
    </row>
    <row r="241">
      <c r="A241" s="4" t="inlineStr">
        <is>
          <t>Full-service grocery stores</t>
        </is>
      </c>
      <c r="B241" s="4" t="inlineStr">
        <is>
          <t>lead with no dates</t>
        </is>
      </c>
      <c r="C241" s="4" t="inlineStr">
        <is>
          <t>Institut plánování a rozvoje hlavního města Prahy</t>
        </is>
      </c>
      <c r="D241" s="4" t="inlineStr"/>
      <c r="E241" s="4" t="inlineStr">
        <is>
          <t>Catalog lead</t>
        </is>
      </c>
      <c r="F241" s="17" t="inlineStr">
        <is>
          <t>https://data.europa.eu/data/datasets/https-api-opendata-praha-eu-lod-catalog-556f5b31-84b5-41df-ae1c-06ba9197f1b3</t>
        </is>
      </c>
      <c r="G241" s="4" t="inlineStr">
        <is>
          <t>eu_dataeuropa_full_service_grocery_stores</t>
        </is>
      </c>
    </row>
    <row r="242">
      <c r="A242" s="4" t="inlineStr">
        <is>
          <t>Global Biodiversity Information Facility (GBIF) Species Occurrences</t>
        </is>
      </c>
      <c r="B242" s="4" t="inlineStr">
        <is>
          <t>lead with no dates</t>
        </is>
      </c>
      <c r="C242" s="4" t="inlineStr">
        <is>
          <t>The Global Biodiversity Information Facility ([GBIF](https://www.gbif.org))</t>
        </is>
      </c>
      <c r="D242" s="4" t="inlineStr"/>
      <c r="E242" s="4" t="inlineStr">
        <is>
          <t>Catalog lead</t>
        </is>
      </c>
      <c r="F242" s="17" t="inlineStr">
        <is>
          <t>https://registry.opendata.aws/gbif/</t>
        </is>
      </c>
      <c r="G242" s="4" t="inlineStr">
        <is>
          <t>aws_gbif</t>
        </is>
      </c>
    </row>
    <row r="243">
      <c r="A243" s="4" t="inlineStr">
        <is>
          <t>Health facilities signed agreement for health care scheme (NSSF)</t>
        </is>
      </c>
      <c r="B243" s="4" t="inlineStr">
        <is>
          <t>lead with no dates</t>
        </is>
      </c>
      <c r="C243" s="4" t="inlineStr">
        <is>
          <t>Open Development Cambodia</t>
        </is>
      </c>
      <c r="D243" s="4" t="inlineStr"/>
      <c r="E243" s="4" t="inlineStr">
        <is>
          <t>Catalog lead</t>
        </is>
      </c>
      <c r="F243" s="17" t="inlineStr">
        <is>
          <t>https://data.opendevelopmentmekong.net/dataset/health-facilities-signed-agreement-for-health-care-scheme-nssf</t>
        </is>
      </c>
      <c r="G243" s="4" t="inlineStr">
        <is>
          <t>mekong_odm_health_facilities_signed_agreement_for_health_care_sche</t>
        </is>
      </c>
    </row>
    <row r="244">
      <c r="A244" s="4" t="inlineStr">
        <is>
          <t>Health facilities​ signed agreement for occupational risk scheme (NSSF)</t>
        </is>
      </c>
      <c r="B244" s="4" t="inlineStr">
        <is>
          <t>lead with no dates</t>
        </is>
      </c>
      <c r="C244" s="4" t="inlineStr">
        <is>
          <t>Open Development Cambodia</t>
        </is>
      </c>
      <c r="D244" s="4" t="inlineStr"/>
      <c r="E244" s="4" t="inlineStr">
        <is>
          <t>Catalog lead</t>
        </is>
      </c>
      <c r="F244" s="17" t="inlineStr">
        <is>
          <t>https://data.opendevelopmentmekong.net/dataset/health-facilities-nssf</t>
        </is>
      </c>
      <c r="G244" s="4" t="inlineStr">
        <is>
          <t>mekong_odm_health_facilities_signed_agreement_for_occupational_ris</t>
        </is>
      </c>
    </row>
    <row r="245">
      <c r="A245" s="4" t="inlineStr">
        <is>
          <t>Health Hospitals (HEALTH-001)</t>
        </is>
      </c>
      <c r="B245" s="4" t="inlineStr">
        <is>
          <t>lead with no dates</t>
        </is>
      </c>
      <c r="C245" s="4" t="inlineStr">
        <is>
          <t>Department of Health</t>
        </is>
      </c>
      <c r="D245" s="4" t="inlineStr"/>
      <c r="E245" s="4" t="inlineStr">
        <is>
          <t>Catalog lead</t>
        </is>
      </c>
      <c r="F245" s="17" t="inlineStr">
        <is>
          <t>https://data.gov.au/data/dataset/health-establishments</t>
        </is>
      </c>
      <c r="G245" s="4" t="inlineStr">
        <is>
          <t>au_datagovau_health_hospitals_health_001</t>
        </is>
      </c>
    </row>
    <row r="246">
      <c r="A246" s="4" t="inlineStr">
        <is>
          <t>INDUSTRIAL (IE), INDUSTRIAL (IPC) AND WASTE FACILITIES</t>
        </is>
      </c>
      <c r="B246" s="4" t="inlineStr">
        <is>
          <t>lead with no dates</t>
        </is>
      </c>
      <c r="C246" s="4" t="inlineStr">
        <is>
          <t>Environmental Protection Agency</t>
        </is>
      </c>
      <c r="D246" s="4" t="inlineStr"/>
      <c r="E246" s="4" t="inlineStr">
        <is>
          <t>Catalog lead</t>
        </is>
      </c>
      <c r="F246" s="17" t="inlineStr">
        <is>
          <t>https://data.gov.ie/dataset/industrial-ie-industrial-ipc-and-waste-facilities</t>
        </is>
      </c>
      <c r="G246" s="4" t="inlineStr">
        <is>
          <t>ie_datagovie_industrial_ie_industrial_ipc_and_waste_facilities</t>
        </is>
      </c>
    </row>
    <row r="247">
      <c r="A247" s="4" t="inlineStr">
        <is>
          <t>Industrial and Waste Emission Facilities</t>
        </is>
      </c>
      <c r="B247" s="4" t="inlineStr">
        <is>
          <t>lead with no dates</t>
        </is>
      </c>
      <c r="C247" s="4" t="inlineStr">
        <is>
          <t>Environmental Protection Agency</t>
        </is>
      </c>
      <c r="D247" s="4" t="inlineStr"/>
      <c r="E247" s="4" t="inlineStr">
        <is>
          <t>Catalog lead</t>
        </is>
      </c>
      <c r="F247" s="17" t="inlineStr">
        <is>
          <t>https://data.gov.ie/dataset/industrial-and-waste-emission-facilities</t>
        </is>
      </c>
      <c r="G247" s="4" t="inlineStr">
        <is>
          <t>ie_datagovie_industrial_and_waste_emission_facilities</t>
        </is>
      </c>
    </row>
    <row r="248">
      <c r="A248" s="4" t="inlineStr">
        <is>
          <t>Industrial Emissions (IE) and Integrated Pollution Control (IPC) Facilities</t>
        </is>
      </c>
      <c r="B248" s="4" t="inlineStr">
        <is>
          <t>lead with no dates</t>
        </is>
      </c>
      <c r="C248" s="4" t="inlineStr">
        <is>
          <t>Environmental Protection Agency</t>
        </is>
      </c>
      <c r="D248" s="4" t="inlineStr"/>
      <c r="E248" s="4" t="inlineStr">
        <is>
          <t>Catalog lead</t>
        </is>
      </c>
      <c r="F248" s="17" t="inlineStr">
        <is>
          <t>https://data.gov.ie/dataset/industrial-emissions-ie-and-integrated-pollution-control-ipc-facilities</t>
        </is>
      </c>
      <c r="G248" s="4" t="inlineStr">
        <is>
          <t>ie_datagovie_industrial_emissions_ie_and_integrated_pollution_contro</t>
        </is>
      </c>
    </row>
    <row r="249">
      <c r="A249" s="4" t="inlineStr">
        <is>
          <t>Industrial Emissions (IE) Facilities</t>
        </is>
      </c>
      <c r="B249" s="4" t="inlineStr">
        <is>
          <t>lead with no dates</t>
        </is>
      </c>
      <c r="C249" s="4" t="inlineStr">
        <is>
          <t>Environmental Protection Agency</t>
        </is>
      </c>
      <c r="D249" s="4" t="inlineStr"/>
      <c r="E249" s="4" t="inlineStr">
        <is>
          <t>Catalog lead</t>
        </is>
      </c>
      <c r="F249" s="17" t="inlineStr">
        <is>
          <t>https://data.gov.ie/dataset/industrial-emissions-ie-facilities</t>
        </is>
      </c>
      <c r="G249" s="4" t="inlineStr">
        <is>
          <t>ie_datagovie_industrial_emissions_ie_facilities</t>
        </is>
      </c>
    </row>
    <row r="250">
      <c r="A250" s="4" t="inlineStr">
        <is>
          <t>IPPC Facility Monitoring Points</t>
        </is>
      </c>
      <c r="B250" s="4" t="inlineStr">
        <is>
          <t>lead with no dates</t>
        </is>
      </c>
      <c r="C250" s="4" t="inlineStr">
        <is>
          <t>Environmental Protection Agency</t>
        </is>
      </c>
      <c r="D250" s="4" t="inlineStr"/>
      <c r="E250" s="4" t="inlineStr">
        <is>
          <t>Catalog lead</t>
        </is>
      </c>
      <c r="F250" s="17" t="inlineStr">
        <is>
          <t>https://data.gov.ie/dataset/ippc-facility-monitoring-points</t>
        </is>
      </c>
      <c r="G250" s="4" t="inlineStr">
        <is>
          <t>ie_datagovie_ippc_facility_monitoring_points</t>
        </is>
      </c>
    </row>
    <row r="251">
      <c r="A251" s="4" t="inlineStr">
        <is>
          <t>Licensed Waste Facilities</t>
        </is>
      </c>
      <c r="B251" s="4" t="inlineStr">
        <is>
          <t>lead with no dates</t>
        </is>
      </c>
      <c r="C251" s="4" t="inlineStr">
        <is>
          <t>Environmental Protection Agency</t>
        </is>
      </c>
      <c r="D251" s="4" t="inlineStr"/>
      <c r="E251" s="4" t="inlineStr">
        <is>
          <t>Catalog lead</t>
        </is>
      </c>
      <c r="F251" s="17" t="inlineStr">
        <is>
          <t>https://data.gov.ie/dataset/licensed-waste-facilities</t>
        </is>
      </c>
      <c r="G251" s="4" t="inlineStr">
        <is>
          <t>ie_datagovie_licensed_waste_facilities</t>
        </is>
      </c>
    </row>
    <row r="252">
      <c r="A252" s="4" t="inlineStr">
        <is>
          <t>List of Hospitals and Health Centres under MOHS</t>
        </is>
      </c>
      <c r="B252" s="4" t="inlineStr">
        <is>
          <t>lead with no dates</t>
        </is>
      </c>
      <c r="C252" s="4" t="inlineStr">
        <is>
          <t>Open Development Myanmar</t>
        </is>
      </c>
      <c r="D252" s="4" t="inlineStr"/>
      <c r="E252" s="4" t="inlineStr">
        <is>
          <t>Catalog lead</t>
        </is>
      </c>
      <c r="F252" s="17" t="inlineStr">
        <is>
          <t>https://data.opendevelopmentmekong.net/dataset/list-of-hospitals-and-health-centres-under-mohs</t>
        </is>
      </c>
      <c r="G252" s="4" t="inlineStr">
        <is>
          <t>mekong_odm_list_of_hospitals_and_health_centres_under_mohs</t>
        </is>
      </c>
    </row>
    <row r="253">
      <c r="A253" s="4" t="inlineStr">
        <is>
          <t>Major Roads for Noise Directive</t>
        </is>
      </c>
      <c r="B253" s="4" t="inlineStr">
        <is>
          <t>lead with no dates</t>
        </is>
      </c>
      <c r="C253" s="4" t="inlineStr">
        <is>
          <t>Planning Authority</t>
        </is>
      </c>
      <c r="D253" s="4" t="inlineStr"/>
      <c r="E253" s="4" t="inlineStr">
        <is>
          <t>Catalog lead</t>
        </is>
      </c>
      <c r="F253" s="17" t="inlineStr">
        <is>
          <t>https://data.europa.eu/data/datasets/6620d863-a055-4612-ab7a-87bc3c23771d</t>
        </is>
      </c>
      <c r="G253" s="4" t="inlineStr">
        <is>
          <t>eu_dataeuropa_major_roads_for_noise_directive</t>
        </is>
      </c>
    </row>
    <row r="254">
      <c r="A254" s="4" t="inlineStr">
        <is>
          <t>Markets Locations Vienna</t>
        </is>
      </c>
      <c r="B254" s="4" t="inlineStr">
        <is>
          <t>lead with no dates</t>
        </is>
      </c>
      <c r="C254" s="4" t="inlineStr">
        <is>
          <t>opendataportal.at</t>
        </is>
      </c>
      <c r="D254" s="4" t="inlineStr"/>
      <c r="E254" s="4" t="inlineStr">
        <is>
          <t>Catalog lead</t>
        </is>
      </c>
      <c r="F254" s="17" t="inlineStr">
        <is>
          <t>https://data.europa.eu/data/datasets/stadt-wien_wienermrktestandorte</t>
        </is>
      </c>
      <c r="G254" s="4" t="inlineStr">
        <is>
          <t>eu_dataeuropa_markets_locations_vienna</t>
        </is>
      </c>
    </row>
    <row r="255">
      <c r="A255" s="4" t="inlineStr">
        <is>
          <t>Met Office UK Deterministic (UKV)2km on a 2-year rolling archive</t>
        </is>
      </c>
      <c r="B255" s="4" t="inlineStr">
        <is>
          <t>lead with no dates</t>
        </is>
      </c>
      <c r="C255" s="4" t="inlineStr">
        <is>
          <t>[Met Office](https://www.metoffice.gov.uk/)</t>
        </is>
      </c>
      <c r="D255" s="4" t="inlineStr"/>
      <c r="E255" s="4" t="inlineStr">
        <is>
          <t>Catalog lead</t>
        </is>
      </c>
      <c r="F255" s="17" t="inlineStr">
        <is>
          <t>https://registry.opendata.aws/met-office-uk-deterministic/</t>
        </is>
      </c>
      <c r="G255" s="4" t="inlineStr">
        <is>
          <t>aws_met_office_uk_deterministic</t>
        </is>
      </c>
    </row>
    <row r="256">
      <c r="A256" s="4" t="inlineStr">
        <is>
          <t>Mid Ulster Council Parks Services Facilities</t>
        </is>
      </c>
      <c r="B256" s="4" t="inlineStr">
        <is>
          <t>lead with no dates</t>
        </is>
      </c>
      <c r="C256" s="4" t="inlineStr">
        <is>
          <t>OpenDataNI</t>
        </is>
      </c>
      <c r="D256" s="4" t="inlineStr"/>
      <c r="E256" s="4" t="inlineStr">
        <is>
          <t>Catalog lead</t>
        </is>
      </c>
      <c r="F256" s="17" t="inlineStr">
        <is>
          <t>https://data.europa.eu/data/datasets/mid-ulster-council-parks-services-facilities2</t>
        </is>
      </c>
      <c r="G256" s="4" t="inlineStr">
        <is>
          <t>eu_dataeuropa_mid_ulster_council_parks_services_facilities</t>
        </is>
      </c>
    </row>
    <row r="257">
      <c r="A257" s="4" t="inlineStr">
        <is>
          <t>Namur - Markets in Namur</t>
        </is>
      </c>
      <c r="B257" s="4" t="inlineStr">
        <is>
          <t>lead with no dates</t>
        </is>
      </c>
      <c r="C257" s="4" t="inlineStr">
        <is>
          <t>Stad Namen</t>
        </is>
      </c>
      <c r="D257" s="4" t="inlineStr"/>
      <c r="E257" s="4" t="inlineStr">
        <is>
          <t>Catalog lead</t>
        </is>
      </c>
      <c r="F257" s="17" t="inlineStr">
        <is>
          <t>https://data.europa.eu/data/datasets/https-www-odwb-be-explore-dataset-marchesnamurois-</t>
        </is>
      </c>
      <c r="G257" s="4" t="inlineStr">
        <is>
          <t>eu_dataeuropa_namur_markets_in_namur</t>
        </is>
      </c>
    </row>
    <row r="258">
      <c r="A258" s="4" t="inlineStr">
        <is>
          <t>National HealthDirect Health Facilities</t>
        </is>
      </c>
      <c r="B258" s="4" t="inlineStr">
        <is>
          <t>lead with no dates</t>
        </is>
      </c>
      <c r="C258" s="4" t="inlineStr">
        <is>
          <t>Geoscience Australia Data</t>
        </is>
      </c>
      <c r="D258" s="4" t="inlineStr"/>
      <c r="E258" s="4" t="inlineStr">
        <is>
          <t>Catalog lead</t>
        </is>
      </c>
      <c r="F258" s="17" t="inlineStr">
        <is>
          <t>https://data.gov.au/data/dataset/national-healthdirect-health-facilities</t>
        </is>
      </c>
      <c r="G258" s="4" t="inlineStr">
        <is>
          <t>au_datagovau_national_healthdirect_health_facilities</t>
        </is>
      </c>
    </row>
    <row r="259">
      <c r="A259" s="4" t="inlineStr">
        <is>
          <t>National HealthDirect Health Facilities WFS</t>
        </is>
      </c>
      <c r="B259" s="4" t="inlineStr">
        <is>
          <t>lead with no dates</t>
        </is>
      </c>
      <c r="C259" s="4" t="inlineStr">
        <is>
          <t>Geoscience Australia Data</t>
        </is>
      </c>
      <c r="D259" s="4" t="inlineStr"/>
      <c r="E259" s="4" t="inlineStr">
        <is>
          <t>Catalog lead</t>
        </is>
      </c>
      <c r="F259" s="17" t="inlineStr">
        <is>
          <t>https://data.gov.au/data/dataset/national-healthdirect-health-facilities-wfs</t>
        </is>
      </c>
      <c r="G259" s="4" t="inlineStr">
        <is>
          <t>au_datagovau_national_healthdirect_health_facilities_wfs</t>
        </is>
      </c>
    </row>
    <row r="260">
      <c r="A260" s="4" t="inlineStr">
        <is>
          <t>National HealthDirect Health Facilities WMS</t>
        </is>
      </c>
      <c r="B260" s="4" t="inlineStr">
        <is>
          <t>lead with no dates</t>
        </is>
      </c>
      <c r="C260" s="4" t="inlineStr">
        <is>
          <t>Geoscience Australia Data</t>
        </is>
      </c>
      <c r="D260" s="4" t="inlineStr"/>
      <c r="E260" s="4" t="inlineStr">
        <is>
          <t>Catalog lead</t>
        </is>
      </c>
      <c r="F260" s="17" t="inlineStr">
        <is>
          <t>https://data.gov.au/data/dataset/national-healthdirect-health-facilities-wms</t>
        </is>
      </c>
      <c r="G260" s="4" t="inlineStr">
        <is>
          <t>au_datagovau_national_healthdirect_health_facilities_wms</t>
        </is>
      </c>
    </row>
    <row r="261">
      <c r="A261" s="4" t="inlineStr">
        <is>
          <t>Revenus des Français à la commune</t>
        </is>
      </c>
      <c r="B261" s="4" t="inlineStr">
        <is>
          <t>lead with no dates</t>
        </is>
      </c>
      <c r="C261" s="4" t="inlineStr">
        <is>
          <t>Geoptis</t>
        </is>
      </c>
      <c r="D261" s="4" t="inlineStr"/>
      <c r="E261" s="4" t="inlineStr">
        <is>
          <t>Catalog lead</t>
        </is>
      </c>
      <c r="F261" s="17" t="inlineStr">
        <is>
          <t>https://www.data.gouv.fr/datasets/revenus-des-francais-a-la-commune</t>
        </is>
      </c>
      <c r="G261" s="4" t="inlineStr">
        <is>
          <t>fr_datagouv_revenus_des_fran_ais_la_commune</t>
        </is>
      </c>
    </row>
    <row r="262">
      <c r="A262" s="4" t="inlineStr">
        <is>
          <t>SA Private Hospitals</t>
        </is>
      </c>
      <c r="B262" s="4" t="inlineStr">
        <is>
          <t>lead with no dates</t>
        </is>
      </c>
      <c r="C262" s="4" t="inlineStr">
        <is>
          <t>SA Health</t>
        </is>
      </c>
      <c r="D262" s="4" t="inlineStr"/>
      <c r="E262" s="4" t="inlineStr">
        <is>
          <t>Catalog lead</t>
        </is>
      </c>
      <c r="F262" s="17" t="inlineStr">
        <is>
          <t>https://data.gov.au/data/dataset/sa-private-hospitals</t>
        </is>
      </c>
      <c r="G262" s="4" t="inlineStr">
        <is>
          <t>au_datagovau_sa_private_hospitals</t>
        </is>
      </c>
    </row>
    <row r="263">
      <c r="A263" s="4" t="inlineStr">
        <is>
          <t>SA Public Hospitals</t>
        </is>
      </c>
      <c r="B263" s="4" t="inlineStr">
        <is>
          <t>lead with no dates</t>
        </is>
      </c>
      <c r="C263" s="4" t="inlineStr">
        <is>
          <t>SA Health</t>
        </is>
      </c>
      <c r="D263" s="4" t="inlineStr"/>
      <c r="E263" s="4" t="inlineStr">
        <is>
          <t>Catalog lead</t>
        </is>
      </c>
      <c r="F263" s="17" t="inlineStr">
        <is>
          <t>https://data.gov.au/data/dataset/sa-public-hospitals</t>
        </is>
      </c>
      <c r="G263" s="4" t="inlineStr">
        <is>
          <t>au_datagovau_sa_public_hospitals</t>
        </is>
      </c>
    </row>
    <row r="264">
      <c r="A264" s="4" t="inlineStr">
        <is>
          <t>Social Markets Locations Vienna</t>
        </is>
      </c>
      <c r="B264" s="4" t="inlineStr">
        <is>
          <t>lead with no dates</t>
        </is>
      </c>
      <c r="C264" s="4" t="inlineStr">
        <is>
          <t>MA 14 - Automationsunterstützte Datenverarbeitung, Informations- und Kommunikationstechnologie</t>
        </is>
      </c>
      <c r="D264" s="4" t="inlineStr"/>
      <c r="E264" s="4" t="inlineStr">
        <is>
          <t>Catalog lead</t>
        </is>
      </c>
      <c r="F264" s="17" t="inlineStr">
        <is>
          <t>https://data.europa.eu/data/datasets/stadt-wien_sozialmrktestandortewien</t>
        </is>
      </c>
      <c r="G264" s="4" t="inlineStr">
        <is>
          <t>eu_dataeuropa_social_markets_locations_vienna</t>
        </is>
      </c>
    </row>
    <row r="265">
      <c r="A265" s="4" t="inlineStr">
        <is>
          <t>Tasmanian Public Health Facilities</t>
        </is>
      </c>
      <c r="B265" s="4" t="inlineStr">
        <is>
          <t>lead with no dates</t>
        </is>
      </c>
      <c r="C265" s="4" t="inlineStr">
        <is>
          <t>Tasmania Government's The List Data</t>
        </is>
      </c>
      <c r="D265" s="4" t="inlineStr"/>
      <c r="E265" s="4" t="inlineStr">
        <is>
          <t>Catalog lead</t>
        </is>
      </c>
      <c r="F265" s="17" t="inlineStr">
        <is>
          <t>https://data.gov.au/data/dataset/tasmanian-public-health-facilities</t>
        </is>
      </c>
      <c r="G265" s="4" t="inlineStr">
        <is>
          <t>au_datagovau_tasmanian_public_health_facilities</t>
        </is>
      </c>
    </row>
    <row r="266">
      <c r="A266" s="4" t="inlineStr">
        <is>
          <t>Waste Facility Boundaries</t>
        </is>
      </c>
      <c r="B266" s="4" t="inlineStr">
        <is>
          <t>lead with no dates</t>
        </is>
      </c>
      <c r="C266" s="4" t="inlineStr">
        <is>
          <t>Environmental Protection Agency</t>
        </is>
      </c>
      <c r="D266" s="4" t="inlineStr"/>
      <c r="E266" s="4" t="inlineStr">
        <is>
          <t>Catalog lead</t>
        </is>
      </c>
      <c r="F266" s="17" t="inlineStr">
        <is>
          <t>https://data.gov.ie/dataset/waste-facility-boundaries</t>
        </is>
      </c>
      <c r="G266" s="4" t="inlineStr">
        <is>
          <t>ie_datagovie_waste_facility_boundaries</t>
        </is>
      </c>
    </row>
    <row r="267">
      <c r="A267" s="4" t="inlineStr">
        <is>
          <t>Copernicus Data Space Ecosystem: Sentinel-1, Sentinel-2, Sentinel-3, Sentinel-5P (and Sentinel-6, contributing missions) data access</t>
        </is>
      </c>
      <c r="B267" s="4" t="inlineStr">
        <is>
          <t>no residence-health use</t>
        </is>
      </c>
      <c r="C267" s="4" t="inlineStr">
        <is>
          <t>European Union / ESA (Copernicus)</t>
        </is>
      </c>
      <c r="D267" s="4" t="inlineStr">
        <is>
          <t>current</t>
        </is>
      </c>
      <c r="E267" s="4" t="inlineStr">
        <is>
          <t>Curated</t>
        </is>
      </c>
      <c r="F267" s="17" t="inlineStr">
        <is>
          <t>https://dataspace.copernicus.eu/data-collections</t>
        </is>
      </c>
      <c r="G267" s="4" t="inlineStr">
        <is>
          <t>global_copernicus_data_space_sentinel</t>
        </is>
      </c>
    </row>
    <row r="268">
      <c r="A268" s="4" t="inlineStr">
        <is>
          <t>Copernicus Marine Service (CMEMS) ocean observation, reanalysis and forecast products</t>
        </is>
      </c>
      <c r="B268" s="4" t="inlineStr">
        <is>
          <t>no residence-health use</t>
        </is>
      </c>
      <c r="C268" s="4" t="inlineStr">
        <is>
          <t>Mercator Ocean International</t>
        </is>
      </c>
      <c r="D268" s="4" t="inlineStr">
        <is>
          <t>current</t>
        </is>
      </c>
      <c r="E268" s="4" t="inlineStr">
        <is>
          <t>Curated</t>
        </is>
      </c>
      <c r="F268" s="17" t="inlineStr">
        <is>
          <t>https://marine.copernicus.eu/about/producers</t>
        </is>
      </c>
      <c r="G268" s="4" t="inlineStr">
        <is>
          <t>global_copernicus_marine</t>
        </is>
      </c>
    </row>
    <row r="269">
      <c r="A269" s="4" t="inlineStr">
        <is>
          <t>Demographic, psychosocial and clinical factors associated with postpartum depression in Kenyan women</t>
        </is>
      </c>
      <c r="B269" s="4" t="inlineStr">
        <is>
          <t>no residence-health use</t>
        </is>
      </c>
      <c r="C269" s="4" t="inlineStr">
        <is>
          <t>APHRC</t>
        </is>
      </c>
      <c r="D269" s="4" t="n">
        <v>2012</v>
      </c>
      <c r="E269" s="4" t="inlineStr">
        <is>
          <t>Curated</t>
        </is>
      </c>
      <c r="F269" s="17" t="inlineStr">
        <is>
          <t>https://doi.org/10.1186/s12888-018-1904-7</t>
        </is>
      </c>
      <c r="G269" s="4" t="inlineStr">
        <is>
          <t>ke_aphrc_ppd_survey_2014</t>
        </is>
      </c>
    </row>
    <row r="270">
      <c r="A270" s="4" t="inlineStr">
        <is>
          <t>DHS GPS cluster data</t>
        </is>
      </c>
      <c r="B270" s="4" t="inlineStr">
        <is>
          <t>no residence-health use</t>
        </is>
      </c>
      <c r="C270" s="4" t="inlineStr">
        <is>
          <t>The DHS Program (USAID / ICF)</t>
        </is>
      </c>
      <c r="D270" s="4" t="inlineStr">
        <is>
          <t>current</t>
        </is>
      </c>
      <c r="E270" s="4" t="inlineStr">
        <is>
          <t>Curated</t>
        </is>
      </c>
      <c r="F270" s="17" t="inlineStr">
        <is>
          <t>https://dhsprogram.com/Methodology/GPS-Data.cfm</t>
        </is>
      </c>
      <c r="G270" s="4" t="inlineStr">
        <is>
          <t>global_dhs_gps_cluster_data</t>
        </is>
      </c>
    </row>
    <row r="271">
      <c r="A271" s="4" t="inlineStr">
        <is>
          <t>GHRSST Level 4 MUR Global Foundation Sea Surface Temperature Analysis (v4.1)</t>
        </is>
      </c>
      <c r="B271" s="4" t="inlineStr">
        <is>
          <t>no residence-health use</t>
        </is>
      </c>
      <c r="C271" s="4" t="inlineStr">
        <is>
          <t>NASA</t>
        </is>
      </c>
      <c r="D271" s="4" t="inlineStr">
        <is>
          <t>current</t>
        </is>
      </c>
      <c r="E271" s="4" t="inlineStr">
        <is>
          <t>Curated</t>
        </is>
      </c>
      <c r="F271" s="17" t="inlineStr">
        <is>
          <t>https://podaac.jpl.nasa.gov/dataset/MUR-JPL-L4-GLOB-v4.1</t>
        </is>
      </c>
      <c r="G271" s="4" t="inlineStr">
        <is>
          <t>global_nasa_podaac_mur_sst</t>
        </is>
      </c>
    </row>
    <row r="272">
      <c r="A272" s="4" t="inlineStr">
        <is>
          <t>GPM IMERG: Integrated Multi-satellitE Retrievals for GPM (Early/Late/Final Run, V07)</t>
        </is>
      </c>
      <c r="B272" s="4" t="inlineStr">
        <is>
          <t>no residence-health use</t>
        </is>
      </c>
      <c r="C272" s="4" t="inlineStr">
        <is>
          <t>NASA</t>
        </is>
      </c>
      <c r="D272" s="4" t="inlineStr">
        <is>
          <t>current</t>
        </is>
      </c>
      <c r="E272" s="4" t="inlineStr">
        <is>
          <t>Curated</t>
        </is>
      </c>
      <c r="F272" s="17" t="inlineStr">
        <is>
          <t>https://gpm.nasa.gov/data/imerg</t>
        </is>
      </c>
      <c r="G272" s="4" t="inlineStr">
        <is>
          <t>global_nasa_gpm_imerg</t>
        </is>
      </c>
    </row>
    <row r="273">
      <c r="A273" s="4" t="inlineStr">
        <is>
          <t>Harmonized global nighttime light dataset 1992-2021 (DMSP-OLS and VIIRS; Li, Zhou et al.)</t>
        </is>
      </c>
      <c r="B273" s="4" t="inlineStr">
        <is>
          <t>no residence-health use</t>
        </is>
      </c>
      <c r="C273" s="4" t="inlineStr">
        <is>
          <t>Li Xuecao et al. (China Agricultural University / University of Iowa)</t>
        </is>
      </c>
      <c r="D273" s="4" t="n">
        <v>2021</v>
      </c>
      <c r="E273" s="4" t="inlineStr">
        <is>
          <t>Curated</t>
        </is>
      </c>
      <c r="F273" s="17" t="inlineStr">
        <is>
          <t>https://figshare.com/articles/dataset/Harmonization_of_DMSP_and_VIIRS_nighttime_light_data_from_1992-2018_at_the_global_scale/9828827</t>
        </is>
      </c>
      <c r="G273" s="4" t="inlineStr">
        <is>
          <t>global_li_harmonized_nighttime_lights</t>
        </is>
      </c>
    </row>
    <row r="274">
      <c r="A274" s="4" t="inlineStr">
        <is>
          <t>Miami-Dade County 5000 Addresses Normalized (Random)</t>
        </is>
      </c>
      <c r="B274" s="4" t="inlineStr">
        <is>
          <t>no residence-health use</t>
        </is>
      </c>
      <c r="C274" s="4" t="inlineStr">
        <is>
          <t>University of Miami GDSC</t>
        </is>
      </c>
      <c r="D274" s="4" t="inlineStr"/>
      <c r="E274" s="4" t="inlineStr">
        <is>
          <t>Curated</t>
        </is>
      </c>
      <c r="F274" s="4" t="inlineStr"/>
      <c r="G274" s="4" t="inlineStr">
        <is>
          <t>gaia_mdc_5000_addresses_normalized</t>
        </is>
      </c>
    </row>
    <row r="275">
      <c r="A275" s="4" t="inlineStr">
        <is>
          <t>Miami-Dade Sex Offenders</t>
        </is>
      </c>
      <c r="B275" s="4" t="inlineStr">
        <is>
          <t>no residence-health use</t>
        </is>
      </c>
      <c r="C275" s="4" t="inlineStr">
        <is>
          <t>Miami Dade County</t>
        </is>
      </c>
      <c r="D275" s="4" t="inlineStr"/>
      <c r="E275" s="4" t="inlineStr">
        <is>
          <t>Curated</t>
        </is>
      </c>
      <c r="F275" s="17" t="inlineStr">
        <is>
          <t>https://gis-mdc.opendata.arcgis.com/datasets/MDC::sexual-predator/about</t>
        </is>
      </c>
      <c r="G275" s="4" t="inlineStr">
        <is>
          <t>us_mdc_sexual_predators</t>
        </is>
      </c>
    </row>
    <row r="276">
      <c r="A276" s="4" t="inlineStr">
        <is>
          <t>Natural Earth public domain map dataset (cultural, physical, raster; 1:10m, 1:50m, 1:110m)</t>
        </is>
      </c>
      <c r="B276" s="4" t="inlineStr">
        <is>
          <t>no residence-health use</t>
        </is>
      </c>
      <c r="C276" s="4" t="inlineStr">
        <is>
          <t>Natural Earth (volunteer collaboration supported by NACIS)</t>
        </is>
      </c>
      <c r="D276" s="4" t="inlineStr">
        <is>
          <t>current</t>
        </is>
      </c>
      <c r="E276" s="4" t="inlineStr">
        <is>
          <t>Curated</t>
        </is>
      </c>
      <c r="F276" s="17" t="inlineStr">
        <is>
          <t>https://www.naturalearthdata.com/</t>
        </is>
      </c>
      <c r="G276" s="4" t="inlineStr">
        <is>
          <t>global_natural_earth</t>
        </is>
      </c>
    </row>
    <row r="277">
      <c r="A277" s="4" t="inlineStr">
        <is>
          <t>Simulated census tract SES index for the OHDSI GIS benchmark</t>
        </is>
      </c>
      <c r="B277" s="4" t="inlineStr">
        <is>
          <t>no residence-health use</t>
        </is>
      </c>
      <c r="C277" s="4" t="inlineStr">
        <is>
          <t>OHDSI GIS Working Group</t>
        </is>
      </c>
      <c r="D277" s="4" t="n">
        <v>2019</v>
      </c>
      <c r="E277" s="4" t="inlineStr">
        <is>
          <t>Curated</t>
        </is>
      </c>
      <c r="F277" s="17" t="inlineStr">
        <is>
          <t>https://github.com/OHDSI/GIS/tree/main/syntheticDataGIS</t>
        </is>
      </c>
      <c r="G277" s="4" t="inlineStr">
        <is>
          <t>gaia_synthetic_tract_ses</t>
        </is>
      </c>
    </row>
    <row r="278">
      <c r="A278" s="4" t="inlineStr">
        <is>
          <t>Simulated county SES index for the OHDSI GIS tutorial</t>
        </is>
      </c>
      <c r="B278" s="4" t="inlineStr">
        <is>
          <t>no residence-health use</t>
        </is>
      </c>
      <c r="C278" s="4" t="inlineStr">
        <is>
          <t>OHDSI</t>
        </is>
      </c>
      <c r="D278" s="4" t="inlineStr"/>
      <c r="E278" s="4" t="inlineStr">
        <is>
          <t>Curated</t>
        </is>
      </c>
      <c r="F278" s="17" t="inlineStr">
        <is>
          <t>https://github.com/OHDSI/GIS/tree/main/syntheticDataGIS</t>
        </is>
      </c>
      <c r="G278" s="4" t="inlineStr">
        <is>
          <t>us_ohdsi_synthetic_county_ses</t>
        </is>
      </c>
    </row>
    <row r="279">
      <c r="A279" s="4" t="inlineStr">
        <is>
          <t>Simulated exposure surfaces (correlation length 100 m, 1 km, 10 km) for the OHDSI GIS benchmark</t>
        </is>
      </c>
      <c r="B279" s="4" t="inlineStr">
        <is>
          <t>no residence-health use</t>
        </is>
      </c>
      <c r="C279" s="4" t="inlineStr">
        <is>
          <t>OHDSI GIS Working Group</t>
        </is>
      </c>
      <c r="D279" s="4" t="n">
        <v>2019</v>
      </c>
      <c r="E279" s="4" t="inlineStr">
        <is>
          <t>Curated</t>
        </is>
      </c>
      <c r="F279" s="17" t="inlineStr">
        <is>
          <t>https://github.com/OHDSI/GIS/tree/main/syntheticDataGIS</t>
        </is>
      </c>
      <c r="G279" s="4" t="inlineStr">
        <is>
          <t>gaia_synthetic_surface</t>
        </is>
      </c>
    </row>
    <row r="280">
      <c r="A280" s="4" t="inlineStr">
        <is>
          <t>Simulated near-road exposure increment (distance bands)</t>
        </is>
      </c>
      <c r="B280" s="4" t="inlineStr">
        <is>
          <t>no residence-health use</t>
        </is>
      </c>
      <c r="C280" s="4" t="inlineStr">
        <is>
          <t>OHDSI GIS Working Group</t>
        </is>
      </c>
      <c r="D280" s="4" t="n">
        <v>2019</v>
      </c>
      <c r="E280" s="4" t="inlineStr">
        <is>
          <t>Curated</t>
        </is>
      </c>
      <c r="F280" s="17" t="inlineStr">
        <is>
          <t>https://github.com/OHDSI/GIS/tree/main/syntheticDataGIS</t>
        </is>
      </c>
      <c r="G280" s="4" t="inlineStr">
        <is>
          <t>gaia_synthetic_road_proximity</t>
        </is>
      </c>
    </row>
    <row r="281">
      <c r="A281" s="4" t="inlineStr">
        <is>
          <t>Plan de prévention des risques naturels (PPRN) de la commune d'Arvert - risque submersion marine - Charente-Maritime</t>
        </is>
      </c>
      <c r="B281" s="4" t="inlineStr">
        <is>
          <t>no residence-health use; lead that is context, not a direct exposure or determinant; lead with no dates</t>
        </is>
      </c>
      <c r="C281" s="4" t="inlineStr">
        <is>
          <t>Direction Départementale des Territoires et de la Mer de Charente-Maritime</t>
        </is>
      </c>
      <c r="D281" s="4" t="inlineStr"/>
      <c r="E281" s="4" t="inlineStr">
        <is>
          <t>Catalog lead</t>
        </is>
      </c>
      <c r="F281" s="17" t="inlineStr">
        <is>
          <t>https://www.data.gouv.fr/datasets/plan-de-prevention-des-risques-naturels-pprn-de-la-commune-darvert-risque-submersion-marine-charente-maritime</t>
        </is>
      </c>
      <c r="G281" s="4" t="inlineStr">
        <is>
          <t>fr_datagouv_plan_de_pr_vention_des_risques_naturels_pprn_de_la_comm</t>
        </is>
      </c>
    </row>
    <row r="282">
      <c r="A282" s="4" t="inlineStr">
        <is>
          <t>Climate Change Knowledge Portal (CCKP)</t>
        </is>
      </c>
      <c r="B282" s="4" t="inlineStr">
        <is>
          <t>portal, not a dataset</t>
        </is>
      </c>
      <c r="C282" s="4" t="inlineStr">
        <is>
          <t>World Bank Group</t>
        </is>
      </c>
      <c r="D282" s="4" t="inlineStr"/>
      <c r="E282" s="4" t="inlineStr">
        <is>
          <t>Curated</t>
        </is>
      </c>
      <c r="F282" s="17" t="inlineStr">
        <is>
          <t>https://climateknowledgeportal.worldbank.org/</t>
        </is>
      </c>
      <c r="G282" s="4" t="inlineStr">
        <is>
          <t>global_worldbank_cckp</t>
        </is>
      </c>
    </row>
    <row r="283">
      <c r="A283" s="4" t="inlineStr">
        <is>
          <t>data.europa.eu - The official portal for European data</t>
        </is>
      </c>
      <c r="B283" s="4" t="inlineStr">
        <is>
          <t>portal, not a dataset</t>
        </is>
      </c>
      <c r="C283" s="4" t="inlineStr">
        <is>
          <t>Publications Office of the European Union</t>
        </is>
      </c>
      <c r="D283" s="4" t="inlineStr">
        <is>
          <t>current</t>
        </is>
      </c>
      <c r="E283" s="4" t="inlineStr">
        <is>
          <t>Curated</t>
        </is>
      </c>
      <c r="F283" s="17" t="inlineStr">
        <is>
          <t>https://data.europa.eu/en</t>
        </is>
      </c>
      <c r="G283" s="4" t="inlineStr">
        <is>
          <t>eu_data_europa_eu</t>
        </is>
      </c>
    </row>
    <row r="284">
      <c r="A284" s="4" t="inlineStr">
        <is>
          <t>DHS Program Spatial Data Repository (SDR)</t>
        </is>
      </c>
      <c r="B284" s="4" t="inlineStr">
        <is>
          <t>portal, not a dataset</t>
        </is>
      </c>
      <c r="C284" s="4" t="inlineStr">
        <is>
          <t>The DHS Program (USAID / ICF)</t>
        </is>
      </c>
      <c r="D284" s="4" t="inlineStr">
        <is>
          <t>current</t>
        </is>
      </c>
      <c r="E284" s="4" t="inlineStr">
        <is>
          <t>Curated</t>
        </is>
      </c>
      <c r="F284" s="17" t="inlineStr">
        <is>
          <t>https://spatialdata.dhsprogram.com/home/</t>
        </is>
      </c>
      <c r="G284" s="4" t="inlineStr">
        <is>
          <t>global_dhs_spatial_data_repository</t>
        </is>
      </c>
    </row>
    <row r="285">
      <c r="A285" s="4" t="inlineStr">
        <is>
          <t>ESPON Database Portal</t>
        </is>
      </c>
      <c r="B285" s="4" t="inlineStr">
        <is>
          <t>portal, not a dataset</t>
        </is>
      </c>
      <c r="C285" s="4" t="inlineStr">
        <is>
          <t>ESPON EGTC</t>
        </is>
      </c>
      <c r="D285" s="4" t="inlineStr"/>
      <c r="E285" s="4" t="inlineStr">
        <is>
          <t>Curated</t>
        </is>
      </c>
      <c r="F285" s="17" t="inlineStr">
        <is>
          <t>https://database.espon.eu/</t>
        </is>
      </c>
      <c r="G285" s="4" t="inlineStr">
        <is>
          <t>eu_espon_database</t>
        </is>
      </c>
    </row>
    <row r="286">
      <c r="A286" s="4" t="inlineStr">
        <is>
          <t>Geoscience Australia data catalogue (eCat)</t>
        </is>
      </c>
      <c r="B286" s="4" t="inlineStr">
        <is>
          <t>portal, not a dataset</t>
        </is>
      </c>
      <c r="C286" s="4" t="inlineStr">
        <is>
          <t>Geoscience Australia</t>
        </is>
      </c>
      <c r="D286" s="4" t="inlineStr"/>
      <c r="E286" s="4" t="inlineStr">
        <is>
          <t>Curated</t>
        </is>
      </c>
      <c r="F286" s="17" t="inlineStr">
        <is>
          <t>https://ecat.ga.gov.au/geonetwork/</t>
        </is>
      </c>
      <c r="G286" s="4" t="inlineStr">
        <is>
          <t>au_ga_ecat</t>
        </is>
      </c>
    </row>
    <row r="287">
      <c r="A287" s="4" t="inlineStr">
        <is>
          <t>Mobility Database (GTFS, GTFS Realtime, GBFS feed catalog)</t>
        </is>
      </c>
      <c r="B287" s="4" t="inlineStr">
        <is>
          <t>portal, not a dataset</t>
        </is>
      </c>
      <c r="C287" s="4" t="inlineStr">
        <is>
          <t>MobilityData</t>
        </is>
      </c>
      <c r="D287" s="4" t="inlineStr">
        <is>
          <t>current</t>
        </is>
      </c>
      <c r="E287" s="4" t="inlineStr">
        <is>
          <t>Curated</t>
        </is>
      </c>
      <c r="F287" s="17" t="inlineStr">
        <is>
          <t>https://mobilitydatabase.org/</t>
        </is>
      </c>
      <c r="G287" s="4" t="inlineStr">
        <is>
          <t>global_mobilitydata_mobility_database</t>
        </is>
      </c>
    </row>
    <row r="288">
      <c r="A288" s="4" t="inlineStr">
        <is>
          <t>NCI Cancer Atlas (GIS Portal for Cancer Research)</t>
        </is>
      </c>
      <c r="B288" s="4" t="inlineStr">
        <is>
          <t>portal, not a dataset</t>
        </is>
      </c>
      <c r="C288" s="4" t="inlineStr">
        <is>
          <t>National Cancer Institute</t>
        </is>
      </c>
      <c r="D288" s="4" t="n">
        <v>2024</v>
      </c>
      <c r="E288" s="4" t="inlineStr">
        <is>
          <t>Curated</t>
        </is>
      </c>
      <c r="F288" s="17" t="inlineStr">
        <is>
          <t>https://gis.cancer.gov/</t>
        </is>
      </c>
      <c r="G288" s="4" t="inlineStr">
        <is>
          <t>us_nci_gis_portal_cancer_atlas</t>
        </is>
      </c>
    </row>
    <row r="289">
      <c r="A289" s="4" t="inlineStr">
        <is>
          <t>Open Geography Portal</t>
        </is>
      </c>
      <c r="B289" s="4" t="inlineStr">
        <is>
          <t>portal, not a dataset</t>
        </is>
      </c>
      <c r="C289" s="4" t="inlineStr">
        <is>
          <t>Office for National Statistics</t>
        </is>
      </c>
      <c r="D289" s="4" t="inlineStr">
        <is>
          <t>current</t>
        </is>
      </c>
      <c r="E289" s="4" t="inlineStr">
        <is>
          <t>Curated</t>
        </is>
      </c>
      <c r="F289" s="17" t="inlineStr">
        <is>
          <t>https://www.ons.gov.uk/methodology/geography/geographicalproducts/opengeography</t>
        </is>
      </c>
      <c r="G289" s="4" t="inlineStr">
        <is>
          <t>gb_ons_open_geography_portal</t>
        </is>
      </c>
    </row>
    <row r="290">
      <c r="A290" s="4" t="inlineStr">
        <is>
          <t>Open Government Portal (open.canada.ca)</t>
        </is>
      </c>
      <c r="B290" s="4" t="inlineStr">
        <is>
          <t>portal, not a dataset</t>
        </is>
      </c>
      <c r="C290" s="4" t="inlineStr">
        <is>
          <t>Government of Canada</t>
        </is>
      </c>
      <c r="D290" s="4" t="inlineStr"/>
      <c r="E290" s="4" t="inlineStr">
        <is>
          <t>Curated</t>
        </is>
      </c>
      <c r="F290" s="17" t="inlineStr">
        <is>
          <t>https://open.canada.ca/en/open-data</t>
        </is>
      </c>
      <c r="G290" s="4" t="inlineStr">
        <is>
          <t>ca_open_government_portal</t>
        </is>
      </c>
    </row>
    <row r="291">
      <c r="A291" s="4" t="inlineStr">
        <is>
          <t>Statistik Austria open data portal (data.statistik.gv.at) incl. population grids</t>
        </is>
      </c>
      <c r="B291" s="4" t="inlineStr">
        <is>
          <t>portal, not a dataset</t>
        </is>
      </c>
      <c r="C291" s="4" t="inlineStr">
        <is>
          <t>Statistik Austria</t>
        </is>
      </c>
      <c r="D291" s="4" t="n">
        <v>2025</v>
      </c>
      <c r="E291" s="4" t="inlineStr">
        <is>
          <t>Curated</t>
        </is>
      </c>
      <c r="F291" s="17" t="inlineStr">
        <is>
          <t>https://www.statistik.at/en/services/tools/data-access/open-data</t>
        </is>
      </c>
      <c r="G291" s="4" t="inlineStr">
        <is>
          <t>at_statistik_austria_open_data</t>
        </is>
      </c>
    </row>
    <row r="292">
      <c r="A292" s="4" t="inlineStr">
        <is>
          <t>Urban Institute Data Catalog (listing)</t>
        </is>
      </c>
      <c r="B292" s="4" t="inlineStr">
        <is>
          <t>portal, not a dataset</t>
        </is>
      </c>
      <c r="C292" s="4" t="inlineStr">
        <is>
          <t>Urban Institute</t>
        </is>
      </c>
      <c r="D292" s="4" t="inlineStr">
        <is>
          <t>current</t>
        </is>
      </c>
      <c r="E292" s="4" t="inlineStr">
        <is>
          <t>Curated</t>
        </is>
      </c>
      <c r="F292" s="17" t="inlineStr">
        <is>
          <t>https://datacatalog.urban.org/</t>
        </is>
      </c>
      <c r="G292" s="4" t="inlineStr">
        <is>
          <t>us_urban_institute_data_catalog</t>
        </is>
      </c>
    </row>
    <row r="293">
      <c r="A293" s="4" t="inlineStr">
        <is>
          <t>World Bank Data Catalog</t>
        </is>
      </c>
      <c r="B293" s="4" t="inlineStr">
        <is>
          <t>portal, not a dataset</t>
        </is>
      </c>
      <c r="C293" s="4" t="inlineStr">
        <is>
          <t>World Bank Group</t>
        </is>
      </c>
      <c r="D293" s="4" t="inlineStr"/>
      <c r="E293" s="4" t="inlineStr">
        <is>
          <t>Curated</t>
        </is>
      </c>
      <c r="F293" s="17" t="inlineStr">
        <is>
          <t>https://datacatalog.worldbank.org/home</t>
        </is>
      </c>
      <c r="G293" s="4" t="inlineStr">
        <is>
          <t>global_worldbank_data_catalog</t>
        </is>
      </c>
    </row>
    <row r="294">
      <c r="A294" s="4" t="inlineStr">
        <is>
          <t>World Environment Situation Room (WESR) / UNEP Data Catalogue</t>
        </is>
      </c>
      <c r="B294" s="4" t="inlineStr">
        <is>
          <t>portal, not a dataset</t>
        </is>
      </c>
      <c r="C294" s="4" t="inlineStr">
        <is>
          <t>United Nations Environment Programme</t>
        </is>
      </c>
      <c r="D294" s="4" t="inlineStr"/>
      <c r="E294" s="4" t="inlineStr">
        <is>
          <t>Curated</t>
        </is>
      </c>
      <c r="F294" s="17" t="inlineStr">
        <is>
          <t>https://wesr.unep.org/</t>
        </is>
      </c>
      <c r="G294" s="4" t="inlineStr">
        <is>
          <t>global_unep_wesr</t>
        </is>
      </c>
    </row>
    <row r="295">
      <c r="A295" s="4" t="inlineStr">
        <is>
          <t>Nepal Flood 2026 River Corridor, Bhote Koshi and Trishuli</t>
        </is>
      </c>
      <c r="B295" s="4" t="inlineStr">
        <is>
          <t>single event or one-off snapshot; lead that is context, not a direct exposure or determinant</t>
        </is>
      </c>
      <c r="C295" s="4" t="inlineStr">
        <is>
          <t>Humanitarian OpenStreetMap Team (HOT)</t>
        </is>
      </c>
      <c r="D295" s="4" t="n">
        <v>2026</v>
      </c>
      <c r="E295" s="4" t="inlineStr">
        <is>
          <t>Catalog lead</t>
        </is>
      </c>
      <c r="F295" s="17" t="inlineStr">
        <is>
          <t>https://data.humdata.org/dataset/hot_flood_npl_corridor</t>
        </is>
      </c>
      <c r="G295" s="4" t="inlineStr">
        <is>
          <t>hdx_nepal_flood_2026_river_corridor_bhote_koshi_and_trishul</t>
        </is>
      </c>
    </row>
    <row r="296">
      <c r="A296" s="4" t="inlineStr">
        <is>
          <t>Wildfire in Municipality of Koper, Slovenia (2022-08-10)</t>
        </is>
      </c>
      <c r="B296" s="4" t="inlineStr">
        <is>
          <t>single event or one-off snapshot; lead that is context, not a direct exposure or determinant</t>
        </is>
      </c>
      <c r="C296" s="4" t="inlineStr">
        <is>
          <t>Joint Research Centre</t>
        </is>
      </c>
      <c r="D296" s="4" t="n">
        <v>2022</v>
      </c>
      <c r="E296" s="4" t="inlineStr">
        <is>
          <t>Catalog lead</t>
        </is>
      </c>
      <c r="F296" s="17" t="inlineStr">
        <is>
          <t>https://data.europa.eu/data/datasets/a7dd937c-8d59-4e9d-8265-c54822ca9616</t>
        </is>
      </c>
      <c r="G296" s="4" t="inlineStr">
        <is>
          <t>eu_dataeuropa_wildfire_in_municipality_of_koper_slovenia_2022_08_10</t>
        </is>
      </c>
    </row>
    <row r="297">
      <c r="A297" s="4" t="inlineStr">
        <is>
          <t>Schools in flood-prone area 2013 (information 2012&amp;2014)</t>
        </is>
      </c>
      <c r="B297" s="4" t="inlineStr">
        <is>
          <t>single event or one-off snapshot; lead that is context, not a direct exposure or determinant; stale snapshot: lead ending 2014</t>
        </is>
      </c>
      <c r="C297" s="4" t="inlineStr">
        <is>
          <t>Open Development Cambodia</t>
        </is>
      </c>
      <c r="D297" s="4" t="n">
        <v>2014</v>
      </c>
      <c r="E297" s="4" t="inlineStr">
        <is>
          <t>Catalog lead</t>
        </is>
      </c>
      <c r="F297" s="17" t="inlineStr">
        <is>
          <t>https://data.opendevelopmentmekong.net/dataset/schools-in-flood-prone-area-2013</t>
        </is>
      </c>
      <c r="G297" s="4" t="inlineStr">
        <is>
          <t>mekong_odm_schools_in_flood_prone_area_2013_information_2012_2014</t>
        </is>
      </c>
    </row>
    <row r="298">
      <c r="A298" s="4" t="inlineStr">
        <is>
          <t>Flood Studies Update (FSU) Stations (gauged) 2025</t>
        </is>
      </c>
      <c r="B298" s="4" t="inlineStr">
        <is>
          <t>single event or one-off snapshot; unit guessed from a generic keyword; lead that is context, not a direct exposure or determinant</t>
        </is>
      </c>
      <c r="C298" s="4" t="inlineStr">
        <is>
          <t>Office of Public Works</t>
        </is>
      </c>
      <c r="D298" s="4" t="n">
        <v>2025</v>
      </c>
      <c r="E298" s="4" t="inlineStr">
        <is>
          <t>Catalog lead</t>
        </is>
      </c>
      <c r="F298" s="17" t="inlineStr">
        <is>
          <t>https://data.gov.ie/dataset/flood-studies-update-fsu-stations-gauged</t>
        </is>
      </c>
      <c r="G298" s="4" t="inlineStr">
        <is>
          <t>ie_datagovie_flood_studies_update_fsu_stations_gauged_2025</t>
        </is>
      </c>
    </row>
    <row r="299">
      <c r="A299" s="4" t="inlineStr">
        <is>
          <t>Wildfire in Harz region, Germany (2022-09-04)</t>
        </is>
      </c>
      <c r="B299" s="4" t="inlineStr">
        <is>
          <t>single event or one-off snapshot; unit guessed from a generic keyword; lead that is context, not a direct exposure or determinant</t>
        </is>
      </c>
      <c r="C299" s="4" t="inlineStr">
        <is>
          <t>Joint Research Centre</t>
        </is>
      </c>
      <c r="D299" s="4" t="n">
        <v>2022</v>
      </c>
      <c r="E299" s="4" t="inlineStr">
        <is>
          <t>Catalog lead</t>
        </is>
      </c>
      <c r="F299" s="17" t="inlineStr">
        <is>
          <t>https://data.europa.eu/data/datasets/f13536af-eca4-46a4-8125-bbe104a691cc</t>
        </is>
      </c>
      <c r="G299" s="4" t="inlineStr">
        <is>
          <t>eu_dataeuropa_wildfire_in_harz_region_germany_2022_09_04</t>
        </is>
      </c>
    </row>
    <row r="300">
      <c r="A300" s="4" t="inlineStr">
        <is>
          <t>Average Household Income by District</t>
        </is>
      </c>
      <c r="B300" s="4" t="inlineStr">
        <is>
          <t>single indicator table, no context; lead with no dates</t>
        </is>
      </c>
      <c r="C300" s="4" t="inlineStr">
        <is>
          <t>National Statistics Office</t>
        </is>
      </c>
      <c r="D300" s="4" t="inlineStr"/>
      <c r="E300" s="4" t="inlineStr">
        <is>
          <t>Catalog lead</t>
        </is>
      </c>
      <c r="F300" s="17" t="inlineStr">
        <is>
          <t>https://data.europa.eu/data/datasets/5eb001bb-a5a2-43da-88cb-15afe992660f</t>
        </is>
      </c>
      <c r="G300" s="4" t="inlineStr">
        <is>
          <t>eu_dataeuropa_average_household_income_by_district</t>
        </is>
      </c>
    </row>
    <row r="301">
      <c r="A301" s="4" t="inlineStr">
        <is>
          <t>Unemployment rate (15 to 74 years) by District</t>
        </is>
      </c>
      <c r="B301" s="4" t="inlineStr">
        <is>
          <t>single indicator table, no context; lead with no dates</t>
        </is>
      </c>
      <c r="C301" s="4" t="inlineStr">
        <is>
          <t>National Statistics Office</t>
        </is>
      </c>
      <c r="D301" s="4" t="inlineStr"/>
      <c r="E301" s="4" t="inlineStr">
        <is>
          <t>Catalog lead</t>
        </is>
      </c>
      <c r="F301" s="17" t="inlineStr">
        <is>
          <t>https://data.europa.eu/data/datasets/ac622fb1-6607-48cf-bef1-4c3fcf058e8e</t>
        </is>
      </c>
      <c r="G301" s="4" t="inlineStr">
        <is>
          <t>eu_dataeuropa_unemployment_rate_15_to_74_years_by_district</t>
        </is>
      </c>
    </row>
    <row r="302">
      <c r="A302" s="4" t="inlineStr">
        <is>
          <t>LBA-ECO LC-01 National, Provincial, and Park Boundaries, Ecuador</t>
        </is>
      </c>
      <c r="B302" s="4" t="inlineStr">
        <is>
          <t>stale snapshot: lead ending 2001</t>
        </is>
      </c>
      <c r="C302" s="4" t="inlineStr">
        <is>
          <t>NASA Earthdata</t>
        </is>
      </c>
      <c r="D302" s="4" t="n">
        <v>2001</v>
      </c>
      <c r="E302" s="4" t="inlineStr">
        <is>
          <t>Catalog lead</t>
        </is>
      </c>
      <c r="F302" s="17" t="inlineStr">
        <is>
          <t>https://cmr.earthdata.nasa.gov/search/concepts/C2779741852-ORNL_CLOUD.html</t>
        </is>
      </c>
      <c r="G302" s="4" t="inlineStr">
        <is>
          <t>nasa_cmr_lc01_boundaries_ecuador_1057</t>
        </is>
      </c>
    </row>
    <row r="303">
      <c r="A303" s="4" t="inlineStr">
        <is>
          <t>Health facilities in Cambodia (2010)</t>
        </is>
      </c>
      <c r="B303" s="4" t="inlineStr">
        <is>
          <t>stale snapshot: lead ending 2010</t>
        </is>
      </c>
      <c r="C303" s="4" t="inlineStr">
        <is>
          <t>Open Development Cambodia</t>
        </is>
      </c>
      <c r="D303" s="4" t="n">
        <v>2010</v>
      </c>
      <c r="E303" s="4" t="inlineStr">
        <is>
          <t>Catalog lead</t>
        </is>
      </c>
      <c r="F303" s="17" t="inlineStr">
        <is>
          <t>https://data.opendevelopmentmekong.net/dataset/health-facility-of-cambodia-2010</t>
        </is>
      </c>
      <c r="G303" s="4" t="inlineStr">
        <is>
          <t>mekong_odm_health_facilities_in_cambodia_2010</t>
        </is>
      </c>
    </row>
    <row r="304">
      <c r="A304" s="4" t="inlineStr">
        <is>
          <t>Uganda - Hospital based mortality for all ages</t>
        </is>
      </c>
      <c r="B304" s="4" t="inlineStr">
        <is>
          <t>stale snapshot: lead ending 2010</t>
        </is>
      </c>
      <c r="C304" s="4" t="inlineStr">
        <is>
          <t>openAFRICA (inactive)</t>
        </is>
      </c>
      <c r="D304" s="4" t="n">
        <v>2010</v>
      </c>
      <c r="E304" s="4" t="inlineStr">
        <is>
          <t>Catalog lead</t>
        </is>
      </c>
      <c r="F304" s="17" t="inlineStr">
        <is>
          <t>https://data.humdata.org/dataset/hospital-based-mortality-for-all-ages</t>
        </is>
      </c>
      <c r="G304" s="4" t="inlineStr">
        <is>
          <t>hdx_uganda_hospital_based_mortality_for_all_ages</t>
        </is>
      </c>
    </row>
    <row r="305">
      <c r="A305" s="4" t="inlineStr">
        <is>
          <t>Well locations in Cambodia (2010)</t>
        </is>
      </c>
      <c r="B305" s="4" t="inlineStr">
        <is>
          <t>stale snapshot: lead ending 2010</t>
        </is>
      </c>
      <c r="C305" s="4" t="inlineStr">
        <is>
          <t>Open Development Cambodia</t>
        </is>
      </c>
      <c r="D305" s="4" t="n">
        <v>2010</v>
      </c>
      <c r="E305" s="4" t="inlineStr">
        <is>
          <t>Catalog lead</t>
        </is>
      </c>
      <c r="F305" s="17" t="inlineStr">
        <is>
          <t>https://data.opendevelopmentmekong.net/dataset/well-locations-in-cambodia-2010</t>
        </is>
      </c>
      <c r="G305" s="4" t="inlineStr">
        <is>
          <t>mekong_odm_well_locations_in_cambodia_2010</t>
        </is>
      </c>
    </row>
    <row r="306">
      <c r="A306" s="4" t="inlineStr">
        <is>
          <t>Village distance to upper secondary schools in Cambodia (2013)</t>
        </is>
      </c>
      <c r="B306" s="4" t="inlineStr">
        <is>
          <t>stale snapshot: lead ending 2013</t>
        </is>
      </c>
      <c r="C306" s="4" t="inlineStr">
        <is>
          <t>Open Development Cambodia</t>
        </is>
      </c>
      <c r="D306" s="4" t="n">
        <v>2013</v>
      </c>
      <c r="E306" s="4" t="inlineStr">
        <is>
          <t>Catalog lead</t>
        </is>
      </c>
      <c r="F306" s="17" t="inlineStr">
        <is>
          <t>https://data.opendevelopmentmekong.net/dataset/map_distance_to_upper_secondary_schools</t>
        </is>
      </c>
      <c r="G306" s="4" t="inlineStr">
        <is>
          <t>mekong_odm_village_distance_to_upper_secondary_schools_in_cambodia</t>
        </is>
      </c>
    </row>
    <row r="307">
      <c r="A307" s="4" t="inlineStr">
        <is>
          <t>Zimbabwe: Health facilities</t>
        </is>
      </c>
      <c r="B307" s="4" t="inlineStr">
        <is>
          <t>stale snapshot: lead ending 2013</t>
        </is>
      </c>
      <c r="C307" s="4" t="inlineStr">
        <is>
          <t>OCHA Regional Office for Southern and Eastern Africa (ROSEA)</t>
        </is>
      </c>
      <c r="D307" s="4" t="n">
        <v>2013</v>
      </c>
      <c r="E307" s="4" t="inlineStr">
        <is>
          <t>Catalog lead</t>
        </is>
      </c>
      <c r="F307" s="17" t="inlineStr">
        <is>
          <t>https://data.humdata.org/dataset/zimbabwe-health-facilities</t>
        </is>
      </c>
      <c r="G307" s="4" t="inlineStr">
        <is>
          <t>hdx_zimbabwe_health_facilities</t>
        </is>
      </c>
    </row>
    <row r="308">
      <c r="A308" s="4" t="inlineStr">
        <is>
          <t>Ebola - West Africa - Ebola Treatment Centres, Isolation Wards Hospitals and Transit Centres</t>
        </is>
      </c>
      <c r="B308" s="4" t="inlineStr">
        <is>
          <t>stale snapshot: lead ending 2014</t>
        </is>
      </c>
      <c r="C308" s="4" t="inlineStr">
        <is>
          <t>British Red Cross Maps Team</t>
        </is>
      </c>
      <c r="D308" s="4" t="n">
        <v>2014</v>
      </c>
      <c r="E308" s="4" t="inlineStr">
        <is>
          <t>Catalog lead</t>
        </is>
      </c>
      <c r="F308" s="17" t="inlineStr">
        <is>
          <t>https://data.humdata.org/dataset/ebola-west-africa-ebola-treatment-centres-isolation-wards-hospitals-and-transit-centres</t>
        </is>
      </c>
      <c r="G308" s="4" t="inlineStr">
        <is>
          <t>hdx_ebola_west_africa_ebola_treatment_centres_isolation_war</t>
        </is>
      </c>
    </row>
    <row r="309">
      <c r="A309" s="4" t="inlineStr">
        <is>
          <t>Nepal - Number of hospitals in Nepal,2013</t>
        </is>
      </c>
      <c r="B309" s="4" t="inlineStr">
        <is>
          <t>stale snapshot: lead ending 2014</t>
        </is>
      </c>
      <c r="C309" s="4" t="inlineStr">
        <is>
          <t>OpenNepal (inactive)</t>
        </is>
      </c>
      <c r="D309" s="4" t="n">
        <v>2014</v>
      </c>
      <c r="E309" s="4" t="inlineStr">
        <is>
          <t>Catalog lead</t>
        </is>
      </c>
      <c r="F309" s="17" t="inlineStr">
        <is>
          <t>https://data.humdata.org/dataset/number-of-hospitals-in-nepal-2013</t>
        </is>
      </c>
      <c r="G309" s="4" t="inlineStr">
        <is>
          <t>hdx_nepal_number_of_hospitals_in_nepal_2013</t>
        </is>
      </c>
    </row>
    <row r="310">
      <c r="A310" s="4" t="inlineStr">
        <is>
          <t>Geoecology: County-Level Environmental Data for the United States, 1941-1981</t>
        </is>
      </c>
      <c r="B310" s="4" t="inlineStr">
        <is>
          <t>stale: latest year 1981; lead that is context, not a direct exposure or determinant</t>
        </is>
      </c>
      <c r="C310" s="4" t="inlineStr">
        <is>
          <t>NASA Earthdata</t>
        </is>
      </c>
      <c r="D310" s="4" t="n">
        <v>1981</v>
      </c>
      <c r="E310" s="4" t="inlineStr">
        <is>
          <t>Catalog lead</t>
        </is>
      </c>
      <c r="F310" s="17" t="inlineStr">
        <is>
          <t>https://cmr.earthdata.nasa.gov/search/concepts/C2761762895-ORNL_CLOUD.html</t>
        </is>
      </c>
      <c r="G310" s="4" t="inlineStr">
        <is>
          <t>nasa_cmr_geoecology_r1_656</t>
        </is>
      </c>
    </row>
    <row r="311">
      <c r="A311" s="4" t="inlineStr">
        <is>
          <t>China Dimensions Data Collection: Chinese County-Level Data on Hospitals and Epidemiology Stations, 1950-1985</t>
        </is>
      </c>
      <c r="B311" s="4" t="inlineStr">
        <is>
          <t>stale: latest year 1985</t>
        </is>
      </c>
      <c r="C311" s="4" t="inlineStr">
        <is>
          <t>NASA Earthdata</t>
        </is>
      </c>
      <c r="D311" s="4" t="n">
        <v>1985</v>
      </c>
      <c r="E311" s="4" t="inlineStr">
        <is>
          <t>Catalog lead</t>
        </is>
      </c>
      <c r="F311" s="17" t="inlineStr">
        <is>
          <t>https://cmr.earthdata.nasa.gov/search/concepts/C3540911070-ESDIS.html</t>
        </is>
      </c>
      <c r="G311" s="4" t="inlineStr">
        <is>
          <t>nasa_cmr_ciesin_sedac_cd_hos_epi_50_85</t>
        </is>
      </c>
    </row>
    <row r="312">
      <c r="A312" s="4" t="inlineStr">
        <is>
          <t>Opportunity Atlas</t>
        </is>
      </c>
      <c r="B312" s="4" t="inlineStr">
        <is>
          <t>stale: latest year 1989</t>
        </is>
      </c>
      <c r="C312" s="4" t="inlineStr">
        <is>
          <t>Opportunity Insights (Harvard University)</t>
        </is>
      </c>
      <c r="D312" s="4" t="n">
        <v>1989</v>
      </c>
      <c r="E312" s="4" t="inlineStr">
        <is>
          <t>Curated</t>
        </is>
      </c>
      <c r="F312" s="17" t="inlineStr">
        <is>
          <t>https://opportunityinsights.org/data/</t>
        </is>
      </c>
      <c r="G312" s="4" t="inlineStr">
        <is>
          <t>us_opportunity_insights_opportunity_atlas</t>
        </is>
      </c>
    </row>
    <row r="313">
      <c r="A313" s="4" t="inlineStr">
        <is>
          <t>High Mountain Asia Daily 5 km Downscaled SPEAR Precipitation and Air Temperature Projections V001</t>
        </is>
      </c>
      <c r="B313" s="4" t="inlineStr">
        <is>
          <t>stale: latest year 1990</t>
        </is>
      </c>
      <c r="C313" s="4" t="inlineStr">
        <is>
          <t>NASA Earthdata</t>
        </is>
      </c>
      <c r="D313" s="4" t="n">
        <v>1990</v>
      </c>
      <c r="E313" s="4" t="inlineStr">
        <is>
          <t>Catalog lead</t>
        </is>
      </c>
      <c r="F313" s="17" t="inlineStr">
        <is>
          <t>https://cmr.earthdata.nasa.gov/search/concepts/C3266793342-NSIDC_CPRD.html</t>
        </is>
      </c>
      <c r="G313" s="4" t="inlineStr">
        <is>
          <t>nasa_cmr_hma2_dspat</t>
        </is>
      </c>
    </row>
    <row r="314">
      <c r="A314" s="4" t="inlineStr">
        <is>
          <t>High Mountain Asia Daily 5km Landslide Hazard Indicator V001</t>
        </is>
      </c>
      <c r="B314" s="4" t="inlineStr">
        <is>
          <t>stale: latest year 1990; lead that is context, not a direct exposure or determinant</t>
        </is>
      </c>
      <c r="C314" s="4" t="inlineStr">
        <is>
          <t>NASA Earthdata</t>
        </is>
      </c>
      <c r="D314" s="4" t="n">
        <v>1990</v>
      </c>
      <c r="E314" s="4" t="inlineStr">
        <is>
          <t>Catalog lead</t>
        </is>
      </c>
      <c r="F314" s="17" t="inlineStr">
        <is>
          <t>https://cmr.earthdata.nasa.gov/search/concepts/C3266793968-NSIDC_CPRD.html</t>
        </is>
      </c>
      <c r="G314" s="4" t="inlineStr">
        <is>
          <t>nasa_cmr_hma2_lhi</t>
        </is>
      </c>
    </row>
    <row r="315">
      <c r="A315" s="4" t="inlineStr">
        <is>
          <t>LBA-ECO LC-24 Historical Roads of the Legal Amazon: 1968-1993</t>
        </is>
      </c>
      <c r="B315" s="4" t="inlineStr">
        <is>
          <t>stale: latest year 1993; lead that is context, not a direct exposure or determinant</t>
        </is>
      </c>
      <c r="C315" s="4" t="inlineStr">
        <is>
          <t>NASA Earthdata</t>
        </is>
      </c>
      <c r="D315" s="4" t="n">
        <v>1993</v>
      </c>
      <c r="E315" s="4" t="inlineStr">
        <is>
          <t>Catalog lead</t>
        </is>
      </c>
      <c r="F315" s="17" t="inlineStr">
        <is>
          <t>https://cmr.earthdata.nasa.gov/search/concepts/C2777853903-ORNL_CLOUD.html</t>
        </is>
      </c>
      <c r="G315" s="4" t="inlineStr">
        <is>
          <t>nasa_cmr_lc24_historical_roads_amazon_1043</t>
        </is>
      </c>
    </row>
    <row r="316">
      <c r="A316" s="4" t="inlineStr">
        <is>
          <t>Geologic Map Database of the El Mirage Lake Area, San Bernardino and Los Angeles Counties, California</t>
        </is>
      </c>
      <c r="B316" s="4" t="inlineStr">
        <is>
          <t>stale: latest year 1999; lead that is context, not a direct exposure or determinant</t>
        </is>
      </c>
      <c r="C316" s="4" t="inlineStr">
        <is>
          <t>NASA Earthdata</t>
        </is>
      </c>
      <c r="D316" s="4" t="n">
        <v>1999</v>
      </c>
      <c r="E316" s="4" t="inlineStr">
        <is>
          <t>Catalog lead</t>
        </is>
      </c>
      <c r="F316" s="17" t="inlineStr">
        <is>
          <t>https://cmr.earthdata.nasa.gov/search/concepts/C2231549328-CEOS_EXTRA.html</t>
        </is>
      </c>
      <c r="G316" s="4" t="inlineStr">
        <is>
          <t>nasa_cmr_usgs_ofr_00222</t>
        </is>
      </c>
    </row>
    <row r="317">
      <c r="A317" s="4" t="inlineStr">
        <is>
          <t>Exposome-Explorer</t>
        </is>
      </c>
      <c r="B317" s="4" t="inlineStr">
        <is>
          <t>tool, not a dataset</t>
        </is>
      </c>
      <c r="C317" s="4" t="inlineStr">
        <is>
          <t>International Agency for Research on Cancer (IARC/WHO)</t>
        </is>
      </c>
      <c r="D317" s="4" t="inlineStr"/>
      <c r="E317" s="4" t="inlineStr">
        <is>
          <t>Curated</t>
        </is>
      </c>
      <c r="F317" s="17" t="inlineStr">
        <is>
          <t>http://exposome-explorer.iarc.fr/</t>
        </is>
      </c>
      <c r="G317" s="4" t="inlineStr">
        <is>
          <t>fr_iarc_exposome_explorer</t>
        </is>
      </c>
    </row>
    <row r="318">
      <c r="A318" s="4" t="inlineStr">
        <is>
          <t>Global Burden of Disease (GBD) Results Tool</t>
        </is>
      </c>
      <c r="B318" s="4" t="inlineStr">
        <is>
          <t>tool, not a dataset</t>
        </is>
      </c>
      <c r="C318" s="4" t="inlineStr">
        <is>
          <t>Institute for Health Metrics and Evaluation (IHME)</t>
        </is>
      </c>
      <c r="D318" s="4" t="n">
        <v>2023</v>
      </c>
      <c r="E318" s="4" t="inlineStr">
        <is>
          <t>Curated</t>
        </is>
      </c>
      <c r="F318" s="17" t="inlineStr">
        <is>
          <t>https://vizhub.healthdata.org/gbd-results/</t>
        </is>
      </c>
      <c r="G318" s="4" t="inlineStr">
        <is>
          <t>global_ihme_gbd_results</t>
        </is>
      </c>
    </row>
    <row r="319">
      <c r="A319" s="4" t="inlineStr">
        <is>
          <t>HOT Export Tool</t>
        </is>
      </c>
      <c r="B319" s="4" t="inlineStr">
        <is>
          <t>tool, not a dataset</t>
        </is>
      </c>
      <c r="C319" s="4" t="inlineStr">
        <is>
          <t>Humanitarian OpenStreetMap Team</t>
        </is>
      </c>
      <c r="D319" s="4" t="inlineStr">
        <is>
          <t>current</t>
        </is>
      </c>
      <c r="E319" s="4" t="inlineStr">
        <is>
          <t>Curated</t>
        </is>
      </c>
      <c r="F319" s="17" t="inlineStr">
        <is>
          <t>https://export.hotosm.org/</t>
        </is>
      </c>
      <c r="G319" s="4" t="inlineStr">
        <is>
          <t>global_hot_export_tool</t>
        </is>
      </c>
    </row>
    <row r="320">
      <c r="A320" s="4" t="inlineStr">
        <is>
          <t>Mapping Medicare Disparities (MMD) Tool - Population View</t>
        </is>
      </c>
      <c r="B320" s="4" t="inlineStr">
        <is>
          <t>tool, not a dataset</t>
        </is>
      </c>
      <c r="C320" s="4" t="inlineStr">
        <is>
          <t>Centers for Medicare &amp; Medicaid Services</t>
        </is>
      </c>
      <c r="D320" s="4" t="n">
        <v>2022</v>
      </c>
      <c r="E320" s="4" t="inlineStr">
        <is>
          <t>Curated</t>
        </is>
      </c>
      <c r="F320" s="17" t="inlineStr">
        <is>
          <t>https://data.cms.gov/tools/mapping-medicare-disparities-by-population</t>
        </is>
      </c>
      <c r="G320" s="4" t="inlineStr">
        <is>
          <t>us_cms_mapping_medicare_disparities</t>
        </is>
      </c>
    </row>
    <row r="321">
      <c r="A321" s="4" t="inlineStr">
        <is>
          <t>National Environmental Public Health Tracking Network Data Explorer and API</t>
        </is>
      </c>
      <c r="B321" s="4" t="inlineStr">
        <is>
          <t>tool, not a dataset</t>
        </is>
      </c>
      <c r="C321" s="4" t="inlineStr">
        <is>
          <t>CDC</t>
        </is>
      </c>
      <c r="D321" s="4" t="inlineStr"/>
      <c r="E321" s="4" t="inlineStr">
        <is>
          <t>Curated</t>
        </is>
      </c>
      <c r="F321" s="17" t="inlineStr">
        <is>
          <t>https://www.cdc.gov/environmental-health-tracking/php/data-research/index.html</t>
        </is>
      </c>
      <c r="G321" s="4" t="inlineStr">
        <is>
          <t>us_cdc_ephtn_data_explorer</t>
        </is>
      </c>
    </row>
    <row r="322">
      <c r="A322" s="4" t="inlineStr">
        <is>
          <t>National Pipeline Mapping System (NPMS) - Public Map Viewer and PIMMA</t>
        </is>
      </c>
      <c r="B322" s="4" t="inlineStr">
        <is>
          <t>tool, not a dataset</t>
        </is>
      </c>
      <c r="C322" s="4" t="inlineStr">
        <is>
          <t>US DOT</t>
        </is>
      </c>
      <c r="D322" s="4" t="inlineStr">
        <is>
          <t>current</t>
        </is>
      </c>
      <c r="E322" s="4" t="inlineStr">
        <is>
          <t>Curated</t>
        </is>
      </c>
      <c r="F322" s="17" t="inlineStr">
        <is>
          <t>https://www.npms.phmsa.dot.gov/</t>
        </is>
      </c>
      <c r="G322" s="4" t="inlineStr">
        <is>
          <t>us_phmsa_npms_pipelines</t>
        </is>
      </c>
    </row>
    <row r="323">
      <c r="A323" s="4" t="inlineStr">
        <is>
          <t>Social Explorer</t>
        </is>
      </c>
      <c r="B323" s="4" t="inlineStr">
        <is>
          <t>tool, not a dataset</t>
        </is>
      </c>
      <c r="C323" s="4" t="inlineStr">
        <is>
          <t>Social Explorer, Inc.</t>
        </is>
      </c>
      <c r="D323" s="4" t="inlineStr">
        <is>
          <t>current</t>
        </is>
      </c>
      <c r="E323" s="4" t="inlineStr">
        <is>
          <t>Curated</t>
        </is>
      </c>
      <c r="F323" s="17" t="inlineStr">
        <is>
          <t>https://www.socialexplorer.com/</t>
        </is>
      </c>
      <c r="G323" s="4" t="inlineStr">
        <is>
          <t>us_socialexplorer</t>
        </is>
      </c>
    </row>
    <row r="324">
      <c r="A324" s="4" t="inlineStr">
        <is>
          <t>The Climate Explorer (U.S. Climate Resilience Toolkit)</t>
        </is>
      </c>
      <c r="B324" s="4" t="inlineStr">
        <is>
          <t>tool, not a dataset</t>
        </is>
      </c>
      <c r="C324" s="4" t="inlineStr">
        <is>
          <t>NOAA</t>
        </is>
      </c>
      <c r="D324" s="4" t="inlineStr"/>
      <c r="E324" s="4" t="inlineStr">
        <is>
          <t>Curated</t>
        </is>
      </c>
      <c r="F324" s="17" t="inlineStr">
        <is>
          <t>https://crt-climate-explorer.nemac.org/</t>
        </is>
      </c>
      <c r="G324" s="4" t="inlineStr">
        <is>
          <t>us_noaa_climate_explorer</t>
        </is>
      </c>
    </row>
    <row r="325">
      <c r="A325" s="4" t="inlineStr">
        <is>
          <t>The Global Fund Data Explorer</t>
        </is>
      </c>
      <c r="B325" s="4" t="inlineStr">
        <is>
          <t>tool, not a dataset</t>
        </is>
      </c>
      <c r="C325" s="4" t="inlineStr">
        <is>
          <t>The Global Fund</t>
        </is>
      </c>
      <c r="D325" s="4" t="inlineStr">
        <is>
          <t>current</t>
        </is>
      </c>
      <c r="E325" s="4" t="inlineStr">
        <is>
          <t>Curated</t>
        </is>
      </c>
      <c r="F325" s="17" t="inlineStr">
        <is>
          <t>https://data.theglobalfund.org/</t>
        </is>
      </c>
      <c r="G325" s="4" t="inlineStr">
        <is>
          <t>global_globalfund_data_explorer</t>
        </is>
      </c>
    </row>
    <row r="326">
      <c r="A326" s="4" t="inlineStr">
        <is>
          <t>UDS Mapper</t>
        </is>
      </c>
      <c r="B326" s="4" t="inlineStr">
        <is>
          <t>tool, not a dataset</t>
        </is>
      </c>
      <c r="C326" s="4" t="inlineStr">
        <is>
          <t>Health Resources and Services Administration</t>
        </is>
      </c>
      <c r="D326" s="4" t="inlineStr"/>
      <c r="E326" s="4" t="inlineStr">
        <is>
          <t>Curated</t>
        </is>
      </c>
      <c r="F326" s="17" t="inlineStr">
        <is>
          <t>https://www.graham-center.org/maps-data-tools/uds-mapper.html</t>
        </is>
      </c>
      <c r="G326" s="4" t="inlineStr">
        <is>
          <t>us_hrsa_uds_mapper</t>
        </is>
      </c>
    </row>
    <row r="327">
      <c r="A327" s="4" t="inlineStr">
        <is>
          <t>Administrative Boundary Viewer (2025)</t>
        </is>
      </c>
      <c r="B327" s="4" t="inlineStr">
        <is>
          <t>tool, not a dataset; lead that is context, not a direct exposure or determinant</t>
        </is>
      </c>
      <c r="C327" s="4" t="inlineStr">
        <is>
          <t>Office for National Statistics</t>
        </is>
      </c>
      <c r="D327" s="4" t="n">
        <v>2025</v>
      </c>
      <c r="E327" s="4" t="inlineStr">
        <is>
          <t>Catalog lead</t>
        </is>
      </c>
      <c r="F327" s="17" t="inlineStr">
        <is>
          <t>https://ckan.publishing.service.gov.uk/dataset/administrative-boundary-viewer-2025</t>
        </is>
      </c>
      <c r="G327" s="4" t="inlineStr">
        <is>
          <t>gb_datagovuk_administrative_boundary_viewer_2025</t>
        </is>
      </c>
    </row>
    <row r="328">
      <c r="A328" s="4" t="inlineStr">
        <is>
          <t>Forest Road (polygons) Licence Application Spatial Extract from DAFM Forestry Licence Viewer</t>
        </is>
      </c>
      <c r="B328" s="4" t="inlineStr">
        <is>
          <t>tool, not a dataset; lead with no dates</t>
        </is>
      </c>
      <c r="C328" s="4" t="inlineStr">
        <is>
          <t>Department of Agriculture, Food and the Marine</t>
        </is>
      </c>
      <c r="D328" s="4" t="inlineStr"/>
      <c r="E328" s="4" t="inlineStr">
        <is>
          <t>Catalog lead</t>
        </is>
      </c>
      <c r="F328" s="17" t="inlineStr">
        <is>
          <t>https://data.gov.ie/dataset/forest-road-polygons-licence-application-spatial-extract-from-dafm-forestry-licence-viewer</t>
        </is>
      </c>
      <c r="G328" s="4" t="inlineStr">
        <is>
          <t>ie_datagovie_forest_road_polygons_licence_application_spatial_extrac</t>
        </is>
      </c>
    </row>
    <row r="329">
      <c r="A329" s="4" t="inlineStr">
        <is>
          <t>Archive_Superficial water quality monitoring stations of the department of Haute Savoie 2015-2017</t>
        </is>
      </c>
      <c r="B329" s="4" t="inlineStr">
        <is>
          <t>unit guessed from a generic keyword</t>
        </is>
      </c>
      <c r="C329" s="4" t="inlineStr">
        <is>
          <t>Conseil Départemental de la Haute-Savoie</t>
        </is>
      </c>
      <c r="D329" s="4" t="n">
        <v>2017</v>
      </c>
      <c r="E329" s="4" t="inlineStr">
        <is>
          <t>Catalog lead</t>
        </is>
      </c>
      <c r="F329" s="17" t="inlineStr">
        <is>
          <t>https://data.europa.eu/data/datasets/66978fe1b41f977486548d91</t>
        </is>
      </c>
      <c r="G329" s="4" t="inlineStr">
        <is>
          <t>eu_dataeuropa_archive_superficial_water_quality_monitoring_stations_o</t>
        </is>
      </c>
    </row>
    <row r="330">
      <c r="A330" s="4" t="inlineStr">
        <is>
          <t>Water Point Data Exchange (MWI)</t>
        </is>
      </c>
      <c r="B330" s="4" t="inlineStr">
        <is>
          <t>unit guessed from a generic keyword</t>
        </is>
      </c>
      <c r="C330" s="4" t="inlineStr">
        <is>
          <t>Water Point Data Exchange</t>
        </is>
      </c>
      <c r="D330" s="4" t="n">
        <v>2022</v>
      </c>
      <c r="E330" s="4" t="inlineStr">
        <is>
          <t>Catalog lead</t>
        </is>
      </c>
      <c r="F330" s="17" t="inlineStr">
        <is>
          <t>https://data.humdata.org/dataset/wpdx_mwi</t>
        </is>
      </c>
      <c r="G330" s="4" t="inlineStr">
        <is>
          <t>hdx_water_point_data_exchange_mwi</t>
        </is>
      </c>
    </row>
    <row r="331">
      <c r="A331" s="4" t="inlineStr">
        <is>
          <t>2016 Census Road Network File</t>
        </is>
      </c>
      <c r="B331" s="4" t="inlineStr">
        <is>
          <t>unit guessed from a generic keyword; lead that is context, not a direct exposure or determinant</t>
        </is>
      </c>
      <c r="C331" s="4" t="inlineStr">
        <is>
          <t>Statistics Canada | Statistique Canada</t>
        </is>
      </c>
      <c r="D331" s="4" t="n">
        <v>2016</v>
      </c>
      <c r="E331" s="4" t="inlineStr">
        <is>
          <t>Catalog lead</t>
        </is>
      </c>
      <c r="F331" s="17" t="inlineStr">
        <is>
          <t>https://open.canada.ca/data/dataset/57d5ffae-3048-4a19-9b4c-eab12f6322c5</t>
        </is>
      </c>
      <c r="G331" s="4" t="inlineStr">
        <is>
          <t>ca_opencanada_2016_census_road_network_file</t>
        </is>
      </c>
    </row>
    <row r="332">
      <c r="A332" s="4" t="inlineStr">
        <is>
          <t>2020 Census Demographic and Housing Characteristics (DHC) Noisy Measurement File</t>
        </is>
      </c>
      <c r="B332" s="4" t="inlineStr">
        <is>
          <t>unit guessed from a generic keyword; lead that is context, not a direct exposure or determinant</t>
        </is>
      </c>
      <c r="C332" s="4" t="inlineStr">
        <is>
          <t>[United States Census Bureau](http://www.census.gov/)</t>
        </is>
      </c>
      <c r="D332" s="4" t="n">
        <v>2020</v>
      </c>
      <c r="E332" s="4" t="inlineStr">
        <is>
          <t>Catalog lead</t>
        </is>
      </c>
      <c r="F332" s="17" t="inlineStr">
        <is>
          <t>https://registry.opendata.aws/census-2020-dhc-nmf/</t>
        </is>
      </c>
      <c r="G332" s="4" t="inlineStr">
        <is>
          <t>aws_census_2020_dhc_nmf</t>
        </is>
      </c>
    </row>
    <row r="333">
      <c r="A333" s="4" t="inlineStr">
        <is>
          <t>2020 Census Redistricting Data (P.L. 94-171) Noisy Measurement File</t>
        </is>
      </c>
      <c r="B333" s="4" t="inlineStr">
        <is>
          <t>unit guessed from a generic keyword; lead that is context, not a direct exposure or determinant</t>
        </is>
      </c>
      <c r="C333" s="4" t="inlineStr">
        <is>
          <t>[United States Census Bureau](http://www.census.gov/)</t>
        </is>
      </c>
      <c r="D333" s="4" t="n">
        <v>2020</v>
      </c>
      <c r="E333" s="4" t="inlineStr">
        <is>
          <t>Catalog lead</t>
        </is>
      </c>
      <c r="F333" s="17" t="inlineStr">
        <is>
          <t>https://registry.opendata.aws/census-2020-pl94-nmf/</t>
        </is>
      </c>
      <c r="G333" s="4" t="inlineStr">
        <is>
          <t>aws_census_2020_pl94_nmf</t>
        </is>
      </c>
    </row>
    <row r="334">
      <c r="A334" s="4" t="inlineStr">
        <is>
          <t>Automated detection of invasive alien plants along highways</t>
        </is>
      </c>
      <c r="B334" s="4" t="inlineStr">
        <is>
          <t>unit guessed from a generic keyword; lead that is context, not a direct exposure or determinant</t>
        </is>
      </c>
      <c r="C334" s="4" t="inlineStr">
        <is>
          <t>NASA Earthdata</t>
        </is>
      </c>
      <c r="D334" s="4" t="n">
        <v>2020</v>
      </c>
      <c r="E334" s="4" t="inlineStr">
        <is>
          <t>Catalog lead</t>
        </is>
      </c>
      <c r="F334" s="17" t="inlineStr">
        <is>
          <t>https://cmr.earthdata.nasa.gov/search/concepts/C3383774720-ENVIDAT.html</t>
        </is>
      </c>
      <c r="G334" s="4" t="inlineStr">
        <is>
          <t>nasa_cmr_automated_detection_of_invasive_alien_plants_along_high</t>
        </is>
      </c>
    </row>
    <row r="335">
      <c r="A335" s="4" t="inlineStr">
        <is>
          <t>Bangladesh : Population and Housing Census Dataset</t>
        </is>
      </c>
      <c r="B335" s="4" t="inlineStr">
        <is>
          <t>unit guessed from a generic keyword; lead that is context, not a direct exposure or determinant</t>
        </is>
      </c>
      <c r="C335" s="4" t="inlineStr">
        <is>
          <t>UN in Bangladesh</t>
        </is>
      </c>
      <c r="D335" s="4" t="n">
        <v>2022</v>
      </c>
      <c r="E335" s="4" t="inlineStr">
        <is>
          <t>Catalog lead</t>
        </is>
      </c>
      <c r="F335" s="17" t="inlineStr">
        <is>
          <t>https://data.humdata.org/dataset/populationa-and-housing-census-dataset</t>
        </is>
      </c>
      <c r="G335" s="4" t="inlineStr">
        <is>
          <t>hdx_bangladesh_population_and_housing_census_dataset</t>
        </is>
      </c>
    </row>
    <row r="336">
      <c r="A336" s="4" t="inlineStr">
        <is>
          <t>China, Hong Kong Special Administrative Region: Planet Road Surface, Width, and Passability Data</t>
        </is>
      </c>
      <c r="B336" s="4" t="inlineStr">
        <is>
          <t>unit guessed from a generic keyword; lead that is context, not a direct exposure or determinant</t>
        </is>
      </c>
      <c r="C336" s="4" t="inlineStr">
        <is>
          <t>HeiGIT (Heidelberg Institute for Geoinformation Technology)</t>
        </is>
      </c>
      <c r="D336" s="4" t="n">
        <v>2024</v>
      </c>
      <c r="E336" s="4" t="inlineStr">
        <is>
          <t>Catalog lead</t>
        </is>
      </c>
      <c r="F336" s="17" t="inlineStr">
        <is>
          <t>https://data.humdata.org/dataset/china-hong-kong-special-administrative-region-planet-road-surface-data</t>
        </is>
      </c>
      <c r="G336" s="4" t="inlineStr">
        <is>
          <t>hdx_china_hong_kong_special_administrative_region_planet_ro</t>
        </is>
      </c>
    </row>
    <row r="337">
      <c r="A337" s="4" t="inlineStr">
        <is>
          <t>Estimating Confidence Intervals for 2020 Census Statistics Using Approximate Monte Carlo Simulation (2010 Census Proof of Concept)</t>
        </is>
      </c>
      <c r="B337" s="4" t="inlineStr">
        <is>
          <t>unit guessed from a generic keyword; lead that is context, not a direct exposure or determinant</t>
        </is>
      </c>
      <c r="C337" s="4" t="inlineStr">
        <is>
          <t>[United States Census Bureau](http://www.census.gov/)</t>
        </is>
      </c>
      <c r="D337" s="4" t="n">
        <v>2020</v>
      </c>
      <c r="E337" s="4" t="inlineStr">
        <is>
          <t>Catalog lead</t>
        </is>
      </c>
      <c r="F337" s="17" t="inlineStr">
        <is>
          <t>https://registry.opendata.aws/census-2010-amc-mdf-replicates/</t>
        </is>
      </c>
      <c r="G337" s="4" t="inlineStr">
        <is>
          <t>aws_census_2010_amc_mdf_replicates</t>
        </is>
      </c>
    </row>
    <row r="338">
      <c r="A338" s="4" t="inlineStr">
        <is>
          <t>European Electoral Regions (December 2017) Boundaries UK BGC</t>
        </is>
      </c>
      <c r="B338" s="4" t="inlineStr">
        <is>
          <t>unit guessed from a generic keyword; lead that is context, not a direct exposure or determinant</t>
        </is>
      </c>
      <c r="C338" s="4" t="inlineStr">
        <is>
          <t>Office for National Statistics</t>
        </is>
      </c>
      <c r="D338" s="4" t="n">
        <v>2017</v>
      </c>
      <c r="E338" s="4" t="inlineStr">
        <is>
          <t>Catalog lead</t>
        </is>
      </c>
      <c r="F338" s="17" t="inlineStr">
        <is>
          <t>https://ckan.publishing.service.gov.uk/dataset/european-electoral-regions-december-2017-boundaries-uk-bgc</t>
        </is>
      </c>
      <c r="G338" s="4" t="inlineStr">
        <is>
          <t>gb_datagovuk_european_electoral_regions_december_2017_boundaries_uk</t>
        </is>
      </c>
    </row>
    <row r="339">
      <c r="A339" s="4" t="inlineStr">
        <is>
          <t>IGAD Region - Dekadal Combined Drought Indicator (CDI) 2025</t>
        </is>
      </c>
      <c r="B339" s="4" t="inlineStr">
        <is>
          <t>unit guessed from a generic keyword; lead that is context, not a direct exposure or determinant</t>
        </is>
      </c>
      <c r="C339" s="4" t="inlineStr">
        <is>
          <t>IGAD Climate Prediction and Applications Center (ICPAC)</t>
        </is>
      </c>
      <c r="D339" s="4" t="n">
        <v>2025</v>
      </c>
      <c r="E339" s="4" t="inlineStr">
        <is>
          <t>Catalog lead</t>
        </is>
      </c>
      <c r="F339" s="17" t="inlineStr">
        <is>
          <t>https://data.humdata.org/dataset/igad-region-dekadal-combined-drought-indicator-cdi-2025</t>
        </is>
      </c>
      <c r="G339" s="4" t="inlineStr">
        <is>
          <t>hdx_igad_region_dekadal_combined_drought_indicator_cdi_2025</t>
        </is>
      </c>
    </row>
    <row r="340">
      <c r="A340" s="4" t="inlineStr">
        <is>
          <t>Japan Prefectures, 3D Point Cloud Data</t>
        </is>
      </c>
      <c r="B340" s="4" t="inlineStr">
        <is>
          <t>unit guessed from a generic keyword; lead that is context, not a direct exposure or determinant</t>
        </is>
      </c>
      <c r="C340" s="4" t="inlineStr">
        <is>
          <t>[AIGID](https://aigid.jp/)</t>
        </is>
      </c>
      <c r="D340" s="4" t="inlineStr">
        <is>
          <t>current</t>
        </is>
      </c>
      <c r="E340" s="4" t="inlineStr">
        <is>
          <t>Catalog lead</t>
        </is>
      </c>
      <c r="F340" s="17" t="inlineStr">
        <is>
          <t>https://registry.opendata.aws/japan_pointcloud/</t>
        </is>
      </c>
      <c r="G340" s="4" t="inlineStr">
        <is>
          <t>aws_japan_pointcloud</t>
        </is>
      </c>
    </row>
    <row r="341">
      <c r="A341" s="4" t="inlineStr">
        <is>
          <t>Kanagawa, 3D Point Cloud Data</t>
        </is>
      </c>
      <c r="B341" s="4" t="inlineStr">
        <is>
          <t>unit guessed from a generic keyword; lead that is context, not a direct exposure or determinant</t>
        </is>
      </c>
      <c r="C341" s="4" t="inlineStr">
        <is>
          <t>[AIGID](https://aigid.jp/)</t>
        </is>
      </c>
      <c r="D341" s="4" t="inlineStr">
        <is>
          <t>current</t>
        </is>
      </c>
      <c r="E341" s="4" t="inlineStr">
        <is>
          <t>Catalog lead</t>
        </is>
      </c>
      <c r="F341" s="17" t="inlineStr">
        <is>
          <t>https://registry.opendata.aws/kanagawa_pointcloud/</t>
        </is>
      </c>
      <c r="G341" s="4" t="inlineStr">
        <is>
          <t>aws_kanagawa_pointcloud</t>
        </is>
      </c>
    </row>
    <row r="342">
      <c r="A342" s="4" t="inlineStr">
        <is>
          <t>Malawi - Population and Housing Census 2018</t>
        </is>
      </c>
      <c r="B342" s="4" t="inlineStr">
        <is>
          <t>unit guessed from a generic keyword; lead that is context, not a direct exposure or determinant</t>
        </is>
      </c>
      <c r="C342" s="4" t="inlineStr">
        <is>
          <t>Health Cluster</t>
        </is>
      </c>
      <c r="D342" s="4" t="n">
        <v>2018</v>
      </c>
      <c r="E342" s="4" t="inlineStr">
        <is>
          <t>Catalog lead</t>
        </is>
      </c>
      <c r="F342" s="17" t="inlineStr">
        <is>
          <t>https://data.humdata.org/dataset/malawi-population-and-housing-census-2018</t>
        </is>
      </c>
      <c r="G342" s="4" t="inlineStr">
        <is>
          <t>hdx_malawi_population_and_housing_census_2018</t>
        </is>
      </c>
    </row>
    <row r="343">
      <c r="A343" s="4" t="inlineStr">
        <is>
          <t>Philippines - Population by Single-Year Age, Sex and Admin4(Barangay), Census 2020</t>
        </is>
      </c>
      <c r="B343" s="4" t="inlineStr">
        <is>
          <t>unit guessed from a generic keyword; lead that is context, not a direct exposure or determinant</t>
        </is>
      </c>
      <c r="C343" s="4" t="inlineStr">
        <is>
          <t>OCHA Philippines</t>
        </is>
      </c>
      <c r="D343" s="4" t="n">
        <v>2023</v>
      </c>
      <c r="E343" s="4" t="inlineStr">
        <is>
          <t>Catalog lead</t>
        </is>
      </c>
      <c r="F343" s="17" t="inlineStr">
        <is>
          <t>https://data.humdata.org/dataset/popn-single-year-age-sex-and-barangay-census-2020</t>
        </is>
      </c>
      <c r="G343" s="4" t="inlineStr">
        <is>
          <t>hdx_philippines_population_by_single_year_age_sex_and_admin</t>
        </is>
      </c>
    </row>
    <row r="344">
      <c r="A344" s="4" t="inlineStr">
        <is>
          <t>Philippines 2015 Census Population by Admin4(Barangay)</t>
        </is>
      </c>
      <c r="B344" s="4" t="inlineStr">
        <is>
          <t>unit guessed from a generic keyword; lead that is context, not a direct exposure or determinant</t>
        </is>
      </c>
      <c r="C344" s="4" t="inlineStr">
        <is>
          <t>OCHA Philippines</t>
        </is>
      </c>
      <c r="D344" s="4" t="n">
        <v>2020</v>
      </c>
      <c r="E344" s="4" t="inlineStr">
        <is>
          <t>Catalog lead</t>
        </is>
      </c>
      <c r="F344" s="17" t="inlineStr">
        <is>
          <t>https://data.humdata.org/dataset/philippines-2015-census-population-admin4-single-age</t>
        </is>
      </c>
      <c r="G344" s="4" t="inlineStr">
        <is>
          <t>hdx_philippines_2015_census_population_by_admin4_barangay</t>
        </is>
      </c>
    </row>
    <row r="345">
      <c r="A345" s="4" t="inlineStr">
        <is>
          <t>Population and Housing Census 2021 – Housing</t>
        </is>
      </c>
      <c r="B345" s="4" t="inlineStr">
        <is>
          <t>unit guessed from a generic keyword; lead that is context, not a direct exposure or determinant</t>
        </is>
      </c>
      <c r="C345" s="4" t="inlineStr">
        <is>
          <t>Valstybės duomenų agentūra</t>
        </is>
      </c>
      <c r="D345" s="4" t="n">
        <v>2021</v>
      </c>
      <c r="E345" s="4" t="inlineStr">
        <is>
          <t>Catalog lead</t>
        </is>
      </c>
      <c r="F345" s="17" t="inlineStr">
        <is>
          <t>https://data.europa.eu/data/datasets/https-data-gov-lt-datasets-3051-</t>
        </is>
      </c>
      <c r="G345" s="4" t="inlineStr">
        <is>
          <t>eu_dataeuropa_population_and_housing_census_2021_housing</t>
        </is>
      </c>
    </row>
    <row r="346">
      <c r="A346" s="4" t="inlineStr">
        <is>
          <t>Population and Housing Census 2021 – Population</t>
        </is>
      </c>
      <c r="B346" s="4" t="inlineStr">
        <is>
          <t>unit guessed from a generic keyword; lead that is context, not a direct exposure or determinant</t>
        </is>
      </c>
      <c r="C346" s="4" t="inlineStr">
        <is>
          <t>Valstybės duomenų agentūra</t>
        </is>
      </c>
      <c r="D346" s="4" t="n">
        <v>2021</v>
      </c>
      <c r="E346" s="4" t="inlineStr">
        <is>
          <t>Catalog lead</t>
        </is>
      </c>
      <c r="F346" s="17" t="inlineStr">
        <is>
          <t>https://data.europa.eu/data/datasets/https-data-gov-lt-datasets-3052-</t>
        </is>
      </c>
      <c r="G346" s="4" t="inlineStr">
        <is>
          <t>eu_dataeuropa_population_and_housing_census_2021_population</t>
        </is>
      </c>
    </row>
    <row r="347">
      <c r="A347" s="4" t="inlineStr">
        <is>
          <t>Population for AD MEP (2021 Census)</t>
        </is>
      </c>
      <c r="B347" s="4" t="inlineStr">
        <is>
          <t>unit guessed from a generic keyword; lead that is context, not a direct exposure or determinant</t>
        </is>
      </c>
      <c r="C347" s="4" t="inlineStr">
        <is>
          <t>Český statistický úřad</t>
        </is>
      </c>
      <c r="D347" s="4" t="n">
        <v>2021</v>
      </c>
      <c r="E347" s="4" t="inlineStr">
        <is>
          <t>Catalog lead</t>
        </is>
      </c>
      <c r="F347" s="17" t="inlineStr">
        <is>
          <t>https://data.europa.eu/data/datasets/https-geodata-csu-gov-cz-as-odsdatovyportalapi-api-lod-catalog-ebacea0f-bf0b-4042-a528-1910c66a7444</t>
        </is>
      </c>
      <c r="G347" s="4" t="inlineStr">
        <is>
          <t>eu_dataeuropa_population_for_ad_mep_2021_census</t>
        </is>
      </c>
    </row>
    <row r="348">
      <c r="A348" s="4" t="inlineStr">
        <is>
          <t>Population for kilometre grids - Population grid (2021 Census)</t>
        </is>
      </c>
      <c r="B348" s="4" t="inlineStr">
        <is>
          <t>unit guessed from a generic keyword; lead that is context, not a direct exposure or determinant</t>
        </is>
      </c>
      <c r="C348" s="4" t="inlineStr">
        <is>
          <t>Český statistický úřad</t>
        </is>
      </c>
      <c r="D348" s="4" t="n">
        <v>2021</v>
      </c>
      <c r="E348" s="4" t="inlineStr">
        <is>
          <t>Catalog lead</t>
        </is>
      </c>
      <c r="F348" s="17" t="inlineStr">
        <is>
          <t>https://data.europa.eu/data/datasets/https-geodata-csu-gov-cz-as-odsdatovyportalapi-api-lod-catalog-c2cb74ff-d7ce-4c22-85ce-723b23d913bd</t>
        </is>
      </c>
      <c r="G348" s="4" t="inlineStr">
        <is>
          <t>eu_dataeuropa_population_for_kilometre_grids_population_grid_2021_cen</t>
        </is>
      </c>
    </row>
    <row r="349">
      <c r="A349" s="4" t="inlineStr">
        <is>
          <t>Population for Regions (2021 Census)</t>
        </is>
      </c>
      <c r="B349" s="4" t="inlineStr">
        <is>
          <t>unit guessed from a generic keyword; lead that is context, not a direct exposure or determinant</t>
        </is>
      </c>
      <c r="C349" s="4" t="inlineStr">
        <is>
          <t>Český statistický úřad</t>
        </is>
      </c>
      <c r="D349" s="4" t="n">
        <v>2021</v>
      </c>
      <c r="E349" s="4" t="inlineStr">
        <is>
          <t>Catalog lead</t>
        </is>
      </c>
      <c r="F349" s="17" t="inlineStr">
        <is>
          <t>https://data.europa.eu/data/datasets/https-geodata-csu-gov-cz-as-odsdatovyportalapi-api-lod-catalog-3ea9e230-2f66-4a89-8e9a-4f87b4f30e6b</t>
        </is>
      </c>
      <c r="G349" s="4" t="inlineStr">
        <is>
          <t>eu_dataeuropa_population_for_regions_2021_census</t>
        </is>
      </c>
    </row>
    <row r="350">
      <c r="A350" s="4" t="inlineStr">
        <is>
          <t>South Polar Skua Population Census</t>
        </is>
      </c>
      <c r="B350" s="4" t="inlineStr">
        <is>
          <t>unit guessed from a generic keyword; lead that is context, not a direct exposure or determinant</t>
        </is>
      </c>
      <c r="C350" s="4" t="inlineStr">
        <is>
          <t>NASA Earthdata</t>
        </is>
      </c>
      <c r="D350" s="4" t="inlineStr">
        <is>
          <t>current</t>
        </is>
      </c>
      <c r="E350" s="4" t="inlineStr">
        <is>
          <t>Catalog lead</t>
        </is>
      </c>
      <c r="F350" s="17" t="inlineStr">
        <is>
          <t>https://cmr.earthdata.nasa.gov/search/concepts/C1214598501-SCIOPS.html</t>
        </is>
      </c>
      <c r="G350" s="4" t="inlineStr">
        <is>
          <t>nasa_cmr_k121_2011_2012_nz_1</t>
        </is>
      </c>
    </row>
    <row r="351">
      <c r="A351" s="4" t="inlineStr">
        <is>
          <t>Syria: Infrastructure Maps (Power line / Water Way Dam /Highway)</t>
        </is>
      </c>
      <c r="B351" s="4" t="inlineStr">
        <is>
          <t>unit guessed from a generic keyword; lead that is context, not a direct exposure or determinant</t>
        </is>
      </c>
      <c r="C351" s="4" t="inlineStr">
        <is>
          <t>OCHA Syria</t>
        </is>
      </c>
      <c r="D351" s="4" t="n">
        <v>2020</v>
      </c>
      <c r="E351" s="4" t="inlineStr">
        <is>
          <t>Catalog lead</t>
        </is>
      </c>
      <c r="F351" s="17" t="inlineStr">
        <is>
          <t>https://data.humdata.org/dataset/syria-infrastructure-maps-power-line-water-way-dam-highway-shapefiles</t>
        </is>
      </c>
      <c r="G351" s="4" t="inlineStr">
        <is>
          <t>hdx_syria_infrastructure_maps_power_line_water_way_dam_high</t>
        </is>
      </c>
    </row>
    <row r="352">
      <c r="A352" s="4" t="inlineStr">
        <is>
          <t>A region-wide, multi-year set of crop field boundary labels for Africa</t>
        </is>
      </c>
      <c r="B352" s="4" t="inlineStr">
        <is>
          <t>unit guessed from a generic keyword; lead that is context, not a direct exposure or determinant; lead with no dates</t>
        </is>
      </c>
      <c r="C352" s="4" t="inlineStr">
        <is>
          <t>[The Agricultural Impacts Research Group](https://agroimpacts.info/)</t>
        </is>
      </c>
      <c r="D352" s="4" t="inlineStr"/>
      <c r="E352" s="4" t="inlineStr">
        <is>
          <t>Catalog lead</t>
        </is>
      </c>
      <c r="F352" s="17" t="inlineStr">
        <is>
          <t>https://registry.opendata.aws/africa-field-boundary-labels/</t>
        </is>
      </c>
      <c r="G352" s="4" t="inlineStr">
        <is>
          <t>aws_africa_field_boundary_labels</t>
        </is>
      </c>
    </row>
    <row r="353">
      <c r="A353" s="4" t="inlineStr">
        <is>
          <t>Average Annual Daily Traffic (AADT) Counts at Point Locations on the DTI Highway Network</t>
        </is>
      </c>
      <c r="B353" s="4" t="inlineStr">
        <is>
          <t>unit guessed from a generic keyword; lead that is context, not a direct exposure or determinant; lead with no dates</t>
        </is>
      </c>
      <c r="C353" s="4" t="inlineStr">
        <is>
          <t>Government of New Brunswick | Gouvernement du Nouveau-Brunswick</t>
        </is>
      </c>
      <c r="D353" s="4" t="inlineStr"/>
      <c r="E353" s="4" t="inlineStr">
        <is>
          <t>Catalog lead</t>
        </is>
      </c>
      <c r="F353" s="17" t="inlineStr">
        <is>
          <t>https://open.canada.ca/data/dataset/7d99f548-b36d-3b82-bb7f-36c7fff71baa</t>
        </is>
      </c>
      <c r="G353" s="4" t="inlineStr">
        <is>
          <t>ca_opencanada_average_annual_daily_traffic_aadt_counts_at_point_locat</t>
        </is>
      </c>
    </row>
    <row r="354">
      <c r="A354" s="4" t="inlineStr">
        <is>
          <t>Bicycle Infrastructure Network</t>
        </is>
      </c>
      <c r="B354" s="4" t="inlineStr">
        <is>
          <t>unit guessed from a generic keyword; lead that is context, not a direct exposure or determinant; lead with no dates</t>
        </is>
      </c>
      <c r="C354" s="4" t="inlineStr">
        <is>
          <t>Department of Transport and Planning</t>
        </is>
      </c>
      <c r="D354" s="4" t="inlineStr"/>
      <c r="E354" s="4" t="inlineStr">
        <is>
          <t>Catalog lead</t>
        </is>
      </c>
      <c r="F354" s="17" t="inlineStr">
        <is>
          <t>https://data.gov.au/data/dataset/bicycle-infrastructure-network</t>
        </is>
      </c>
      <c r="G354" s="4" t="inlineStr">
        <is>
          <t>au_datagovau_bicycle_infrastructure_network</t>
        </is>
      </c>
    </row>
    <row r="355">
      <c r="A355" s="4" t="inlineStr">
        <is>
          <t>Bicycle network</t>
        </is>
      </c>
      <c r="B355" s="4" t="inlineStr">
        <is>
          <t>unit guessed from a generic keyword; lead that is context, not a direct exposure or determinant; lead with no dates</t>
        </is>
      </c>
      <c r="C355" s="4" t="inlineStr">
        <is>
          <t>Government and Municipalities of Québec | Gouvernement et municipalités du Québec</t>
        </is>
      </c>
      <c r="D355" s="4" t="inlineStr"/>
      <c r="E355" s="4" t="inlineStr">
        <is>
          <t>Catalog lead</t>
        </is>
      </c>
      <c r="F355" s="17" t="inlineStr">
        <is>
          <t>https://open.canada.ca/data/dataset/7e359f54-b8d7-45aa-abaa-2f2135ad05f1</t>
        </is>
      </c>
      <c r="G355" s="4" t="inlineStr">
        <is>
          <t>ca_opencanada_bicycle_network</t>
        </is>
      </c>
    </row>
    <row r="356">
      <c r="A356" s="4" t="inlineStr">
        <is>
          <t>Bicycle network - Saint-Hyacinthe</t>
        </is>
      </c>
      <c r="B356" s="4" t="inlineStr">
        <is>
          <t>unit guessed from a generic keyword; lead that is context, not a direct exposure or determinant; lead with no dates</t>
        </is>
      </c>
      <c r="C356" s="4" t="inlineStr">
        <is>
          <t>Government and Municipalities of Québec | Gouvernement et municipalités du Québec</t>
        </is>
      </c>
      <c r="D356" s="4" t="inlineStr"/>
      <c r="E356" s="4" t="inlineStr">
        <is>
          <t>Catalog lead</t>
        </is>
      </c>
      <c r="F356" s="17" t="inlineStr">
        <is>
          <t>https://open.canada.ca/data/dataset/012a76fd-d682-49cd-974a-21d8737997a8</t>
        </is>
      </c>
      <c r="G356" s="4" t="inlineStr">
        <is>
          <t>ca_opencanada_bicycle_network_saint_hyacinthe</t>
        </is>
      </c>
    </row>
    <row r="357">
      <c r="A357" s="4" t="inlineStr">
        <is>
          <t>Climate Projections for the National Capital Region Report</t>
        </is>
      </c>
      <c r="B357" s="4" t="inlineStr">
        <is>
          <t>unit guessed from a generic keyword; lead that is context, not a direct exposure or determinant; lead with no dates</t>
        </is>
      </c>
      <c r="C357" s="4" t="inlineStr">
        <is>
          <t>National Capital Commission | Commission de la capitale nationale</t>
        </is>
      </c>
      <c r="D357" s="4" t="inlineStr"/>
      <c r="E357" s="4" t="inlineStr">
        <is>
          <t>Catalog lead</t>
        </is>
      </c>
      <c r="F357" s="17" t="inlineStr">
        <is>
          <t>https://open.canada.ca/data/dataset/ecffe357-d8bc-4712-b8d9-11b7ccaffa71</t>
        </is>
      </c>
      <c r="G357" s="4" t="inlineStr">
        <is>
          <t>ca_opencanada_climate_projections_for_the_national_capital_region_rep</t>
        </is>
      </c>
    </row>
    <row r="358">
      <c r="A358" s="4" t="inlineStr">
        <is>
          <t>Cycling network</t>
        </is>
      </c>
      <c r="B358" s="4" t="inlineStr">
        <is>
          <t>unit guessed from a generic keyword; lead that is context, not a direct exposure or determinant; lead with no dates</t>
        </is>
      </c>
      <c r="C358" s="4" t="inlineStr">
        <is>
          <t>{{source}}</t>
        </is>
      </c>
      <c r="D358" s="4" t="inlineStr"/>
      <c r="E358" s="4" t="inlineStr">
        <is>
          <t>Catalog lead</t>
        </is>
      </c>
      <c r="F358" s="17" t="inlineStr">
        <is>
          <t>https://data.europa.eu/data/datasets/https-www-arcgis-com-home-item-html-id-b52cf3f82c344549977449502c7c2d2c-sublayer-0</t>
        </is>
      </c>
      <c r="G358" s="4" t="inlineStr">
        <is>
          <t>eu_dataeuropa_cycling_network</t>
        </is>
      </c>
    </row>
    <row r="359">
      <c r="A359" s="4" t="inlineStr">
        <is>
          <t>Cycling network NRW</t>
        </is>
      </c>
      <c r="B359" s="4" t="inlineStr">
        <is>
          <t>unit guessed from a generic keyword; lead that is context, not a direct exposure or determinant; lead with no dates</t>
        </is>
      </c>
      <c r="C359" s="4" t="inlineStr">
        <is>
          <t>Olpe</t>
        </is>
      </c>
      <c r="D359" s="4" t="inlineStr"/>
      <c r="E359" s="4" t="inlineStr">
        <is>
          <t>Catalog lead</t>
        </is>
      </c>
      <c r="F359" s="17" t="inlineStr">
        <is>
          <t>https://data.europa.eu/data/datasets/a11828a6-d228-46dc-98be-bdcdc099f3e6</t>
        </is>
      </c>
      <c r="G359" s="4" t="inlineStr">
        <is>
          <t>eu_dataeuropa_cycling_network_nrw</t>
        </is>
      </c>
    </row>
    <row r="360">
      <c r="A360" s="4" t="inlineStr">
        <is>
          <t>Drought Impact Lines</t>
        </is>
      </c>
      <c r="B360" s="4" t="inlineStr">
        <is>
          <t>unit guessed from a generic keyword; lead that is context, not a direct exposure or determinant; lead with no dates</t>
        </is>
      </c>
      <c r="C360" s="4" t="inlineStr">
        <is>
          <t>Agriculture and Agri-Food Canada | Agriculture et Agroalimentaire Canada</t>
        </is>
      </c>
      <c r="D360" s="4" t="inlineStr"/>
      <c r="E360" s="4" t="inlineStr">
        <is>
          <t>Catalog lead</t>
        </is>
      </c>
      <c r="F360" s="17" t="inlineStr">
        <is>
          <t>https://open.canada.ca/data/dataset/43ed6d12-afa8-4013-9464-d0632a5272c6</t>
        </is>
      </c>
      <c r="G360" s="4" t="inlineStr">
        <is>
          <t>ca_opencanada_drought_impact_lines</t>
        </is>
      </c>
    </row>
    <row r="361">
      <c r="A361" s="4" t="inlineStr">
        <is>
          <t>Helsinki Region Transport (HSL) public transport stops</t>
        </is>
      </c>
      <c r="B361" s="4" t="inlineStr">
        <is>
          <t>unit guessed from a generic keyword; lead that is context, not a direct exposure or determinant; lead with no dates</t>
        </is>
      </c>
      <c r="C361" s="4" t="inlineStr">
        <is>
          <t>Helsingin seudun liikenne (HSL)</t>
        </is>
      </c>
      <c r="D361" s="4" t="inlineStr"/>
      <c r="E361" s="4" t="inlineStr">
        <is>
          <t>Catalog lead</t>
        </is>
      </c>
      <c r="F361" s="17" t="inlineStr">
        <is>
          <t>https://data.europa.eu/data/datasets/1a6207bd-c98b-4305-9dda-3debeb9e768a</t>
        </is>
      </c>
      <c r="G361" s="4" t="inlineStr">
        <is>
          <t>eu_dataeuropa_helsinki_region_transport_hsl_public_transport_stops</t>
        </is>
      </c>
    </row>
    <row r="362">
      <c r="A362" s="4" t="inlineStr">
        <is>
          <t>IDEAM - Colombian Radar Network</t>
        </is>
      </c>
      <c r="B362" s="4" t="inlineStr">
        <is>
          <t>unit guessed from a generic keyword; lead that is context, not a direct exposure or determinant; lead with no dates</t>
        </is>
      </c>
      <c r="C362" s="4" t="inlineStr">
        <is>
          <t>[IDEAM](https://www.ideam.gov.co/)</t>
        </is>
      </c>
      <c r="D362" s="4" t="inlineStr"/>
      <c r="E362" s="4" t="inlineStr">
        <is>
          <t>Catalog lead</t>
        </is>
      </c>
      <c r="F362" s="17" t="inlineStr">
        <is>
          <t>https://registry.opendata.aws/ideam-radares/</t>
        </is>
      </c>
      <c r="G362" s="4" t="inlineStr">
        <is>
          <t>aws_ideam_radares</t>
        </is>
      </c>
    </row>
    <row r="363">
      <c r="A363" s="4" t="inlineStr">
        <is>
          <t>Keetch-Byram Drought Index (KBDI) in Mekong Region</t>
        </is>
      </c>
      <c r="B363" s="4" t="inlineStr">
        <is>
          <t>unit guessed from a generic keyword; lead that is context, not a direct exposure or determinant; lead with no dates</t>
        </is>
      </c>
      <c r="C363" s="4" t="inlineStr">
        <is>
          <t>Open Development Mekong</t>
        </is>
      </c>
      <c r="D363" s="4" t="inlineStr"/>
      <c r="E363" s="4" t="inlineStr">
        <is>
          <t>Catalog lead</t>
        </is>
      </c>
      <c r="F363" s="17" t="inlineStr">
        <is>
          <t>https://data.opendevelopmentmekong.net/dataset/keetch-byram-drought-index-kbdi</t>
        </is>
      </c>
      <c r="G363" s="4" t="inlineStr">
        <is>
          <t>mekong_odm_keetch_byram_drought_index_kbdi_in_mekong_region</t>
        </is>
      </c>
    </row>
    <row r="364">
      <c r="A364" s="4" t="inlineStr">
        <is>
          <t>Locations Bonn schools</t>
        </is>
      </c>
      <c r="B364" s="4" t="inlineStr">
        <is>
          <t>unit guessed from a generic keyword; lead that is context, not a direct exposure or determinant; lead with no dates</t>
        </is>
      </c>
      <c r="C364" s="4" t="inlineStr">
        <is>
          <t>Bonn</t>
        </is>
      </c>
      <c r="D364" s="4" t="inlineStr"/>
      <c r="E364" s="4" t="inlineStr">
        <is>
          <t>Catalog lead</t>
        </is>
      </c>
      <c r="F364" s="17" t="inlineStr">
        <is>
          <t>https://data.europa.eu/data/datasets/9acba32b-9a58-4112-9dd0-1048908d27ad</t>
        </is>
      </c>
      <c r="G364" s="4" t="inlineStr">
        <is>
          <t>eu_dataeuropa_locations_bonn_schools</t>
        </is>
      </c>
    </row>
    <row r="365">
      <c r="A365" s="4" t="inlineStr">
        <is>
          <t>Locations Measuring stations Smart Climate Air Climate</t>
        </is>
      </c>
      <c r="B365" s="4" t="inlineStr">
        <is>
          <t>unit guessed from a generic keyword; lead that is context, not a direct exposure or determinant; lead with no dates</t>
        </is>
      </c>
      <c r="C365" s="4" t="inlineStr">
        <is>
          <t>meteoblue AG</t>
        </is>
      </c>
      <c r="D365" s="4" t="inlineStr"/>
      <c r="E365" s="4" t="inlineStr">
        <is>
          <t>Catalog lead</t>
        </is>
      </c>
      <c r="F365" s="17" t="inlineStr">
        <is>
          <t>https://data.europa.eu/data/datasets/100082-kanton-basel-stadt</t>
        </is>
      </c>
      <c r="G365" s="4" t="inlineStr">
        <is>
          <t>eu_dataeuropa_locations_measuring_stations_smart_climate_air_climate</t>
        </is>
      </c>
    </row>
    <row r="366">
      <c r="A366" s="4" t="inlineStr">
        <is>
          <t>Locations of counting points for traffic counting data</t>
        </is>
      </c>
      <c r="B366" s="4" t="inlineStr">
        <is>
          <t>unit guessed from a generic keyword; lead that is context, not a direct exposure or determinant; lead with no dates</t>
        </is>
      </c>
      <c r="C366" s="4" t="inlineStr">
        <is>
          <t>Amt für Mobilität</t>
        </is>
      </c>
      <c r="D366" s="4" t="inlineStr"/>
      <c r="E366" s="4" t="inlineStr">
        <is>
          <t>Catalog lead</t>
        </is>
      </c>
      <c r="F366" s="17" t="inlineStr">
        <is>
          <t>https://data.europa.eu/data/datasets/100038-kanton-basel-stadt</t>
        </is>
      </c>
      <c r="G366" s="4" t="inlineStr">
        <is>
          <t>eu_dataeuropa_locations_of_counting_points_for_traffic_counting_data</t>
        </is>
      </c>
    </row>
    <row r="367">
      <c r="A367" s="4" t="inlineStr">
        <is>
          <t>Locations of primary schools</t>
        </is>
      </c>
      <c r="B367" s="4" t="inlineStr">
        <is>
          <t>unit guessed from a generic keyword; lead that is context, not a direct exposure or determinant; lead with no dates</t>
        </is>
      </c>
      <c r="C367" s="4" t="inlineStr">
        <is>
          <t>Landeshauptstadt Düsseldorf – Schulverwaltungsamt</t>
        </is>
      </c>
      <c r="D367" s="4" t="inlineStr"/>
      <c r="E367" s="4" t="inlineStr">
        <is>
          <t>Catalog lead</t>
        </is>
      </c>
      <c r="F367" s="17" t="inlineStr">
        <is>
          <t>https://data.europa.eu/data/datasets/8522c47e-c172-446e-8ca2-44d46c2540ed</t>
        </is>
      </c>
      <c r="G367" s="4" t="inlineStr">
        <is>
          <t>eu_dataeuropa_locations_of_primary_schools</t>
        </is>
      </c>
    </row>
    <row r="368">
      <c r="A368" s="4" t="inlineStr">
        <is>
          <t>Locations of schools in OpenStreetMap</t>
        </is>
      </c>
      <c r="B368" s="4" t="inlineStr">
        <is>
          <t>unit guessed from a generic keyword; lead that is context, not a direct exposure or determinant; lead with no dates</t>
        </is>
      </c>
      <c r="C368" s="4" t="inlineStr">
        <is>
          <t>magellium</t>
        </is>
      </c>
      <c r="D368" s="4" t="inlineStr"/>
      <c r="E368" s="4" t="inlineStr">
        <is>
          <t>Catalog lead</t>
        </is>
      </c>
      <c r="F368" s="17" t="inlineStr">
        <is>
          <t>https://data.europa.eu/data/datasets/5f0751f35bb6b9753ad5996d~~1</t>
        </is>
      </c>
      <c r="G368" s="4" t="inlineStr">
        <is>
          <t>eu_dataeuropa_locations_of_schools_in_openstreetmap</t>
        </is>
      </c>
    </row>
    <row r="369">
      <c r="A369" s="4" t="inlineStr">
        <is>
          <t>Locations of the Düsseldorf Schools</t>
        </is>
      </c>
      <c r="B369" s="4" t="inlineStr">
        <is>
          <t>unit guessed from a generic keyword; lead that is context, not a direct exposure or determinant; lead with no dates</t>
        </is>
      </c>
      <c r="C369" s="4" t="inlineStr">
        <is>
          <t>Landeshauptstadt Düsseldorf – Schulverwaltungsamt</t>
        </is>
      </c>
      <c r="D369" s="4" t="inlineStr"/>
      <c r="E369" s="4" t="inlineStr">
        <is>
          <t>Catalog lead</t>
        </is>
      </c>
      <c r="F369" s="17" t="inlineStr">
        <is>
          <t>https://data.europa.eu/data/datasets/9a4ac5c1-4bab-47ee-89b5-d519e732392c</t>
        </is>
      </c>
      <c r="G369" s="4" t="inlineStr">
        <is>
          <t>eu_dataeuropa_locations_of_the_d_sseldorf_schools</t>
        </is>
      </c>
    </row>
    <row r="370">
      <c r="A370" s="4" t="inlineStr">
        <is>
          <t>Long-Term Cycle Network (LTCN) (DOT-035)</t>
        </is>
      </c>
      <c r="B370" s="4" t="inlineStr">
        <is>
          <t>unit guessed from a generic keyword; lead that is context, not a direct exposure or determinant; lead with no dates</t>
        </is>
      </c>
      <c r="C370" s="4" t="inlineStr">
        <is>
          <t>Department of Transport</t>
        </is>
      </c>
      <c r="D370" s="4" t="inlineStr"/>
      <c r="E370" s="4" t="inlineStr">
        <is>
          <t>Catalog lead</t>
        </is>
      </c>
      <c r="F370" s="17" t="inlineStr">
        <is>
          <t>https://data.gov.au/data/dataset/long-term-cycle-network-ltcn-dot-035</t>
        </is>
      </c>
      <c r="G370" s="4" t="inlineStr">
        <is>
          <t>au_datagovau_long_term_cycle_network_ltcn_dot_035</t>
        </is>
      </c>
    </row>
    <row r="371">
      <c r="A371" s="4" t="inlineStr">
        <is>
          <t>Main cycling network Vienna</t>
        </is>
      </c>
      <c r="B371" s="4" t="inlineStr">
        <is>
          <t>unit guessed from a generic keyword; lead that is context, not a direct exposure or determinant; lead with no dates</t>
        </is>
      </c>
      <c r="C371" s="4" t="inlineStr">
        <is>
          <t>opendataportal.at</t>
        </is>
      </c>
      <c r="D371" s="4" t="inlineStr"/>
      <c r="E371" s="4" t="inlineStr">
        <is>
          <t>Catalog lead</t>
        </is>
      </c>
      <c r="F371" s="17" t="inlineStr">
        <is>
          <t>https://data.europa.eu/data/datasets/hauptradverkehrsnetz</t>
        </is>
      </c>
      <c r="G371" s="4" t="inlineStr">
        <is>
          <t>eu_dataeuropa_main_cycling_network_vienna</t>
        </is>
      </c>
    </row>
    <row r="372">
      <c r="A372" s="4" t="inlineStr">
        <is>
          <t>National Drought and Flood Recovery Regions</t>
        </is>
      </c>
      <c r="B372" s="4" t="inlineStr">
        <is>
          <t>unit guessed from a generic keyword; lead that is context, not a direct exposure or determinant; lead with no dates</t>
        </is>
      </c>
      <c r="C372" s="4" t="inlineStr">
        <is>
          <t>National Drought and North Queensland Flood Response and Recovery Agency</t>
        </is>
      </c>
      <c r="D372" s="4" t="inlineStr"/>
      <c r="E372" s="4" t="inlineStr">
        <is>
          <t>Catalog lead</t>
        </is>
      </c>
      <c r="F372" s="17" t="inlineStr">
        <is>
          <t>https://data.gov.au/data/dataset/national-drought-and-flood-recovery-regions</t>
        </is>
      </c>
      <c r="G372" s="4" t="inlineStr">
        <is>
          <t>au_datagovau_national_drought_and_flood_recovery_regions</t>
        </is>
      </c>
    </row>
    <row r="373">
      <c r="A373" s="4" t="inlineStr">
        <is>
          <t>Points of Interest Climate Walks</t>
        </is>
      </c>
      <c r="B373" s="4" t="inlineStr">
        <is>
          <t>unit guessed from a generic keyword; lead that is context, not a direct exposure or determinant; lead with no dates</t>
        </is>
      </c>
      <c r="C373" s="4" t="inlineStr">
        <is>
          <t>Município de Lisboa</t>
        </is>
      </c>
      <c r="D373" s="4" t="inlineStr"/>
      <c r="E373" s="4" t="inlineStr">
        <is>
          <t>Catalog lead</t>
        </is>
      </c>
      <c r="F373" s="17" t="inlineStr">
        <is>
          <t>https://data.europa.eu/data/datasets/6842fa78c5d2a97f089fb252</t>
        </is>
      </c>
      <c r="G373" s="4" t="inlineStr">
        <is>
          <t>eu_dataeuropa_points_of_interest_climate_walks</t>
        </is>
      </c>
    </row>
    <row r="374">
      <c r="A374" s="4" t="inlineStr">
        <is>
          <t>Projected development of the network of reserved lanes and sustainable mobility corridors (Urban and Mobility Plan 2050)</t>
        </is>
      </c>
      <c r="B374" s="4" t="inlineStr">
        <is>
          <t>unit guessed from a generic keyword; lead that is context, not a direct exposure or determinant; lead with no dates</t>
        </is>
      </c>
      <c r="C374" s="4" t="inlineStr">
        <is>
          <t>Government and Municipalities of Québec | Gouvernement et municipalités du Québec</t>
        </is>
      </c>
      <c r="D374" s="4" t="inlineStr"/>
      <c r="E374" s="4" t="inlineStr">
        <is>
          <t>Catalog lead</t>
        </is>
      </c>
      <c r="F374" s="17" t="inlineStr">
        <is>
          <t>https://open.canada.ca/data/dataset/289f9128-df6a-4230-a600-fcae6e1239c2</t>
        </is>
      </c>
      <c r="G374" s="4" t="inlineStr">
        <is>
          <t>ca_opencanada_projected_development_of_the_network_of_reserved_lanes</t>
        </is>
      </c>
    </row>
    <row r="375">
      <c r="A375" s="4" t="inlineStr">
        <is>
          <t>Recycling Depot Locations</t>
        </is>
      </c>
      <c r="B375" s="4" t="inlineStr">
        <is>
          <t>unit guessed from a generic keyword; lead that is context, not a direct exposure or determinant; lead with no dates</t>
        </is>
      </c>
      <c r="C375" s="4" t="inlineStr">
        <is>
          <t>Government of Manitoba | Gouvernement du Manitoba</t>
        </is>
      </c>
      <c r="D375" s="4" t="inlineStr"/>
      <c r="E375" s="4" t="inlineStr">
        <is>
          <t>Catalog lead</t>
        </is>
      </c>
      <c r="F375" s="17" t="inlineStr">
        <is>
          <t>https://open.canada.ca/data/dataset/98eab650-0c7f-2e1a-67b0-6b611c05b8f3</t>
        </is>
      </c>
      <c r="G375" s="4" t="inlineStr">
        <is>
          <t>ca_opencanada_recycling_depot_locations</t>
        </is>
      </c>
    </row>
    <row r="376">
      <c r="A376" s="4" t="inlineStr">
        <is>
          <t>Regional Long-Term Cycle Network (LTCN) (DOT-036)</t>
        </is>
      </c>
      <c r="B376" s="4" t="inlineStr">
        <is>
          <t>unit guessed from a generic keyword; lead that is context, not a direct exposure or determinant; lead with no dates</t>
        </is>
      </c>
      <c r="C376" s="4" t="inlineStr">
        <is>
          <t>Department of Transport</t>
        </is>
      </c>
      <c r="D376" s="4" t="inlineStr"/>
      <c r="E376" s="4" t="inlineStr">
        <is>
          <t>Catalog lead</t>
        </is>
      </c>
      <c r="F376" s="17" t="inlineStr">
        <is>
          <t>https://data.gov.au/data/dataset/regional-long-term-cycle-network-ltcn-dot-036</t>
        </is>
      </c>
      <c r="G376" s="4" t="inlineStr">
        <is>
          <t>au_datagovau_regional_long_term_cycle_network_ltcn_dot_036</t>
        </is>
      </c>
    </row>
    <row r="377">
      <c r="A377" s="4" t="inlineStr">
        <is>
          <t>TLC Approved LabCorp Patient Services Drug Test Locations</t>
        </is>
      </c>
      <c r="B377" s="4" t="inlineStr">
        <is>
          <t>unit guessed from a generic keyword; lead that is context, not a direct exposure or determinant; lead with no dates</t>
        </is>
      </c>
      <c r="C377" s="4" t="inlineStr">
        <is>
          <t>Taxi and Limousine Commission (TLC)</t>
        </is>
      </c>
      <c r="D377" s="4" t="inlineStr"/>
      <c r="E377" s="4" t="inlineStr">
        <is>
          <t>Catalog lead</t>
        </is>
      </c>
      <c r="F377" s="17" t="inlineStr">
        <is>
          <t>https://data.cityofnewyork.us/d/pe54-wf39</t>
        </is>
      </c>
      <c r="G377" s="4" t="inlineStr">
        <is>
          <t>us_socrata_data_tlc_approved_labcorp_patient_services_drug_test_lo</t>
        </is>
      </c>
    </row>
    <row r="378">
      <c r="A378" s="4" t="inlineStr">
        <is>
          <t>Traffic counter locations - Eco Counter V2</t>
        </is>
      </c>
      <c r="B378" s="4" t="inlineStr">
        <is>
          <t>unit guessed from a generic keyword; lead that is context, not a direct exposure or determinant; lead with no dates</t>
        </is>
      </c>
      <c r="C378" s="4" t="inlineStr">
        <is>
          <t>Eco Counter für FB Geoinformation und Stadtplanung</t>
        </is>
      </c>
      <c r="D378" s="4" t="inlineStr"/>
      <c r="E378" s="4" t="inlineStr">
        <is>
          <t>Catalog lead</t>
        </is>
      </c>
      <c r="F378" s="17" t="inlineStr">
        <is>
          <t>https://data.europa.eu/data/datasets/verkehrszaehler-standorte-eco-counter-v2-mannheim</t>
        </is>
      </c>
      <c r="G378" s="4" t="inlineStr">
        <is>
          <t>eu_dataeuropa_traffic_counter_locations_eco_counter_v2</t>
        </is>
      </c>
    </row>
    <row r="379">
      <c r="A379" s="4" t="inlineStr">
        <is>
          <t>WIM Sensor Locations</t>
        </is>
      </c>
      <c r="B379" s="4" t="inlineStr">
        <is>
          <t>unit guessed from a generic keyword; lead that is context, not a direct exposure or determinant; lead with no dates</t>
        </is>
      </c>
      <c r="C379" s="4" t="inlineStr">
        <is>
          <t>Transport Infrastructure Ireland</t>
        </is>
      </c>
      <c r="D379" s="4" t="inlineStr"/>
      <c r="E379" s="4" t="inlineStr">
        <is>
          <t>Catalog lead</t>
        </is>
      </c>
      <c r="F379" s="17" t="inlineStr">
        <is>
          <t>https://data.europa.eu/data/datasets/ff712bdd-38ff-43f3-aff3-2fd50f409bc6</t>
        </is>
      </c>
      <c r="G379" s="4" t="inlineStr">
        <is>
          <t>eu_dataeuropa_wim_sensor_locations</t>
        </is>
      </c>
    </row>
    <row r="380">
      <c r="A380" s="4" t="inlineStr">
        <is>
          <t>Bangladesh - 2001 Census</t>
        </is>
      </c>
      <c r="B380" s="4" t="inlineStr">
        <is>
          <t>unit guessed from a generic keyword; lead that is context, not a direct exposure or determinant; stale snapshot: lead ending 2001</t>
        </is>
      </c>
      <c r="C380" s="4" t="inlineStr">
        <is>
          <t>OCHA Regional Office for Asia and the Pacific (ROAP)</t>
        </is>
      </c>
      <c r="D380" s="4" t="n">
        <v>2001</v>
      </c>
      <c r="E380" s="4" t="inlineStr">
        <is>
          <t>Catalog lead</t>
        </is>
      </c>
      <c r="F380" s="17" t="inlineStr">
        <is>
          <t>https://data.humdata.org/dataset/bangladesh-other-0</t>
        </is>
      </c>
      <c r="G380" s="4" t="inlineStr">
        <is>
          <t>hdx_bangladesh_2001_census</t>
        </is>
      </c>
    </row>
    <row r="381">
      <c r="A381" s="4" t="inlineStr">
        <is>
          <t>NARSTO PAC2001 Langley Site Gaseous, Particle, and Meteorological Data</t>
        </is>
      </c>
      <c r="B381" s="4" t="inlineStr">
        <is>
          <t>unit guessed from a generic keyword; lead that is context, not a direct exposure or determinant; stale snapshot: lead ending 2001</t>
        </is>
      </c>
      <c r="C381" s="4" t="inlineStr">
        <is>
          <t>NASA Earthdata</t>
        </is>
      </c>
      <c r="D381" s="4" t="n">
        <v>2001</v>
      </c>
      <c r="E381" s="4" t="inlineStr">
        <is>
          <t>Catalog lead</t>
        </is>
      </c>
      <c r="F381" s="17" t="inlineStr">
        <is>
          <t>https://cmr.earthdata.nasa.gov/search/concepts/C3880765548-LARC_CLOUD.html</t>
        </is>
      </c>
      <c r="G381" s="4" t="inlineStr">
        <is>
          <t>nasa_cmr_narsto_pac2001_langley_gas_pm_met_data</t>
        </is>
      </c>
    </row>
    <row r="382">
      <c r="A382" s="4" t="inlineStr">
        <is>
          <t>Timor-Leste - 2004 Population and Housing Census</t>
        </is>
      </c>
      <c r="B382" s="4" t="inlineStr">
        <is>
          <t>unit guessed from a generic keyword; lead that is context, not a direct exposure or determinant; stale snapshot: lead ending 2004</t>
        </is>
      </c>
      <c r="C382" s="4" t="inlineStr">
        <is>
          <t>OCHA Regional Office for Asia and the Pacific (ROAP)</t>
        </is>
      </c>
      <c r="D382" s="4" t="n">
        <v>2004</v>
      </c>
      <c r="E382" s="4" t="inlineStr">
        <is>
          <t>Catalog lead</t>
        </is>
      </c>
      <c r="F382" s="17" t="inlineStr">
        <is>
          <t>https://data.humdata.org/dataset/east-timor-other-0-0</t>
        </is>
      </c>
      <c r="G382" s="4" t="inlineStr">
        <is>
          <t>hdx_timor_leste_2004_population_and_housing_census</t>
        </is>
      </c>
    </row>
    <row r="383">
      <c r="A383" s="4" t="inlineStr">
        <is>
          <t>Graph of Aleknagik, Dillingham Census Area, Alaska population 1990-2006</t>
        </is>
      </c>
      <c r="B383" s="4" t="inlineStr">
        <is>
          <t>unit guessed from a generic keyword; lead that is context, not a direct exposure or determinant; stale snapshot: lead ending 2006</t>
        </is>
      </c>
      <c r="C383" s="4" t="inlineStr">
        <is>
          <t>NASA Earthdata</t>
        </is>
      </c>
      <c r="D383" s="4" t="n">
        <v>2006</v>
      </c>
      <c r="E383" s="4" t="inlineStr">
        <is>
          <t>Catalog lead</t>
        </is>
      </c>
      <c r="F383" s="17" t="inlineStr">
        <is>
          <t>https://cmr.earthdata.nasa.gov/search/concepts/C1214600514-SCIOPS.html</t>
        </is>
      </c>
      <c r="G383" s="4" t="inlineStr">
        <is>
          <t>nasa_cmr_graph_of_aleknagik_dillingham_census_area_alaska_popula</t>
        </is>
      </c>
    </row>
    <row r="384">
      <c r="A384" s="4" t="inlineStr">
        <is>
          <t>Graph of Aniak, Bethel Census Area, Alaska population 1990-2006</t>
        </is>
      </c>
      <c r="B384" s="4" t="inlineStr">
        <is>
          <t>unit guessed from a generic keyword; lead that is context, not a direct exposure or determinant; stale snapshot: lead ending 2006</t>
        </is>
      </c>
      <c r="C384" s="4" t="inlineStr">
        <is>
          <t>NASA Earthdata</t>
        </is>
      </c>
      <c r="D384" s="4" t="n">
        <v>2006</v>
      </c>
      <c r="E384" s="4" t="inlineStr">
        <is>
          <t>Catalog lead</t>
        </is>
      </c>
      <c r="F384" s="17" t="inlineStr">
        <is>
          <t>https://cmr.earthdata.nasa.gov/search/concepts/C1214600485-SCIOPS.html</t>
        </is>
      </c>
      <c r="G384" s="4" t="inlineStr">
        <is>
          <t>nasa_cmr_graph_of_aniak_bethel_census_area_alaska_population_199</t>
        </is>
      </c>
    </row>
    <row r="385">
      <c r="A385" s="4" t="inlineStr">
        <is>
          <t>Graph of Bethel, Bethel Census Area, Alaska population 1990-2006</t>
        </is>
      </c>
      <c r="B385" s="4" t="inlineStr">
        <is>
          <t>unit guessed from a generic keyword; lead that is context, not a direct exposure or determinant; stale snapshot: lead ending 2006</t>
        </is>
      </c>
      <c r="C385" s="4" t="inlineStr">
        <is>
          <t>NASA Earthdata</t>
        </is>
      </c>
      <c r="D385" s="4" t="n">
        <v>2006</v>
      </c>
      <c r="E385" s="4" t="inlineStr">
        <is>
          <t>Catalog lead</t>
        </is>
      </c>
      <c r="F385" s="17" t="inlineStr">
        <is>
          <t>https://cmr.earthdata.nasa.gov/search/concepts/C1214600523-SCIOPS.html</t>
        </is>
      </c>
      <c r="G385" s="4" t="inlineStr">
        <is>
          <t>nasa_cmr_graph_of_bethel_bethel_census_area_alaska_population_19</t>
        </is>
      </c>
    </row>
    <row r="386">
      <c r="A386" s="4" t="inlineStr">
        <is>
          <t>Graph of Brevig Mission, Nome Census Area, Alaska population 1990-2006</t>
        </is>
      </c>
      <c r="B386" s="4" t="inlineStr">
        <is>
          <t>unit guessed from a generic keyword; lead that is context, not a direct exposure or determinant; stale snapshot: lead ending 2006</t>
        </is>
      </c>
      <c r="C386" s="4" t="inlineStr">
        <is>
          <t>NASA Earthdata</t>
        </is>
      </c>
      <c r="D386" s="4" t="n">
        <v>2006</v>
      </c>
      <c r="E386" s="4" t="inlineStr">
        <is>
          <t>Catalog lead</t>
        </is>
      </c>
      <c r="F386" s="17" t="inlineStr">
        <is>
          <t>https://cmr.earthdata.nasa.gov/search/concepts/C1214600517-SCIOPS.html</t>
        </is>
      </c>
      <c r="G386" s="4" t="inlineStr">
        <is>
          <t>nasa_cmr_graph_of_brevig_mission_nome_census_area_alaska_populat</t>
        </is>
      </c>
    </row>
    <row r="387">
      <c r="A387" s="4" t="inlineStr">
        <is>
          <t>Graph of Dillingham, Dillingham Census Area, Alaska population 1990-2006</t>
        </is>
      </c>
      <c r="B387" s="4" t="inlineStr">
        <is>
          <t>unit guessed from a generic keyword; lead that is context, not a direct exposure or determinant; stale snapshot: lead ending 2006</t>
        </is>
      </c>
      <c r="C387" s="4" t="inlineStr">
        <is>
          <t>NASA Earthdata</t>
        </is>
      </c>
      <c r="D387" s="4" t="n">
        <v>2006</v>
      </c>
      <c r="E387" s="4" t="inlineStr">
        <is>
          <t>Catalog lead</t>
        </is>
      </c>
      <c r="F387" s="17" t="inlineStr">
        <is>
          <t>https://cmr.earthdata.nasa.gov/search/concepts/C1214600524-SCIOPS.html</t>
        </is>
      </c>
      <c r="G387" s="4" t="inlineStr">
        <is>
          <t>nasa_cmr_graph_of_dillingham_dillingham_census_area_alaska_popul</t>
        </is>
      </c>
    </row>
    <row r="388">
      <c r="A388" s="4" t="inlineStr">
        <is>
          <t>DPR Korea - Population Census</t>
        </is>
      </c>
      <c r="B388" s="4" t="inlineStr">
        <is>
          <t>unit guessed from a generic keyword; lead that is context, not a direct exposure or determinant; stale snapshot: lead ending 2008</t>
        </is>
      </c>
      <c r="C388" s="4" t="inlineStr">
        <is>
          <t>OCHA Regional Office for Asia and the Pacific (ROAP)</t>
        </is>
      </c>
      <c r="D388" s="4" t="n">
        <v>2008</v>
      </c>
      <c r="E388" s="4" t="inlineStr">
        <is>
          <t>Catalog lead</t>
        </is>
      </c>
      <c r="F388" s="17" t="inlineStr">
        <is>
          <t>https://data.humdata.org/dataset/dpr-korea-other</t>
        </is>
      </c>
      <c r="G388" s="4" t="inlineStr">
        <is>
          <t>hdx_dpr_korea_population_census</t>
        </is>
      </c>
    </row>
    <row r="389">
      <c r="A389" s="4" t="inlineStr">
        <is>
          <t>Population census 2008</t>
        </is>
      </c>
      <c r="B389" s="4" t="inlineStr">
        <is>
          <t>unit guessed from a generic keyword; lead that is context, not a direct exposure or determinant; stale snapshot: lead ending 2008</t>
        </is>
      </c>
      <c r="C389" s="4" t="inlineStr">
        <is>
          <t>Open Development Cambodia</t>
        </is>
      </c>
      <c r="D389" s="4" t="n">
        <v>2008</v>
      </c>
      <c r="E389" s="4" t="inlineStr">
        <is>
          <t>Catalog lead</t>
        </is>
      </c>
      <c r="F389" s="17" t="inlineStr">
        <is>
          <t>https://data.opendevelopmentmekong.net/dataset/census-2008</t>
        </is>
      </c>
      <c r="G389" s="4" t="inlineStr">
        <is>
          <t>mekong_odm_population_census_2008</t>
        </is>
      </c>
    </row>
    <row r="390">
      <c r="A390" s="4" t="inlineStr">
        <is>
          <t>Kyrgyzstan - Population Census 2009</t>
        </is>
      </c>
      <c r="B390" s="4" t="inlineStr">
        <is>
          <t>unit guessed from a generic keyword; lead that is context, not a direct exposure or determinant; stale snapshot: lead ending 2009</t>
        </is>
      </c>
      <c r="C390" s="4" t="inlineStr">
        <is>
          <t>OCHA ROCCA (inactive)</t>
        </is>
      </c>
      <c r="D390" s="4" t="n">
        <v>2009</v>
      </c>
      <c r="E390" s="4" t="inlineStr">
        <is>
          <t>Catalog lead</t>
        </is>
      </c>
      <c r="F390" s="17" t="inlineStr">
        <is>
          <t>https://data.humdata.org/dataset/kyrgyzstan-population-census-2009</t>
        </is>
      </c>
      <c r="G390" s="4" t="inlineStr">
        <is>
          <t>hdx_kyrgyzstan_population_census_2009</t>
        </is>
      </c>
    </row>
    <row r="391">
      <c r="A391" s="4" t="inlineStr">
        <is>
          <t>2010 Census Production Settings Demographic and Housing Characteristics (DHC) Demonstration Noisy Measurement File</t>
        </is>
      </c>
      <c r="B391" s="4" t="inlineStr">
        <is>
          <t>unit guessed from a generic keyword; lead that is context, not a direct exposure or determinant; stale snapshot: lead ending 2010</t>
        </is>
      </c>
      <c r="C391" s="4" t="inlineStr">
        <is>
          <t>[United States Census Bureau](http://www.census.gov/)</t>
        </is>
      </c>
      <c r="D391" s="4" t="n">
        <v>2010</v>
      </c>
      <c r="E391" s="4" t="inlineStr">
        <is>
          <t>Catalog lead</t>
        </is>
      </c>
      <c r="F391" s="17" t="inlineStr">
        <is>
          <t>https://registry.opendata.aws/census-2010-dhc-nmf/</t>
        </is>
      </c>
      <c r="G391" s="4" t="inlineStr">
        <is>
          <t>aws_census_2010_dhc_nmf</t>
        </is>
      </c>
    </row>
    <row r="392">
      <c r="A392" s="4" t="inlineStr">
        <is>
          <t>2010 Census Production Settings Redistricting Data (P.L. 94-171) Demonstration Noisy Measurement File</t>
        </is>
      </c>
      <c r="B392" s="4" t="inlineStr">
        <is>
          <t>unit guessed from a generic keyword; lead that is context, not a direct exposure or determinant; stale snapshot: lead ending 2010</t>
        </is>
      </c>
      <c r="C392" s="4" t="inlineStr">
        <is>
          <t>[United States Census Bureau](http://www.census.gov/)</t>
        </is>
      </c>
      <c r="D392" s="4" t="n">
        <v>2010</v>
      </c>
      <c r="E392" s="4" t="inlineStr">
        <is>
          <t>Catalog lead</t>
        </is>
      </c>
      <c r="F392" s="17" t="inlineStr">
        <is>
          <t>https://registry.opendata.aws/census-2010-pl94-nmf/</t>
        </is>
      </c>
      <c r="G392" s="4" t="inlineStr">
        <is>
          <t>aws_census_2010_pl94_nmf</t>
        </is>
      </c>
    </row>
    <row r="393">
      <c r="A393" s="4" t="inlineStr">
        <is>
          <t>Sri Lanka - Population and Housing Census of 2012</t>
        </is>
      </c>
      <c r="B393" s="4" t="inlineStr">
        <is>
          <t>unit guessed from a generic keyword; lead that is context, not a direct exposure or determinant; stale snapshot: lead ending 2012</t>
        </is>
      </c>
      <c r="C393" s="4" t="inlineStr">
        <is>
          <t>OCHA Regional Office for Asia and the Pacific (ROAP)</t>
        </is>
      </c>
      <c r="D393" s="4" t="n">
        <v>2012</v>
      </c>
      <c r="E393" s="4" t="inlineStr">
        <is>
          <t>Catalog lead</t>
        </is>
      </c>
      <c r="F393" s="17" t="inlineStr">
        <is>
          <t>https://data.humdata.org/dataset/sri-lanka-census-of-population-and-housing-2012</t>
        </is>
      </c>
      <c r="G393" s="4" t="inlineStr">
        <is>
          <t>hdx_sri_lanka_population_and_housing_census_of_2012</t>
        </is>
      </c>
    </row>
    <row r="394">
      <c r="A394" s="4" t="inlineStr">
        <is>
          <t>GDA Cycle Network Survey 2013</t>
        </is>
      </c>
      <c r="B394" s="4" t="inlineStr">
        <is>
          <t>unit guessed from a generic keyword; lead that is context, not a direct exposure or determinant; stale snapshot: lead ending 2013</t>
        </is>
      </c>
      <c r="C394" s="4" t="inlineStr">
        <is>
          <t>National Transport Authority</t>
        </is>
      </c>
      <c r="D394" s="4" t="n">
        <v>2013</v>
      </c>
      <c r="E394" s="4" t="inlineStr">
        <is>
          <t>Catalog lead</t>
        </is>
      </c>
      <c r="F394" s="17" t="inlineStr">
        <is>
          <t>https://data.gov.ie/dataset/cycle-network-survey</t>
        </is>
      </c>
      <c r="G394" s="4" t="inlineStr">
        <is>
          <t>ie_datagovie_gda_cycle_network_survey_2013</t>
        </is>
      </c>
    </row>
    <row r="395">
      <c r="A395" s="4" t="inlineStr">
        <is>
          <t>FLUXNET Canada Research Network - Canadian Carbon Program Data Collection, 1993-2014</t>
        </is>
      </c>
      <c r="B395" s="4" t="inlineStr">
        <is>
          <t>unit guessed from a generic keyword; lead that is context, not a direct exposure or determinant; stale snapshot: lead ending 2014</t>
        </is>
      </c>
      <c r="C395" s="4" t="inlineStr">
        <is>
          <t>NASA Earthdata</t>
        </is>
      </c>
      <c r="D395" s="4" t="n">
        <v>2014</v>
      </c>
      <c r="E395" s="4" t="inlineStr">
        <is>
          <t>Catalog lead</t>
        </is>
      </c>
      <c r="F395" s="17" t="inlineStr">
        <is>
          <t>https://cmr.earthdata.nasa.gov/search/concepts/C2773250697-ORNL_CLOUD.html</t>
        </is>
      </c>
      <c r="G395" s="4" t="inlineStr">
        <is>
          <t>nasa_cmr_fluxnet_canada_1335</t>
        </is>
      </c>
    </row>
    <row r="396">
      <c r="A396" s="4" t="inlineStr">
        <is>
          <t>Kazakhstan - Population Census 2009</t>
        </is>
      </c>
      <c r="B396" s="4" t="inlineStr">
        <is>
          <t>unit guessed from a generic keyword; lead that is context, not a direct exposure or determinant; stale snapshot: lead ending 2014</t>
        </is>
      </c>
      <c r="C396" s="4" t="inlineStr">
        <is>
          <t>OCHA ROCCA (inactive)</t>
        </is>
      </c>
      <c r="D396" s="4" t="n">
        <v>2014</v>
      </c>
      <c r="E396" s="4" t="inlineStr">
        <is>
          <t>Catalog lead</t>
        </is>
      </c>
      <c r="F396" s="17" t="inlineStr">
        <is>
          <t>https://data.humdata.org/dataset/kazakhstan-population-census-2009</t>
        </is>
      </c>
      <c r="G396" s="4" t="inlineStr">
        <is>
          <t>hdx_kazakhstan_population_census_2009</t>
        </is>
      </c>
    </row>
    <row r="397">
      <c r="A397" s="4" t="inlineStr">
        <is>
          <t>Africa Cement Plants</t>
        </is>
      </c>
      <c r="B397" s="4" t="inlineStr">
        <is>
          <t>unit guessed from a generic keyword; lead with no dates</t>
        </is>
      </c>
      <c r="C397" s="4" t="inlineStr">
        <is>
          <t>APAD</t>
        </is>
      </c>
      <c r="D397" s="4" t="inlineStr"/>
      <c r="E397" s="4" t="inlineStr">
        <is>
          <t>Catalog lead</t>
        </is>
      </c>
      <c r="F397" s="17" t="inlineStr">
        <is>
          <t>https://registry.opendata.aws/asset-data-africa-cement/</t>
        </is>
      </c>
      <c r="G397" s="4" t="inlineStr">
        <is>
          <t>aws_asset_data_africa_cement</t>
        </is>
      </c>
    </row>
    <row r="398">
      <c r="A398" s="4" t="inlineStr">
        <is>
          <t>Africa Coal Plants</t>
        </is>
      </c>
      <c r="B398" s="4" t="inlineStr">
        <is>
          <t>unit guessed from a generic keyword; lead with no dates</t>
        </is>
      </c>
      <c r="C398" s="4" t="inlineStr">
        <is>
          <t>APAD</t>
        </is>
      </c>
      <c r="D398" s="4" t="inlineStr"/>
      <c r="E398" s="4" t="inlineStr">
        <is>
          <t>Catalog lead</t>
        </is>
      </c>
      <c r="F398" s="17" t="inlineStr">
        <is>
          <t>https://registry.opendata.aws/asset-data-africa-coal-plant/</t>
        </is>
      </c>
      <c r="G398" s="4" t="inlineStr">
        <is>
          <t>aws_asset_data_africa_coal_plant</t>
        </is>
      </c>
    </row>
    <row r="399">
      <c r="A399" s="4" t="inlineStr">
        <is>
          <t>Africa Paper and Pulp Plants</t>
        </is>
      </c>
      <c r="B399" s="4" t="inlineStr">
        <is>
          <t>unit guessed from a generic keyword; lead with no dates</t>
        </is>
      </c>
      <c r="C399" s="4" t="inlineStr">
        <is>
          <t>APAD</t>
        </is>
      </c>
      <c r="D399" s="4" t="inlineStr"/>
      <c r="E399" s="4" t="inlineStr">
        <is>
          <t>Catalog lead</t>
        </is>
      </c>
      <c r="F399" s="17" t="inlineStr">
        <is>
          <t>https://registry.opendata.aws/asset-data-africa-paper-and-pulp/</t>
        </is>
      </c>
      <c r="G399" s="4" t="inlineStr">
        <is>
          <t>aws_asset_data_africa_paper_and_pulp</t>
        </is>
      </c>
    </row>
    <row r="400">
      <c r="A400" s="4" t="inlineStr">
        <is>
          <t>Africa Power Generation Plants</t>
        </is>
      </c>
      <c r="B400" s="4" t="inlineStr">
        <is>
          <t>unit guessed from a generic keyword; lead with no dates</t>
        </is>
      </c>
      <c r="C400" s="4" t="inlineStr">
        <is>
          <t>APAD</t>
        </is>
      </c>
      <c r="D400" s="4" t="inlineStr"/>
      <c r="E400" s="4" t="inlineStr">
        <is>
          <t>Catalog lead</t>
        </is>
      </c>
      <c r="F400" s="17" t="inlineStr">
        <is>
          <t>https://registry.opendata.aws/asset-data-africa-power-generation/</t>
        </is>
      </c>
      <c r="G400" s="4" t="inlineStr">
        <is>
          <t>aws_asset_data_africa_power_generation</t>
        </is>
      </c>
    </row>
    <row r="401">
      <c r="A401" s="4" t="inlineStr">
        <is>
          <t>Africa Steel Plants</t>
        </is>
      </c>
      <c r="B401" s="4" t="inlineStr">
        <is>
          <t>unit guessed from a generic keyword; lead with no dates</t>
        </is>
      </c>
      <c r="C401" s="4" t="inlineStr">
        <is>
          <t>APAD</t>
        </is>
      </c>
      <c r="D401" s="4" t="inlineStr"/>
      <c r="E401" s="4" t="inlineStr">
        <is>
          <t>Catalog lead</t>
        </is>
      </c>
      <c r="F401" s="17" t="inlineStr">
        <is>
          <t>https://registry.opendata.aws/asset-data-africa-steel/</t>
        </is>
      </c>
      <c r="G401" s="4" t="inlineStr">
        <is>
          <t>aws_asset_data_africa_steel</t>
        </is>
      </c>
    </row>
    <row r="402">
      <c r="A402" s="4" t="inlineStr">
        <is>
          <t>Air Quality Index Regions</t>
        </is>
      </c>
      <c r="B402" s="4" t="inlineStr">
        <is>
          <t>unit guessed from a generic keyword; lead with no dates</t>
        </is>
      </c>
      <c r="C402" s="4" t="inlineStr">
        <is>
          <t>Environmental Protection Agency</t>
        </is>
      </c>
      <c r="D402" s="4" t="inlineStr"/>
      <c r="E402" s="4" t="inlineStr">
        <is>
          <t>Catalog lead</t>
        </is>
      </c>
      <c r="F402" s="17" t="inlineStr">
        <is>
          <t>https://data.gov.ie/dataset/air-quality-index-regions</t>
        </is>
      </c>
      <c r="G402" s="4" t="inlineStr">
        <is>
          <t>ie_datagovie_air_quality_index_regions</t>
        </is>
      </c>
    </row>
    <row r="403">
      <c r="A403" s="4" t="inlineStr">
        <is>
          <t>Bathing Sites Monitoring Facilities</t>
        </is>
      </c>
      <c r="B403" s="4" t="inlineStr">
        <is>
          <t>unit guessed from a generic keyword; lead with no dates</t>
        </is>
      </c>
      <c r="C403" s="4" t="inlineStr">
        <is>
          <t>Planning Authority</t>
        </is>
      </c>
      <c r="D403" s="4" t="inlineStr"/>
      <c r="E403" s="4" t="inlineStr">
        <is>
          <t>Catalog lead</t>
        </is>
      </c>
      <c r="F403" s="17" t="inlineStr">
        <is>
          <t>https://data.europa.eu/data/datasets/6049508c-81b7-4865-b7a7-537f5252e382</t>
        </is>
      </c>
      <c r="G403" s="4" t="inlineStr">
        <is>
          <t>eu_dataeuropa_bathing_sites_monitoring_facilities</t>
        </is>
      </c>
    </row>
    <row r="404">
      <c r="A404" s="4" t="inlineStr">
        <is>
          <t>Contaminated Sites Database (DWER-059)</t>
        </is>
      </c>
      <c r="B404" s="4" t="inlineStr">
        <is>
          <t>unit guessed from a generic keyword; lead with no dates</t>
        </is>
      </c>
      <c r="C404" s="4" t="inlineStr">
        <is>
          <t>Department of Water and Environmental Regulation</t>
        </is>
      </c>
      <c r="D404" s="4" t="inlineStr"/>
      <c r="E404" s="4" t="inlineStr">
        <is>
          <t>Catalog lead</t>
        </is>
      </c>
      <c r="F404" s="17" t="inlineStr">
        <is>
          <t>https://data.gov.au/data/dataset/contaminated-reported-sites-dwer-059</t>
        </is>
      </c>
      <c r="G404" s="4" t="inlineStr">
        <is>
          <t>au_datagovau_contaminated_sites_database_dwer_059</t>
        </is>
      </c>
    </row>
    <row r="405">
      <c r="A405" s="4" t="inlineStr">
        <is>
          <t>EPA Victoria Victorian Landfill Register (VLR) - Location Points</t>
        </is>
      </c>
      <c r="B405" s="4" t="inlineStr">
        <is>
          <t>unit guessed from a generic keyword; lead with no dates</t>
        </is>
      </c>
      <c r="C405" s="4" t="inlineStr">
        <is>
          <t>Environment Protection Authority Victoria</t>
        </is>
      </c>
      <c r="D405" s="4" t="inlineStr"/>
      <c r="E405" s="4" t="inlineStr">
        <is>
          <t>Catalog lead</t>
        </is>
      </c>
      <c r="F405" s="17" t="inlineStr">
        <is>
          <t>https://data.gov.au/data/dataset/epa-victoria-victorian-landfill-register-vlr-location-points</t>
        </is>
      </c>
      <c r="G405" s="4" t="inlineStr">
        <is>
          <t>au_datagovau_epa_victoria_victorian_landfill_register_vlr_location_p</t>
        </is>
      </c>
    </row>
    <row r="406">
      <c r="A406" s="4" t="inlineStr">
        <is>
          <t>Groundwater Historically Polluted Site Pressures</t>
        </is>
      </c>
      <c r="B406" s="4" t="inlineStr">
        <is>
          <t>unit guessed from a generic keyword; lead with no dates</t>
        </is>
      </c>
      <c r="C406" s="4" t="inlineStr">
        <is>
          <t>Environmental Protection Agency</t>
        </is>
      </c>
      <c r="D406" s="4" t="inlineStr"/>
      <c r="E406" s="4" t="inlineStr">
        <is>
          <t>Catalog lead</t>
        </is>
      </c>
      <c r="F406" s="17" t="inlineStr">
        <is>
          <t>https://data.gov.ie/dataset/groundwater-historically-polluted-site-pressures</t>
        </is>
      </c>
      <c r="G406" s="4" t="inlineStr">
        <is>
          <t>ie_datagovie_groundwater_historically_polluted_site_pressures</t>
        </is>
      </c>
    </row>
    <row r="407">
      <c r="A407" s="4" t="inlineStr">
        <is>
          <t>Groundwater Monitoring Network</t>
        </is>
      </c>
      <c r="B407" s="4" t="inlineStr">
        <is>
          <t>unit guessed from a generic keyword; lead with no dates</t>
        </is>
      </c>
      <c r="C407" s="4" t="inlineStr">
        <is>
          <t>Planning Authority</t>
        </is>
      </c>
      <c r="D407" s="4" t="inlineStr"/>
      <c r="E407" s="4" t="inlineStr">
        <is>
          <t>Catalog lead</t>
        </is>
      </c>
      <c r="F407" s="17" t="inlineStr">
        <is>
          <t>https://data.europa.eu/data/datasets/c9b9a877-d0ad-4378-9be4-055d1867b508</t>
        </is>
      </c>
      <c r="G407" s="4" t="inlineStr">
        <is>
          <t>eu_dataeuropa_groundwater_monitoring_network</t>
        </is>
      </c>
    </row>
    <row r="408">
      <c r="A408" s="4" t="inlineStr">
        <is>
          <t>HEATH Habitat Network</t>
        </is>
      </c>
      <c r="B408" s="4" t="inlineStr">
        <is>
          <t>unit guessed from a generic keyword; lead with no dates</t>
        </is>
      </c>
      <c r="C408" s="4" t="inlineStr">
        <is>
          <t>OpenDataNI</t>
        </is>
      </c>
      <c r="D408" s="4" t="inlineStr"/>
      <c r="E408" s="4" t="inlineStr">
        <is>
          <t>Catalog lead</t>
        </is>
      </c>
      <c r="F408" s="17" t="inlineStr">
        <is>
          <t>https://data.europa.eu/data/datasets/heath-habitat-network</t>
        </is>
      </c>
      <c r="G408" s="4" t="inlineStr">
        <is>
          <t>eu_dataeuropa_heath_habitat_network</t>
        </is>
      </c>
    </row>
    <row r="409">
      <c r="A409" s="4" t="inlineStr">
        <is>
          <t>IGP Cement Plants</t>
        </is>
      </c>
      <c r="B409" s="4" t="inlineStr">
        <is>
          <t>unit guessed from a generic keyword; lead with no dates</t>
        </is>
      </c>
      <c r="C409" s="4" t="inlineStr">
        <is>
          <t>APAD</t>
        </is>
      </c>
      <c r="D409" s="4" t="inlineStr"/>
      <c r="E409" s="4" t="inlineStr">
        <is>
          <t>Catalog lead</t>
        </is>
      </c>
      <c r="F409" s="17" t="inlineStr">
        <is>
          <t>https://registry.opendata.aws/asset-data-igp-cement/</t>
        </is>
      </c>
      <c r="G409" s="4" t="inlineStr">
        <is>
          <t>aws_asset_data_igp_cement</t>
        </is>
      </c>
    </row>
    <row r="410">
      <c r="A410" s="4" t="inlineStr">
        <is>
          <t>IGP Coal Plant</t>
        </is>
      </c>
      <c r="B410" s="4" t="inlineStr">
        <is>
          <t>unit guessed from a generic keyword; lead with no dates</t>
        </is>
      </c>
      <c r="C410" s="4" t="inlineStr">
        <is>
          <t>APAD</t>
        </is>
      </c>
      <c r="D410" s="4" t="inlineStr"/>
      <c r="E410" s="4" t="inlineStr">
        <is>
          <t>Catalog lead</t>
        </is>
      </c>
      <c r="F410" s="17" t="inlineStr">
        <is>
          <t>https://registry.opendata.aws/asset-data-igp-coal-plant/</t>
        </is>
      </c>
      <c r="G410" s="4" t="inlineStr">
        <is>
          <t>aws_asset_data_igp_coal_plant</t>
        </is>
      </c>
    </row>
    <row r="411">
      <c r="A411" s="4" t="inlineStr">
        <is>
          <t>IGP Paper and Pulp Plant</t>
        </is>
      </c>
      <c r="B411" s="4" t="inlineStr">
        <is>
          <t>unit guessed from a generic keyword; lead with no dates</t>
        </is>
      </c>
      <c r="C411" s="4" t="inlineStr">
        <is>
          <t>APAD</t>
        </is>
      </c>
      <c r="D411" s="4" t="inlineStr"/>
      <c r="E411" s="4" t="inlineStr">
        <is>
          <t>Catalog lead</t>
        </is>
      </c>
      <c r="F411" s="17" t="inlineStr">
        <is>
          <t>https://registry.opendata.aws/asset-data-igp-paper-and-pulp/</t>
        </is>
      </c>
      <c r="G411" s="4" t="inlineStr">
        <is>
          <t>aws_asset_data_igp_paper_and_pulp</t>
        </is>
      </c>
    </row>
    <row r="412">
      <c r="A412" s="4" t="inlineStr">
        <is>
          <t>IGP Power Generation Plant</t>
        </is>
      </c>
      <c r="B412" s="4" t="inlineStr">
        <is>
          <t>unit guessed from a generic keyword; lead with no dates</t>
        </is>
      </c>
      <c r="C412" s="4" t="inlineStr">
        <is>
          <t>APAD</t>
        </is>
      </c>
      <c r="D412" s="4" t="inlineStr"/>
      <c r="E412" s="4" t="inlineStr">
        <is>
          <t>Catalog lead</t>
        </is>
      </c>
      <c r="F412" s="17" t="inlineStr">
        <is>
          <t>https://registry.opendata.aws/asset-data-igp-power-generation/</t>
        </is>
      </c>
      <c r="G412" s="4" t="inlineStr">
        <is>
          <t>aws_asset_data_igp_power_generation</t>
        </is>
      </c>
    </row>
    <row r="413">
      <c r="A413" s="4" t="inlineStr">
        <is>
          <t>IGP Steel Plants</t>
        </is>
      </c>
      <c r="B413" s="4" t="inlineStr">
        <is>
          <t>unit guessed from a generic keyword; lead with no dates</t>
        </is>
      </c>
      <c r="C413" s="4" t="inlineStr">
        <is>
          <t>APAD</t>
        </is>
      </c>
      <c r="D413" s="4" t="inlineStr"/>
      <c r="E413" s="4" t="inlineStr">
        <is>
          <t>Catalog lead</t>
        </is>
      </c>
      <c r="F413" s="17" t="inlineStr">
        <is>
          <t>https://registry.opendata.aws/asset-data-igp-steel/</t>
        </is>
      </c>
      <c r="G413" s="4" t="inlineStr">
        <is>
          <t>aws_asset_data_igp_steel</t>
        </is>
      </c>
    </row>
    <row r="414">
      <c r="A414" s="4" t="inlineStr">
        <is>
          <t>Income budget of the Vysočina Region</t>
        </is>
      </c>
      <c r="B414" s="4" t="inlineStr">
        <is>
          <t>unit guessed from a generic keyword; lead with no dates</t>
        </is>
      </c>
      <c r="C414" s="4" t="inlineStr">
        <is>
          <t>Kraj Vysočina</t>
        </is>
      </c>
      <c r="D414" s="4" t="inlineStr"/>
      <c r="E414" s="4" t="inlineStr">
        <is>
          <t>Catalog lead</t>
        </is>
      </c>
      <c r="F414" s="17" t="inlineStr">
        <is>
          <t>https://data.europa.eu/data/datasets/https-maps-kr-vysocina-cz-lkod-item-dataset-rozpoc-et-pr-i-jmu-kraje-vysoc-ina-jsonld</t>
        </is>
      </c>
      <c r="G414" s="4" t="inlineStr">
        <is>
          <t>eu_dataeuropa_income_budget_of_the_vyso_ina_region</t>
        </is>
      </c>
    </row>
    <row r="415">
      <c r="A415" s="4" t="inlineStr">
        <is>
          <t>Integrated Pollution Control (IPC) sites</t>
        </is>
      </c>
      <c r="B415" s="4" t="inlineStr">
        <is>
          <t>unit guessed from a generic keyword; lead with no dates</t>
        </is>
      </c>
      <c r="C415" s="4" t="inlineStr">
        <is>
          <t>Environmental Protection Agency</t>
        </is>
      </c>
      <c r="D415" s="4" t="inlineStr"/>
      <c r="E415" s="4" t="inlineStr">
        <is>
          <t>Catalog lead</t>
        </is>
      </c>
      <c r="F415" s="17" t="inlineStr">
        <is>
          <t>https://data.gov.ie/dataset/integrated-pollution-control-ipc-sites</t>
        </is>
      </c>
      <c r="G415" s="4" t="inlineStr">
        <is>
          <t>ie_datagovie_integrated_pollution_control_ipc_sites</t>
        </is>
      </c>
    </row>
    <row r="416">
      <c r="A416" s="4" t="inlineStr">
        <is>
          <t>Lake and TRaC Historically Polluted Site Pressures</t>
        </is>
      </c>
      <c r="B416" s="4" t="inlineStr">
        <is>
          <t>unit guessed from a generic keyword; lead with no dates</t>
        </is>
      </c>
      <c r="C416" s="4" t="inlineStr">
        <is>
          <t>Environmental Protection Agency</t>
        </is>
      </c>
      <c r="D416" s="4" t="inlineStr"/>
      <c r="E416" s="4" t="inlineStr">
        <is>
          <t>Catalog lead</t>
        </is>
      </c>
      <c r="F416" s="17" t="inlineStr">
        <is>
          <t>https://data.gov.ie/dataset/lake-and-trac-historically-polluted-site-pressures</t>
        </is>
      </c>
      <c r="G416" s="4" t="inlineStr">
        <is>
          <t>ie_datagovie_lake_and_trac_historically_polluted_site_pressures</t>
        </is>
      </c>
    </row>
    <row r="417">
      <c r="A417" s="4" t="inlineStr">
        <is>
          <t>Landfill Sites in Thailand</t>
        </is>
      </c>
      <c r="B417" s="4" t="inlineStr">
        <is>
          <t>unit guessed from a generic keyword; lead with no dates</t>
        </is>
      </c>
      <c r="C417" s="4" t="inlineStr">
        <is>
          <t>Open Development Thailand</t>
        </is>
      </c>
      <c r="D417" s="4" t="inlineStr"/>
      <c r="E417" s="4" t="inlineStr">
        <is>
          <t>Catalog lead</t>
        </is>
      </c>
      <c r="F417" s="17" t="inlineStr">
        <is>
          <t>https://data.opendevelopmentmekong.net/dataset/waste-dumping-sites</t>
        </is>
      </c>
      <c r="G417" s="4" t="inlineStr">
        <is>
          <t>mekong_odm_landfill_sites_in_thailand</t>
        </is>
      </c>
    </row>
    <row r="418">
      <c r="A418" s="4" t="inlineStr">
        <is>
          <t>les sites et sols pollués dans l'Essonne</t>
        </is>
      </c>
      <c r="B418" s="4" t="inlineStr">
        <is>
          <t>unit guessed from a generic keyword; lead with no dates</t>
        </is>
      </c>
      <c r="C418" s="4" t="inlineStr">
        <is>
          <t>Direction Départementale des Territoires de l'Essonne</t>
        </is>
      </c>
      <c r="D418" s="4" t="inlineStr"/>
      <c r="E418" s="4" t="inlineStr">
        <is>
          <t>Catalog lead</t>
        </is>
      </c>
      <c r="F418" s="17" t="inlineStr">
        <is>
          <t>https://www.data.gouv.fr/datasets/les-sites-et-sols-pollues-dans-lessonne</t>
        </is>
      </c>
      <c r="G418" s="4" t="inlineStr">
        <is>
          <t>fr_datagouv_les_sites_et_sols_pollu_s_dans_l_essonne</t>
        </is>
      </c>
    </row>
    <row r="419">
      <c r="A419" s="4" t="inlineStr">
        <is>
          <t>Licence Enforcement and Monitoring Application Emission Points</t>
        </is>
      </c>
      <c r="B419" s="4" t="inlineStr">
        <is>
          <t>unit guessed from a generic keyword; lead with no dates</t>
        </is>
      </c>
      <c r="C419" s="4" t="inlineStr">
        <is>
          <t>Environmental Protection Agency</t>
        </is>
      </c>
      <c r="D419" s="4" t="inlineStr"/>
      <c r="E419" s="4" t="inlineStr">
        <is>
          <t>Catalog lead</t>
        </is>
      </c>
      <c r="F419" s="17" t="inlineStr">
        <is>
          <t>https://data.gov.ie/dataset/licence-enforcement-and-monitoring-application-emission-points</t>
        </is>
      </c>
      <c r="G419" s="4" t="inlineStr">
        <is>
          <t>ie_datagovie_licence_enforcement_and_monitoring_application_emission</t>
        </is>
      </c>
    </row>
    <row r="420">
      <c r="A420" s="4" t="inlineStr">
        <is>
          <t>List of Contaminated or Potentially Contaminated Sites</t>
        </is>
      </c>
      <c r="B420" s="4" t="inlineStr">
        <is>
          <t>unit guessed from a generic keyword; lead with no dates</t>
        </is>
      </c>
      <c r="C420" s="4" t="inlineStr">
        <is>
          <t>Remediation Division, Bureau of Water Protection and Land Reuse</t>
        </is>
      </c>
      <c r="D420" s="4" t="inlineStr"/>
      <c r="E420" s="4" t="inlineStr">
        <is>
          <t>Catalog lead</t>
        </is>
      </c>
      <c r="F420" s="17" t="inlineStr">
        <is>
          <t>https://data.ct.gov/d/xcxg-6jqp</t>
        </is>
      </c>
      <c r="G420" s="4" t="inlineStr">
        <is>
          <t>co_datosgovco_data_list_of_contaminated_or_potentially_contaminated_s</t>
        </is>
      </c>
    </row>
    <row r="421">
      <c r="A421" s="4" t="inlineStr">
        <is>
          <t>Localisants des sites et sols pollués de Lorraine</t>
        </is>
      </c>
      <c r="B421" s="4" t="inlineStr">
        <is>
          <t>unit guessed from a generic keyword; lead with no dates</t>
        </is>
      </c>
      <c r="C421" s="4" t="inlineStr">
        <is>
          <t>DREAL Grand Est</t>
        </is>
      </c>
      <c r="D421" s="4" t="inlineStr"/>
      <c r="E421" s="4" t="inlineStr">
        <is>
          <t>Catalog lead</t>
        </is>
      </c>
      <c r="F421" s="17" t="inlineStr">
        <is>
          <t>https://www.data.gouv.fr/datasets/localisants-des-sites-et-sols-pollues-de-lorraine-1</t>
        </is>
      </c>
      <c r="G421" s="4" t="inlineStr">
        <is>
          <t>fr_datagouv_localisants_des_sites_et_sols_pollu_s_de_lorraine</t>
        </is>
      </c>
    </row>
    <row r="422">
      <c r="A422" s="4" t="inlineStr">
        <is>
          <t>Locations Klusbus</t>
        </is>
      </c>
      <c r="B422" s="4" t="inlineStr">
        <is>
          <t>unit guessed from a generic keyword; lead with no dates</t>
        </is>
      </c>
      <c r="C422" s="4" t="inlineStr">
        <is>
          <t>Dutch government data portal</t>
        </is>
      </c>
      <c r="D422" s="4" t="inlineStr"/>
      <c r="E422" s="4" t="inlineStr">
        <is>
          <t>Catalog lead</t>
        </is>
      </c>
      <c r="F422" s="17" t="inlineStr">
        <is>
          <t>https://data.europa.eu/data/datasets/34675-locaties-klusbus</t>
        </is>
      </c>
      <c r="G422" s="4" t="inlineStr">
        <is>
          <t>eu_dataeuropa_locations_klusbus</t>
        </is>
      </c>
    </row>
    <row r="423">
      <c r="A423" s="4" t="inlineStr">
        <is>
          <t>Locations of Christmas markets</t>
        </is>
      </c>
      <c r="B423" s="4" t="inlineStr">
        <is>
          <t>unit guessed from a generic keyword; lead with no dates</t>
        </is>
      </c>
      <c r="C423" s="4" t="inlineStr">
        <is>
          <t>Münster</t>
        </is>
      </c>
      <c r="D423" s="4" t="inlineStr"/>
      <c r="E423" s="4" t="inlineStr">
        <is>
          <t>Catalog lead</t>
        </is>
      </c>
      <c r="F423" s="17" t="inlineStr">
        <is>
          <t>https://data.europa.eu/data/datasets/5f008be9-a0de-4512-8b4a-9a6677e9720f</t>
        </is>
      </c>
      <c r="G423" s="4" t="inlineStr">
        <is>
          <t>eu_dataeuropa_locations_of_christmas_markets</t>
        </is>
      </c>
    </row>
    <row r="424">
      <c r="A424" s="4" t="inlineStr">
        <is>
          <t>Locations of weekly markets</t>
        </is>
      </c>
      <c r="B424" s="4" t="inlineStr">
        <is>
          <t>unit guessed from a generic keyword; lead with no dates</t>
        </is>
      </c>
      <c r="C424" s="4" t="inlineStr">
        <is>
          <t>Bonn</t>
        </is>
      </c>
      <c r="D424" s="4" t="inlineStr"/>
      <c r="E424" s="4" t="inlineStr">
        <is>
          <t>Catalog lead</t>
        </is>
      </c>
      <c r="F424" s="17" t="inlineStr">
        <is>
          <t>https://data.europa.eu/data/datasets/c87fed13-d24e-4952-8ad4-f2fa540fed0f</t>
        </is>
      </c>
      <c r="G424" s="4" t="inlineStr">
        <is>
          <t>eu_dataeuropa_locations_of_weekly_markets</t>
        </is>
      </c>
    </row>
    <row r="425">
      <c r="A425" s="4" t="inlineStr">
        <is>
          <t>National Ambient Air Quality Sites</t>
        </is>
      </c>
      <c r="B425" s="4" t="inlineStr">
        <is>
          <t>unit guessed from a generic keyword; lead with no dates</t>
        </is>
      </c>
      <c r="C425" s="4" t="inlineStr">
        <is>
          <t>Environmental Protection Agency</t>
        </is>
      </c>
      <c r="D425" s="4" t="inlineStr"/>
      <c r="E425" s="4" t="inlineStr">
        <is>
          <t>Catalog lead</t>
        </is>
      </c>
      <c r="F425" s="17" t="inlineStr">
        <is>
          <t>https://data.gov.ie/dataset/national-ambient-air-quality-sites</t>
        </is>
      </c>
      <c r="G425" s="4" t="inlineStr">
        <is>
          <t>ie_datagovie_national_ambient_air_quality_sites</t>
        </is>
      </c>
    </row>
    <row r="426">
      <c r="A426" s="4" t="inlineStr">
        <is>
          <t>Périmètres des sites et sols pollués de Lorraine</t>
        </is>
      </c>
      <c r="B426" s="4" t="inlineStr">
        <is>
          <t>unit guessed from a generic keyword; lead with no dates</t>
        </is>
      </c>
      <c r="C426" s="4" t="inlineStr">
        <is>
          <t>DREAL Grand Est</t>
        </is>
      </c>
      <c r="D426" s="4" t="inlineStr"/>
      <c r="E426" s="4" t="inlineStr">
        <is>
          <t>Catalog lead</t>
        </is>
      </c>
      <c r="F426" s="17" t="inlineStr">
        <is>
          <t>https://www.data.gouv.fr/datasets/perimetres-des-sites-et-sols-pollues-de-lorraine-1</t>
        </is>
      </c>
      <c r="G426" s="4" t="inlineStr">
        <is>
          <t>fr_datagouv_p_rim_tres_des_sites_et_sols_pollu_s_de_lorraine</t>
        </is>
      </c>
    </row>
    <row r="427">
      <c r="A427" s="4" t="inlineStr">
        <is>
          <t>Radiation Monitoring locations</t>
        </is>
      </c>
      <c r="B427" s="4" t="inlineStr">
        <is>
          <t>unit guessed from a generic keyword; lead with no dates</t>
        </is>
      </c>
      <c r="C427" s="4" t="inlineStr">
        <is>
          <t>Environmental Protection Agency</t>
        </is>
      </c>
      <c r="D427" s="4" t="inlineStr"/>
      <c r="E427" s="4" t="inlineStr">
        <is>
          <t>Catalog lead</t>
        </is>
      </c>
      <c r="F427" s="17" t="inlineStr">
        <is>
          <t>https://data.gov.ie/dataset/radiation-monitoring-locations</t>
        </is>
      </c>
      <c r="G427" s="4" t="inlineStr">
        <is>
          <t>ie_datagovie_radiation_monitoring_locations</t>
        </is>
      </c>
    </row>
    <row r="428">
      <c r="A428" s="4" t="inlineStr">
        <is>
          <t>Refpu Acces Building (Point)</t>
        </is>
      </c>
      <c r="B428" s="4" t="inlineStr">
        <is>
          <t>unit guessed from a generic keyword; lead with no dates</t>
        </is>
      </c>
      <c r="C428" s="4" t="inlineStr">
        <is>
          <t>Office de l'urbanisme</t>
        </is>
      </c>
      <c r="D428" s="4" t="inlineStr"/>
      <c r="E428" s="4" t="inlineStr">
        <is>
          <t>Catalog lead</t>
        </is>
      </c>
      <c r="F428" s="17" t="inlineStr">
        <is>
          <t>https://data.europa.eu/data/datasets/rpu_acces_batiment-canton-geneve</t>
        </is>
      </c>
      <c r="G428" s="4" t="inlineStr">
        <is>
          <t>eu_dataeuropa_refpu_acces_building_point</t>
        </is>
      </c>
    </row>
    <row r="429">
      <c r="A429" s="4" t="inlineStr">
        <is>
          <t>River Historically Polluted Site Pressures</t>
        </is>
      </c>
      <c r="B429" s="4" t="inlineStr">
        <is>
          <t>unit guessed from a generic keyword; lead with no dates</t>
        </is>
      </c>
      <c r="C429" s="4" t="inlineStr">
        <is>
          <t>Environmental Protection Agency</t>
        </is>
      </c>
      <c r="D429" s="4" t="inlineStr"/>
      <c r="E429" s="4" t="inlineStr">
        <is>
          <t>Catalog lead</t>
        </is>
      </c>
      <c r="F429" s="17" t="inlineStr">
        <is>
          <t>https://data.gov.ie/dataset/river-historically-polluted-site-pressures</t>
        </is>
      </c>
      <c r="G429" s="4" t="inlineStr">
        <is>
          <t>ie_datagovie_river_historically_polluted_site_pressures</t>
        </is>
      </c>
    </row>
    <row r="430">
      <c r="A430" s="4" t="inlineStr">
        <is>
          <t>Sites et sols pollués ou potentiellement pollués</t>
        </is>
      </c>
      <c r="B430" s="4" t="inlineStr">
        <is>
          <t>unit guessed from a generic keyword; lead with no dates</t>
        </is>
      </c>
      <c r="C430" s="4" t="inlineStr">
        <is>
          <t>Direction Départementale des Territoires du Val-d'Oise</t>
        </is>
      </c>
      <c r="D430" s="4" t="inlineStr"/>
      <c r="E430" s="4" t="inlineStr">
        <is>
          <t>Catalog lead</t>
        </is>
      </c>
      <c r="F430" s="17" t="inlineStr">
        <is>
          <t>https://www.data.gouv.fr/datasets/sites-et-sols-pollues-ou-potentiellement-pollues</t>
        </is>
      </c>
      <c r="G430" s="4" t="inlineStr">
        <is>
          <t>fr_datagouv_sites_et_sols_pollu_s_ou_potentiellement_pollu_s</t>
        </is>
      </c>
    </row>
    <row r="431">
      <c r="A431" s="4" t="inlineStr">
        <is>
          <t>Stations de mesure de qualité de l'eau</t>
        </is>
      </c>
      <c r="B431" s="4" t="inlineStr">
        <is>
          <t>unit guessed from a generic keyword; lead with no dates</t>
        </is>
      </c>
      <c r="C431" s="4" t="inlineStr">
        <is>
          <t>Direction Départementale des Territoires du Val-d'Oise</t>
        </is>
      </c>
      <c r="D431" s="4" t="inlineStr"/>
      <c r="E431" s="4" t="inlineStr">
        <is>
          <t>Catalog lead</t>
        </is>
      </c>
      <c r="F431" s="17" t="inlineStr">
        <is>
          <t>https://www.data.gouv.fr/datasets/stations-de-mesure-de-qualite-de-leau-1</t>
        </is>
      </c>
      <c r="G431" s="4" t="inlineStr">
        <is>
          <t>fr_datagouv_stations_de_mesure_de_qualit_de_l_eau</t>
        </is>
      </c>
    </row>
    <row r="432">
      <c r="A432" s="4" t="inlineStr">
        <is>
          <t>Urban Waste Water Snapped Emission Points</t>
        </is>
      </c>
      <c r="B432" s="4" t="inlineStr">
        <is>
          <t>unit guessed from a generic keyword; lead with no dates</t>
        </is>
      </c>
      <c r="C432" s="4" t="inlineStr">
        <is>
          <t>Environmental Protection Agency</t>
        </is>
      </c>
      <c r="D432" s="4" t="inlineStr"/>
      <c r="E432" s="4" t="inlineStr">
        <is>
          <t>Catalog lead</t>
        </is>
      </c>
      <c r="F432" s="17" t="inlineStr">
        <is>
          <t>https://data.gov.ie/dataset/urban-waste-water-snapped-emission-points</t>
        </is>
      </c>
      <c r="G432" s="4" t="inlineStr">
        <is>
          <t>ie_datagovie_urban_waste_water_snapped_emission_points</t>
        </is>
      </c>
    </row>
    <row r="433">
      <c r="A433" s="4" t="inlineStr">
        <is>
          <t>Waste Emission Points</t>
        </is>
      </c>
      <c r="B433" s="4" t="inlineStr">
        <is>
          <t>unit guessed from a generic keyword; lead with no dates</t>
        </is>
      </c>
      <c r="C433" s="4" t="inlineStr">
        <is>
          <t>Environmental Protection Agency</t>
        </is>
      </c>
      <c r="D433" s="4" t="inlineStr"/>
      <c r="E433" s="4" t="inlineStr">
        <is>
          <t>Catalog lead</t>
        </is>
      </c>
      <c r="F433" s="17" t="inlineStr">
        <is>
          <t>https://data.gov.ie/dataset/waste-emission-points</t>
        </is>
      </c>
      <c r="G433" s="4" t="inlineStr">
        <is>
          <t>ie_datagovie_waste_emission_points</t>
        </is>
      </c>
    </row>
    <row r="434">
      <c r="A434" s="4" t="inlineStr">
        <is>
          <t>Waste Monitoring Points</t>
        </is>
      </c>
      <c r="B434" s="4" t="inlineStr">
        <is>
          <t>unit guessed from a generic keyword; lead with no dates</t>
        </is>
      </c>
      <c r="C434" s="4" t="inlineStr">
        <is>
          <t>Environmental Protection Agency</t>
        </is>
      </c>
      <c r="D434" s="4" t="inlineStr"/>
      <c r="E434" s="4" t="inlineStr">
        <is>
          <t>Catalog lead</t>
        </is>
      </c>
      <c r="F434" s="17" t="inlineStr">
        <is>
          <t>https://data.gov.ie/dataset/waste-monitoring-points</t>
        </is>
      </c>
      <c r="G434" s="4" t="inlineStr">
        <is>
          <t>ie_datagovie_waste_monitoring_points</t>
        </is>
      </c>
    </row>
    <row r="435">
      <c r="A435" s="4" t="inlineStr">
        <is>
          <t>NACP MCI: CO2 Emissions Inventory, Upper Midwest Region, USA., 2007</t>
        </is>
      </c>
      <c r="B435" s="4" t="inlineStr">
        <is>
          <t>unit guessed from a generic keyword; stale snapshot: lead ending 2007</t>
        </is>
      </c>
      <c r="C435" s="4" t="inlineStr">
        <is>
          <t>NASA Earthdata</t>
        </is>
      </c>
      <c r="D435" s="4" t="n">
        <v>2007</v>
      </c>
      <c r="E435" s="4" t="inlineStr">
        <is>
          <t>Catalog lead</t>
        </is>
      </c>
      <c r="F435" s="17" t="inlineStr">
        <is>
          <t>https://cmr.earthdata.nasa.gov/search/concepts/C2539907396-ORNL_CLOUD.html</t>
        </is>
      </c>
      <c r="G435" s="4" t="inlineStr">
        <is>
          <t>nasa_cmr_nacp_mci_co2_inventory_1205</t>
        </is>
      </c>
    </row>
    <row r="436">
      <c r="A436" s="4" t="inlineStr">
        <is>
          <t>Arctic Vegetation Plots in NPS Arctic Network Parks, Alaska, 2002-2008</t>
        </is>
      </c>
      <c r="B436" s="4" t="inlineStr">
        <is>
          <t>unit guessed from a generic keyword; stale snapshot: lead ending 2008</t>
        </is>
      </c>
      <c r="C436" s="4" t="inlineStr">
        <is>
          <t>NASA Earthdata</t>
        </is>
      </c>
      <c r="D436" s="4" t="n">
        <v>2008</v>
      </c>
      <c r="E436" s="4" t="inlineStr">
        <is>
          <t>Catalog lead</t>
        </is>
      </c>
      <c r="F436" s="17" t="inlineStr">
        <is>
          <t>https://cmr.earthdata.nasa.gov/search/concepts/C2162120326-ORNL_CLOUD.html</t>
        </is>
      </c>
      <c r="G436" s="4" t="inlineStr">
        <is>
          <t>nasa_cmr_arctic_network_veg_plots_1542</t>
        </is>
      </c>
    </row>
    <row r="437">
      <c r="A437" s="4" t="inlineStr">
        <is>
          <t>Philippines - Region VI Households under the 4P</t>
        </is>
      </c>
      <c r="B437" s="4" t="inlineStr">
        <is>
          <t>unit guessed from a generic keyword; stale snapshot: lead ending 2013</t>
        </is>
      </c>
      <c r="C437" s="4" t="inlineStr">
        <is>
          <t>OCHA Philippines</t>
        </is>
      </c>
      <c r="D437" s="4" t="n">
        <v>2013</v>
      </c>
      <c r="E437" s="4" t="inlineStr">
        <is>
          <t>Catalog lead</t>
        </is>
      </c>
      <c r="F437" s="17" t="inlineStr">
        <is>
          <t>https://data.humdata.org/dataset/philippines-other-0-0-0-0</t>
        </is>
      </c>
      <c r="G437" s="4" t="inlineStr">
        <is>
          <t>hdx_philippines_region_vi_households_under_the_4p</t>
        </is>
      </c>
    </row>
    <row r="438">
      <c r="A438" s="4" t="inlineStr">
        <is>
          <t>Philippines - Region VII - Households under the 4P</t>
        </is>
      </c>
      <c r="B438" s="4" t="inlineStr">
        <is>
          <t>unit guessed from a generic keyword; stale snapshot: lead ending 2013</t>
        </is>
      </c>
      <c r="C438" s="4" t="inlineStr">
        <is>
          <t>OCHA Philippines</t>
        </is>
      </c>
      <c r="D438" s="4" t="n">
        <v>2013</v>
      </c>
      <c r="E438" s="4" t="inlineStr">
        <is>
          <t>Catalog lead</t>
        </is>
      </c>
      <c r="F438" s="17" t="inlineStr">
        <is>
          <t>https://data.humdata.org/dataset/philippines-other-0-0-0</t>
        </is>
      </c>
      <c r="G438" s="4" t="inlineStr">
        <is>
          <t>hdx_philippines_region_vii_households_under_the_4p</t>
        </is>
      </c>
    </row>
    <row r="439">
      <c r="A439" s="4" t="inlineStr">
        <is>
          <t>Philippines - Region VIII - Households under the 4P</t>
        </is>
      </c>
      <c r="B439" s="4" t="inlineStr">
        <is>
          <t>unit guessed from a generic keyword; stale snapshot: lead ending 2013</t>
        </is>
      </c>
      <c r="C439" s="4" t="inlineStr">
        <is>
          <t>OCHA Philippines</t>
        </is>
      </c>
      <c r="D439" s="4" t="n">
        <v>2013</v>
      </c>
      <c r="E439" s="4" t="inlineStr">
        <is>
          <t>Catalog lead</t>
        </is>
      </c>
      <c r="F439" s="17" t="inlineStr">
        <is>
          <t>https://data.humdata.org/dataset/philippines-other-0-0-0-0-0-0-0-0-0-0-0</t>
        </is>
      </c>
      <c r="G439" s="4" t="inlineStr">
        <is>
          <t>hdx_philippines_region_viii_households_under_the_4p</t>
        </is>
      </c>
    </row>
    <row r="440">
      <c r="A440" s="4" t="inlineStr">
        <is>
          <t>ATTAINS (Assessment, TMDL Tracking and Implementation System) water quality assessments</t>
        </is>
      </c>
      <c r="B440" s="4" t="inlineStr">
        <is>
          <t>withdrawn (publisher says retired/discontinued)</t>
        </is>
      </c>
      <c r="C440" s="4" t="inlineStr">
        <is>
          <t>US EPA</t>
        </is>
      </c>
      <c r="D440" s="4" t="inlineStr"/>
      <c r="E440" s="4" t="inlineStr">
        <is>
          <t>Curated</t>
        </is>
      </c>
      <c r="F440" s="17" t="inlineStr">
        <is>
          <t>https://www.epa.gov/waterdata/get-data-access-public-attains-data</t>
        </is>
      </c>
      <c r="G440" s="4" t="inlineStr">
        <is>
          <t>us_epa_attains</t>
        </is>
      </c>
    </row>
    <row r="441">
      <c r="A441" s="4" t="inlineStr">
        <is>
          <t>Berkeley Earth Surface Temperatures (global gridded land/ocean, high-resolution 0.25 deg beta, city and country series)</t>
        </is>
      </c>
      <c r="B441" s="4" t="inlineStr">
        <is>
          <t>withdrawn (publisher says retired/discontinued)</t>
        </is>
      </c>
      <c r="C441" s="4" t="inlineStr">
        <is>
          <t>Berkeley Earth</t>
        </is>
      </c>
      <c r="D441" s="4" t="inlineStr">
        <is>
          <t>current</t>
        </is>
      </c>
      <c r="E441" s="4" t="inlineStr">
        <is>
          <t>Curated</t>
        </is>
      </c>
      <c r="F441" s="17" t="inlineStr">
        <is>
          <t>https://berkeleyearth.org/data/</t>
        </is>
      </c>
      <c r="G441" s="4" t="inlineStr">
        <is>
          <t>global_berkeley_earth_temperature</t>
        </is>
      </c>
    </row>
    <row r="442">
      <c r="A442" s="4" t="inlineStr">
        <is>
          <t>Canadian Digital Elevation Model (CDEM)</t>
        </is>
      </c>
      <c r="B442" s="4" t="inlineStr">
        <is>
          <t>withdrawn (publisher says retired/discontinued)</t>
        </is>
      </c>
      <c r="C442" s="4" t="inlineStr">
        <is>
          <t>Natural Resources Canada</t>
        </is>
      </c>
      <c r="D442" s="4" t="n">
        <v>2011</v>
      </c>
      <c r="E442" s="4" t="inlineStr">
        <is>
          <t>Curated</t>
        </is>
      </c>
      <c r="F442" s="17" t="inlineStr">
        <is>
          <t>https://open.canada.ca/data/en/dataset/7f245e4d-76c2-4caa-951a-45d1d2051333</t>
        </is>
      </c>
      <c r="G442" s="4" t="inlineStr">
        <is>
          <t>ca_nrcan_cdem</t>
        </is>
      </c>
    </row>
    <row r="443">
      <c r="A443" s="4" t="inlineStr">
        <is>
          <t>Climate and Economic Justice Screening Tool (CEJST) 2.0 - withdrawn; archive copies</t>
        </is>
      </c>
      <c r="B443" s="4" t="inlineStr">
        <is>
          <t>withdrawn (publisher says retired/discontinued)</t>
        </is>
      </c>
      <c r="C443" s="4" t="inlineStr">
        <is>
          <t>White House Council on Environmental Quality (original); Public Environmental Data Partners (mirror)</t>
        </is>
      </c>
      <c r="D443" s="4" t="n">
        <v>2024</v>
      </c>
      <c r="E443" s="4" t="inlineStr">
        <is>
          <t>Curated</t>
        </is>
      </c>
      <c r="F443" s="17" t="inlineStr">
        <is>
          <t>https://eelp.law.harvard.edu/tracker/ceqs-climate-economic-justice-screening-tool-removed/</t>
        </is>
      </c>
      <c r="G443" s="4" t="inlineStr">
        <is>
          <t>us_ceq_cejst</t>
        </is>
      </c>
    </row>
    <row r="444">
      <c r="A444" s="4" t="inlineStr">
        <is>
          <t>EJScreen: Environmental Justice Screening and Mapping Tool (v2.3) - withdrawn from EPA; PEDP mirror</t>
        </is>
      </c>
      <c r="B444" s="4" t="inlineStr">
        <is>
          <t>withdrawn (publisher says retired/discontinued)</t>
        </is>
      </c>
      <c r="C444" s="4" t="inlineStr">
        <is>
          <t>US EPA (original); Public Environmental Data Partners (mirror)</t>
        </is>
      </c>
      <c r="D444" s="4" t="n">
        <v>2024</v>
      </c>
      <c r="E444" s="4" t="inlineStr">
        <is>
          <t>Curated</t>
        </is>
      </c>
      <c r="F444" s="17" t="inlineStr">
        <is>
          <t>https://screening-tools.com/epa-ejscreen</t>
        </is>
      </c>
      <c r="G444" s="4" t="inlineStr">
        <is>
          <t>us_epa_ejscreen</t>
        </is>
      </c>
    </row>
    <row r="445">
      <c r="A445" s="4" t="inlineStr">
        <is>
          <t>Global Land Data Assimilation System (GLDAS) Noah/CLM/VIC/Catchment land surface products</t>
        </is>
      </c>
      <c r="B445" s="4" t="inlineStr">
        <is>
          <t>withdrawn (publisher says retired/discontinued)</t>
        </is>
      </c>
      <c r="C445" s="4" t="inlineStr">
        <is>
          <t>NASA</t>
        </is>
      </c>
      <c r="D445" s="4" t="inlineStr">
        <is>
          <t>current</t>
        </is>
      </c>
      <c r="E445" s="4" t="inlineStr">
        <is>
          <t>Curated</t>
        </is>
      </c>
      <c r="F445" s="17" t="inlineStr">
        <is>
          <t>https://ldas.gsfc.nasa.gov/gldas</t>
        </is>
      </c>
      <c r="G445" s="4" t="inlineStr">
        <is>
          <t>global_nasa_gldas</t>
        </is>
      </c>
    </row>
    <row r="446">
      <c r="A446" s="4" t="inlineStr">
        <is>
          <t>Hazus (loss estimation software and baseline inventory data)</t>
        </is>
      </c>
      <c r="B446" s="4" t="inlineStr">
        <is>
          <t>withdrawn (publisher says retired/discontinued)</t>
        </is>
      </c>
      <c r="C446" s="4" t="inlineStr">
        <is>
          <t>FEMA</t>
        </is>
      </c>
      <c r="D446" s="4" t="inlineStr">
        <is>
          <t>current</t>
        </is>
      </c>
      <c r="E446" s="4" t="inlineStr">
        <is>
          <t>Curated</t>
        </is>
      </c>
      <c r="F446" s="17" t="inlineStr">
        <is>
          <t>https://www.fema.gov/flood-maps/products-tools/hazus</t>
        </is>
      </c>
      <c r="G446" s="4" t="inlineStr">
        <is>
          <t>us_fema_hazus</t>
        </is>
      </c>
    </row>
    <row r="447">
      <c r="A447" s="4" t="inlineStr">
        <is>
          <t>Local Climatological Data (LCD) Version 2</t>
        </is>
      </c>
      <c r="B447" s="4" t="inlineStr">
        <is>
          <t>withdrawn (publisher says retired/discontinued)</t>
        </is>
      </c>
      <c r="C447" s="4" t="inlineStr">
        <is>
          <t>NOAA</t>
        </is>
      </c>
      <c r="D447" s="4" t="inlineStr">
        <is>
          <t>current</t>
        </is>
      </c>
      <c r="E447" s="4" t="inlineStr">
        <is>
          <t>Curated</t>
        </is>
      </c>
      <c r="F447" s="17" t="inlineStr">
        <is>
          <t>https://www.ncei.noaa.gov/products/land-based-station/local-climatological-data</t>
        </is>
      </c>
      <c r="G447" s="4" t="inlineStr">
        <is>
          <t>us_noaa_lcd</t>
        </is>
      </c>
    </row>
    <row r="448">
      <c r="A448" s="4" t="inlineStr">
        <is>
          <t>National Hydrography Dataset (NHD) and NHDPlus HR</t>
        </is>
      </c>
      <c r="B448" s="4" t="inlineStr">
        <is>
          <t>withdrawn (publisher says retired/discontinued)</t>
        </is>
      </c>
      <c r="C448" s="4" t="inlineStr">
        <is>
          <t>USGS</t>
        </is>
      </c>
      <c r="D448" s="4" t="inlineStr">
        <is>
          <t>current</t>
        </is>
      </c>
      <c r="E448" s="4" t="inlineStr">
        <is>
          <t>Curated</t>
        </is>
      </c>
      <c r="F448" s="17" t="inlineStr">
        <is>
          <t>https://www.usgs.gov/national-hydrography/national-hydrography-dataset</t>
        </is>
      </c>
      <c r="G448" s="4" t="inlineStr">
        <is>
          <t>us_usgs_nhd</t>
        </is>
      </c>
    </row>
    <row r="449">
      <c r="A449" s="4" t="inlineStr">
        <is>
          <t>NLDAS (North American Land Data Assimilation System)</t>
        </is>
      </c>
      <c r="B449" s="4" t="inlineStr">
        <is>
          <t>withdrawn (publisher says retired/discontinued)</t>
        </is>
      </c>
      <c r="C449" s="4" t="inlineStr">
        <is>
          <t>NASA</t>
        </is>
      </c>
      <c r="D449" s="4" t="inlineStr">
        <is>
          <t>current</t>
        </is>
      </c>
      <c r="E449" s="4" t="inlineStr">
        <is>
          <t>Curated</t>
        </is>
      </c>
      <c r="F449" s="17" t="inlineStr">
        <is>
          <t>https://ldas.gsfc.nasa.gov/nldas</t>
        </is>
      </c>
      <c r="G449" s="4" t="inlineStr">
        <is>
          <t>us_nasa_nldas</t>
        </is>
      </c>
    </row>
    <row r="450">
      <c r="A450" s="4" t="inlineStr">
        <is>
          <t>Superfund Data and Reports (SEMS active/archived site inventories; NPL site lists)</t>
        </is>
      </c>
      <c r="B450" s="4" t="inlineStr">
        <is>
          <t>withdrawn (publisher says retired/discontinued)</t>
        </is>
      </c>
      <c r="C450" s="4" t="inlineStr">
        <is>
          <t>US EPA</t>
        </is>
      </c>
      <c r="D450" s="4" t="inlineStr">
        <is>
          <t>current</t>
        </is>
      </c>
      <c r="E450" s="4" t="inlineStr">
        <is>
          <t>Curated</t>
        </is>
      </c>
      <c r="F450" s="17" t="inlineStr">
        <is>
          <t>https://www.epa.gov/superfund/superfund-data-and-reports</t>
        </is>
      </c>
      <c r="G450" s="4" t="inlineStr">
        <is>
          <t>us_epa_superfund_sems_npl</t>
        </is>
      </c>
    </row>
    <row r="451">
      <c r="A451" s="4" t="inlineStr">
        <is>
          <t>TEMIS clear-sky UV index and UV dose (archives v2.0-2.2 and daily forecasts)</t>
        </is>
      </c>
      <c r="B451" s="4" t="inlineStr">
        <is>
          <t>withdrawn (publisher says retired/discontinued)</t>
        </is>
      </c>
      <c r="C451" s="4" t="inlineStr">
        <is>
          <t>KNMI (Royal Netherlands Meteorological Institute)</t>
        </is>
      </c>
      <c r="D451" s="4" t="inlineStr">
        <is>
          <t>current</t>
        </is>
      </c>
      <c r="E451" s="4" t="inlineStr">
        <is>
          <t>Curated</t>
        </is>
      </c>
      <c r="F451" s="17" t="inlineStr">
        <is>
          <t>https://www.temis.nl/uvradiation/UVindex.php</t>
        </is>
      </c>
      <c r="G451" s="4" t="inlineStr">
        <is>
          <t>global_temis_uv_index</t>
        </is>
      </c>
    </row>
    <row r="452">
      <c r="A452" s="4" t="inlineStr">
        <is>
          <t>UNDRR Global Assessment Report (GAR) Risk Information Exchange (RiX) and GAR Atlas global hazard and risk datasets</t>
        </is>
      </c>
      <c r="B452" s="4" t="inlineStr">
        <is>
          <t>withdrawn (publisher says retired/discontinued)</t>
        </is>
      </c>
      <c r="C452" s="4" t="inlineStr">
        <is>
          <t>UNDRR</t>
        </is>
      </c>
      <c r="D452" s="4" t="inlineStr">
        <is>
          <t>current</t>
        </is>
      </c>
      <c r="E452" s="4" t="inlineStr">
        <is>
          <t>Curated</t>
        </is>
      </c>
      <c r="F452" s="17" t="inlineStr">
        <is>
          <t>https://risk.preventionweb.net/</t>
        </is>
      </c>
      <c r="G452" s="4" t="inlineStr">
        <is>
          <t>global_undrr_gar_risk_information_exchange</t>
        </is>
      </c>
    </row>
    <row r="453">
      <c r="A453" s="4" t="inlineStr">
        <is>
          <t>Miami-Dade Community Health Centers</t>
        </is>
      </c>
      <c r="B453" s="4" t="inlineStr">
        <is>
          <t xml:space="preserve">FAILED verification: </t>
        </is>
      </c>
      <c r="C453" s="4" t="inlineStr">
        <is>
          <t>Miami-Dade County</t>
        </is>
      </c>
      <c r="D453" s="4" t="inlineStr"/>
      <c r="E453" s="4" t="inlineStr">
        <is>
          <t>Curated</t>
        </is>
      </c>
      <c r="F453" s="17" t="inlineStr">
        <is>
          <t>https://gis-mdc.opendata.arcgis.com/datasets/MDC::commercial-property/about</t>
        </is>
      </c>
      <c r="G453" s="4" t="inlineStr">
        <is>
          <t>us_mdc_community_health_centers</t>
        </is>
      </c>
    </row>
    <row r="454">
      <c r="A454" s="4" t="inlineStr">
        <is>
          <t>Brazil: Epidemiological and hospital indicators on covid-19 in Ouro Preto</t>
        </is>
      </c>
      <c r="B454" s="4" t="inlineStr">
        <is>
          <t xml:space="preserve">FAILED verification: </t>
        </is>
      </c>
      <c r="C454" s="4" t="inlineStr">
        <is>
          <t>Hub Latin America</t>
        </is>
      </c>
      <c r="D454" s="4" t="n">
        <v>2020</v>
      </c>
      <c r="E454" s="4" t="inlineStr">
        <is>
          <t>Catalog lead</t>
        </is>
      </c>
      <c r="F454" s="17" t="inlineStr">
        <is>
          <t>https://data.humdata.org/dataset/brazil-epidemiological-and-hospital-indicators-on-covid-19-in-ouro-preto</t>
        </is>
      </c>
      <c r="G454" s="4" t="inlineStr">
        <is>
          <t>hdx_brazil_epidemiological_and_hospital_indicators_on_covid</t>
        </is>
      </c>
    </row>
    <row r="455">
      <c r="A455" s="4" t="inlineStr">
        <is>
          <t>Sudan: Prevalence of diseases in outpatient clinics per state</t>
        </is>
      </c>
      <c r="B455" s="4" t="inlineStr">
        <is>
          <t xml:space="preserve">FAILED verification: </t>
        </is>
      </c>
      <c r="C455" s="4" t="inlineStr">
        <is>
          <t>OCHA Sudan</t>
        </is>
      </c>
      <c r="D455" s="4" t="n">
        <v>2018</v>
      </c>
      <c r="E455" s="4" t="inlineStr">
        <is>
          <t>Catalog lead</t>
        </is>
      </c>
      <c r="F455" s="17" t="inlineStr">
        <is>
          <t>https://data.humdata.org/dataset/sudan-prevalence-of-diseases-in-outpatient-clinics-per-state</t>
        </is>
      </c>
      <c r="G455" s="4" t="inlineStr">
        <is>
          <t>hdx_sudan_prevalence_of_diseases_in_outpatient_clinics_per</t>
        </is>
      </c>
    </row>
    <row r="456">
      <c r="A456" s="4" t="inlineStr">
        <is>
          <t>Ugandan Regional and General Hospitals</t>
        </is>
      </c>
      <c r="B456" s="4" t="inlineStr">
        <is>
          <t xml:space="preserve">FAILED verification: </t>
        </is>
      </c>
      <c r="C456" s="4" t="inlineStr">
        <is>
          <t>Infectious Diseases Institute (inactive)</t>
        </is>
      </c>
      <c r="D456" s="4" t="n">
        <v>2018</v>
      </c>
      <c r="E456" s="4" t="inlineStr">
        <is>
          <t>Catalog lead</t>
        </is>
      </c>
      <c r="F456" s="17" t="inlineStr">
        <is>
          <t>https://data.humdata.org/dataset/ugandan-regional-and-general-hospitals</t>
        </is>
      </c>
      <c r="G456" s="4" t="inlineStr">
        <is>
          <t>hdx_ugandan_regional_and_general_hospitals</t>
        </is>
      </c>
    </row>
    <row r="457">
      <c r="A457" s="4" t="inlineStr">
        <is>
          <t>Base Geografica de Referenciacao de Informacao (BGRI) 2021</t>
        </is>
      </c>
      <c r="B457" s="4" t="inlineStr">
        <is>
          <t>FAILED verification: link_live: HTTP 502</t>
        </is>
      </c>
      <c r="C457" s="4" t="inlineStr">
        <is>
          <t>Instituto Nacional de Estatistica (INE Portugal)</t>
        </is>
      </c>
      <c r="D457" s="4" t="n">
        <v>2021</v>
      </c>
      <c r="E457" s="4" t="inlineStr">
        <is>
          <t>Curated</t>
        </is>
      </c>
      <c r="F457" s="17" t="inlineStr">
        <is>
          <t>https://mapas.ine.pt/download/index2021.phtml</t>
        </is>
      </c>
      <c r="G457" s="4" t="inlineStr">
        <is>
          <t>pt_ine_bgri</t>
        </is>
      </c>
    </row>
    <row r="458">
      <c r="A458" s="4" t="inlineStr">
        <is>
          <t>Centros Poblados Huayhuash (INEI)</t>
        </is>
      </c>
      <c r="B458" s="4" t="inlineStr">
        <is>
          <t>FAILED verification: link_live: dns_failure: HTTPSConnectionPool(host='arcgis4.inei.gob.pe', port=6443): Max ret</t>
        </is>
      </c>
      <c r="C458" s="4" t="inlineStr">
        <is>
          <t>INEI</t>
        </is>
      </c>
      <c r="D458" s="4" t="inlineStr"/>
      <c r="E458" s="4" t="inlineStr">
        <is>
          <t>Curated</t>
        </is>
      </c>
      <c r="F458" s="17" t="inlineStr">
        <is>
          <t>https://arcgis4.inei.gob.pe:6443/arcgis/rest/services/VISOR_DE_MAPAS/VISOR_DE_INDICADOR_GEOESPACIAL_A/MapServer/0</t>
        </is>
      </c>
      <c r="G458" s="4" t="inlineStr">
        <is>
          <t>pe_centrospoblados_inei</t>
        </is>
      </c>
    </row>
    <row r="459">
      <c r="A459" s="4" t="inlineStr">
        <is>
          <t>Urban Audit - cities, greater cities and functional urban areas (URAU)</t>
        </is>
      </c>
      <c r="B459" s="4" t="inlineStr">
        <is>
          <t>FAILED verification: link_live: HTTP 404</t>
        </is>
      </c>
      <c r="C459" s="4" t="inlineStr">
        <is>
          <t>Eurostat</t>
        </is>
      </c>
      <c r="D459" s="4" t="n">
        <v>2024</v>
      </c>
      <c r="E459" s="4" t="inlineStr">
        <is>
          <t>Curated</t>
        </is>
      </c>
      <c r="F459" s="17" t="inlineStr">
        <is>
          <t>https://ec.europa.eu/eurostat/web/gisco/geodata/statistical-units/urban-audit</t>
        </is>
      </c>
      <c r="G459" s="4" t="inlineStr">
        <is>
          <t>eu_eurostat_gisco_urban_audit</t>
        </is>
      </c>
    </row>
    <row r="460">
      <c r="A460" s="4" t="inlineStr">
        <is>
          <t>Verwaltungsgebiete 1:250 000 (VG250 / VG250-EW)</t>
        </is>
      </c>
      <c r="B460" s="4" t="inlineStr">
        <is>
          <t>FAILED verification: link_live: dns_failure: HTTPSConnectionPool(host='sg.geodatenzentrum.de', port=443): Max re</t>
        </is>
      </c>
      <c r="C460" s="4" t="inlineStr">
        <is>
          <t>Bundesamt fur Kartographie und Geodasie (BKG)</t>
        </is>
      </c>
      <c r="D460" s="4" t="n">
        <v>2023</v>
      </c>
      <c r="E460" s="4" t="inlineStr">
        <is>
          <t>Curated</t>
        </is>
      </c>
      <c r="F460" s="17" t="inlineStr">
        <is>
          <t>https://sg.geodatenzentrum.de/web_public/gdz/lizenz/eng/nutzungsbedingungen_vg250_eng.pdf</t>
        </is>
      </c>
      <c r="G460" s="4" t="inlineStr">
        <is>
          <t>de_bkg_vg250</t>
        </is>
      </c>
    </row>
    <row r="461">
      <c r="A461" s="4" t="inlineStr">
        <is>
          <t>Miami-Dade Park Facilities</t>
        </is>
      </c>
      <c r="B461" s="4" t="inlineStr">
        <is>
          <t>FAILED verification: link_live: HTTP 404</t>
        </is>
      </c>
      <c r="C461" s="4" t="inlineStr">
        <is>
          <t>Miami-Dade County</t>
        </is>
      </c>
      <c r="D461" s="4" t="n">
        <v>2025</v>
      </c>
      <c r="E461" s="4" t="inlineStr">
        <is>
          <t>Curated</t>
        </is>
      </c>
      <c r="F461" s="17" t="inlineStr">
        <is>
          <t>https://gis-mdc.opendata.arcgis.com/datasets/MDC::park-facility</t>
        </is>
      </c>
      <c r="G461" s="4" t="inlineStr">
        <is>
          <t>us_mdc_park_facilities</t>
        </is>
      </c>
    </row>
    <row r="462">
      <c r="A462" s="4" t="inlineStr">
        <is>
          <t>Walk Score, Transit Score, Bike Score (Walk Score Data Services)</t>
        </is>
      </c>
      <c r="B462" s="4" t="inlineStr">
        <is>
          <t>FAILED verification: link_live: HTTP 503</t>
        </is>
      </c>
      <c r="C462" s="4" t="inlineStr">
        <is>
          <t>Walk Score (Redfin)</t>
        </is>
      </c>
      <c r="D462" s="4" t="inlineStr">
        <is>
          <t>current</t>
        </is>
      </c>
      <c r="E462" s="4" t="inlineStr">
        <is>
          <t>Curated</t>
        </is>
      </c>
      <c r="F462" s="17" t="inlineStr">
        <is>
          <t>https://www.walkscore.com/professional/research.php</t>
        </is>
      </c>
      <c r="G462" s="4" t="inlineStr">
        <is>
          <t>us_walkscore</t>
        </is>
      </c>
    </row>
    <row r="463">
      <c r="A463" s="4" t="inlineStr">
        <is>
          <t>Africapolis (urban agglomerations of Africa, 2015 and 2020 layers)</t>
        </is>
      </c>
      <c r="B463" s="4" t="inlineStr">
        <is>
          <t>FAILED verification: soft404: redirected to home/search/login: "Africapolis" -&gt; https://africapolis.org/; name</t>
        </is>
      </c>
      <c r="C463" s="4" t="inlineStr">
        <is>
          <t>OECD Sahel and West Africa Club (SWAC)</t>
        </is>
      </c>
      <c r="D463" s="4" t="n">
        <v>2022</v>
      </c>
      <c r="E463" s="4" t="inlineStr">
        <is>
          <t>Curated</t>
        </is>
      </c>
      <c r="F463" s="17" t="inlineStr">
        <is>
          <t>https://africapolis.org/en/data</t>
        </is>
      </c>
      <c r="G463" s="4" t="inlineStr">
        <is>
          <t>af_oecd_africapolis</t>
        </is>
      </c>
    </row>
    <row r="464">
      <c r="A464" s="4" t="inlineStr">
        <is>
          <t>Global Roads Inventory Project (GRIP4) global roads database</t>
        </is>
      </c>
      <c r="B464" s="4" t="inlineStr">
        <is>
          <t xml:space="preserve">FAILED verification: link_live: dns_failure: HTTPSConnectionPool(host='www.globio.info', port=443): Max retries </t>
        </is>
      </c>
      <c r="C464" s="4" t="inlineStr">
        <is>
          <t>PBL Netherlands Environmental Assessment Agency</t>
        </is>
      </c>
      <c r="D464" s="4" t="n">
        <v>2018</v>
      </c>
      <c r="E464" s="4" t="inlineStr">
        <is>
          <t>Curated</t>
        </is>
      </c>
      <c r="F464" s="17" t="inlineStr">
        <is>
          <t>https://www.globio.info/download-grip-dataset</t>
        </is>
      </c>
      <c r="G464" s="4" t="inlineStr">
        <is>
          <t>global_globio_grip</t>
        </is>
      </c>
    </row>
    <row r="465">
      <c r="A465" s="4" t="inlineStr">
        <is>
          <t>Global Rural-Urban Mapping Project, Version 1 (GRUMPv1): Urban Extents Grid / Urban Extent Polygons, Revision 02</t>
        </is>
      </c>
      <c r="B465" s="4" t="inlineStr">
        <is>
          <t>FAILED verification: recency: latest year readable is 1995 (before 2000); Data State COMPLETE</t>
        </is>
      </c>
      <c r="C465" s="4" t="inlineStr">
        <is>
          <t>CIESIN, Columbia University</t>
        </is>
      </c>
      <c r="D465" s="4" t="n">
        <v>1995</v>
      </c>
      <c r="E465" s="4" t="inlineStr">
        <is>
          <t>Curated</t>
        </is>
      </c>
      <c r="F465" s="17" t="inlineStr">
        <is>
          <t>https://www.earthdata.nasa.gov/data/catalog/esdis-ciesin-sedac-grumpv1-ext02-1.02</t>
        </is>
      </c>
      <c r="G465" s="4" t="inlineStr">
        <is>
          <t>global_sedac_grump_v1</t>
        </is>
      </c>
    </row>
    <row r="466">
      <c r="A466" s="4" t="inlineStr">
        <is>
          <t>US Building Footprints</t>
        </is>
      </c>
      <c r="B466" s="4" t="inlineStr">
        <is>
          <t xml:space="preserve">FAILED verification: recency: latest imagery year 2020, but the repository was archived on Oct 8, 2026 and is </t>
        </is>
      </c>
      <c r="C466" s="4" t="inlineStr">
        <is>
          <t>Microsoft</t>
        </is>
      </c>
      <c r="D466" s="4" t="n">
        <v>2020</v>
      </c>
      <c r="E466" s="4" t="inlineStr">
        <is>
          <t>Curated</t>
        </is>
      </c>
      <c r="F466" s="17" t="inlineStr">
        <is>
          <t>https://github.com/microsoft/USBuildingFootprints</t>
        </is>
      </c>
      <c r="G466" s="4" t="inlineStr">
        <is>
          <t>us_microsoft_us_building_footprints</t>
        </is>
      </c>
    </row>
    <row r="467">
      <c r="A467" s="4" t="inlineStr">
        <is>
          <t>Climate at a Glance (county, climate division, state)</t>
        </is>
      </c>
      <c r="B467" s="4" t="inlineStr">
        <is>
          <t>FAILED verification: link_live: HTTP 503</t>
        </is>
      </c>
      <c r="C467" s="4" t="inlineStr">
        <is>
          <t>NOAA</t>
        </is>
      </c>
      <c r="D467" s="4" t="inlineStr">
        <is>
          <t>current</t>
        </is>
      </c>
      <c r="E467" s="4" t="inlineStr">
        <is>
          <t>Curated</t>
        </is>
      </c>
      <c r="F467" s="17" t="inlineStr">
        <is>
          <t>https://www.ncei.noaa.gov/access/monitoring/climate-at-a-glance/county/time-series</t>
        </is>
      </c>
      <c r="G467" s="4" t="inlineStr">
        <is>
          <t>us_noaa_climate_at_a_glance</t>
        </is>
      </c>
    </row>
    <row r="468">
      <c r="A468" s="4" t="inlineStr">
        <is>
          <t>Yale Center for Earth Observation Global Surface Urban Heat Island (SUHI) dataset, 2003-2018</t>
        </is>
      </c>
      <c r="B468" s="4" t="inlineStr">
        <is>
          <t>FAILED verification: link_live: HTTP 404</t>
        </is>
      </c>
      <c r="C468" s="4" t="inlineStr">
        <is>
          <t>Yale University</t>
        </is>
      </c>
      <c r="D468" s="4" t="n">
        <v>2019</v>
      </c>
      <c r="E468" s="4" t="inlineStr">
        <is>
          <t>Curated</t>
        </is>
      </c>
      <c r="F468" s="17" t="inlineStr">
        <is>
          <t>https://geospatial.yale.edu/research/global-surface-uhi-explorer</t>
        </is>
      </c>
      <c r="G468" s="4" t="inlineStr">
        <is>
          <t>global_yale_yceo_suhi</t>
        </is>
      </c>
    </row>
    <row r="469">
      <c r="A469" s="4" t="inlineStr">
        <is>
          <t>Risk of Flooding from Rivers and Sea (RoFRS)</t>
        </is>
      </c>
      <c r="B469" s="4" t="inlineStr">
        <is>
          <t>FAILED verification: link_live: HTTP 404</t>
        </is>
      </c>
      <c r="C469" s="4" t="inlineStr">
        <is>
          <t>Environment Agency</t>
        </is>
      </c>
      <c r="D469" s="4" t="inlineStr">
        <is>
          <t>current</t>
        </is>
      </c>
      <c r="E469" s="4" t="inlineStr">
        <is>
          <t>Curated</t>
        </is>
      </c>
      <c r="F469" s="17" t="inlineStr">
        <is>
          <t>https://www.data.gov.uk/dataset/50545819-8149-4999-9d9f-c082e7234257/risk-of-flooding-from-rivers-and-sea-key-summary-information</t>
        </is>
      </c>
      <c r="G469" s="4" t="inlineStr">
        <is>
          <t>gb_ea_rofrs</t>
        </is>
      </c>
    </row>
    <row r="470">
      <c r="A470" s="4" t="inlineStr">
        <is>
          <t>U.S. Billion-Dollar Weather and Climate Disasters</t>
        </is>
      </c>
      <c r="B470" s="4" t="inlineStr">
        <is>
          <t>FAILED verification: link_live: HTTP 503</t>
        </is>
      </c>
      <c r="C470" s="4" t="inlineStr">
        <is>
          <t>NOAA</t>
        </is>
      </c>
      <c r="D470" s="4" t="n">
        <v>2025</v>
      </c>
      <c r="E470" s="4" t="inlineStr">
        <is>
          <t>Curated</t>
        </is>
      </c>
      <c r="F470" s="17" t="inlineStr">
        <is>
          <t>https://www.ncei.noaa.gov/access/billions/</t>
        </is>
      </c>
      <c r="G470" s="4" t="inlineStr">
        <is>
          <t>us_noaa_billion_dollar_disasters</t>
        </is>
      </c>
    </row>
    <row r="471">
      <c r="A471" s="4" t="inlineStr">
        <is>
          <t>Paavo - Open data by postal code area</t>
        </is>
      </c>
      <c r="B471" s="4" t="inlineStr">
        <is>
          <t>FAILED verification: link_live: HTTP 502</t>
        </is>
      </c>
      <c r="C471" s="4" t="inlineStr">
        <is>
          <t>Statistics Finland</t>
        </is>
      </c>
      <c r="D471" s="4" t="n">
        <v>2024</v>
      </c>
      <c r="E471" s="4" t="inlineStr">
        <is>
          <t>Curated</t>
        </is>
      </c>
      <c r="F471" s="17" t="inlineStr">
        <is>
          <t>https://stat.fi/tup/paavo/index_en.html</t>
        </is>
      </c>
      <c r="G471" s="4" t="inlineStr">
        <is>
          <t>fi_statfi_paavo</t>
        </is>
      </c>
    </row>
    <row r="472">
      <c r="A472" s="4" t="inlineStr">
        <is>
          <t>7th Population and Housing Census 2023 (Digital Census) - detailed results</t>
        </is>
      </c>
      <c r="B472" s="4" t="inlineStr">
        <is>
          <t>FAILED verification: link_live: HTTP 404</t>
        </is>
      </c>
      <c r="C472" s="4" t="inlineStr">
        <is>
          <t>Pakistan Bureau of Statistics (PBS)</t>
        </is>
      </c>
      <c r="D472" s="4" t="n">
        <v>2023</v>
      </c>
      <c r="E472" s="4" t="inlineStr">
        <is>
          <t>Curated</t>
        </is>
      </c>
      <c r="F472" s="17" t="inlineStr">
        <is>
          <t>https://www.pbs.gov.pk/digital-census/detailed-results</t>
        </is>
      </c>
      <c r="G472" s="4" t="inlineStr">
        <is>
          <t>pk_pbs_census_2023</t>
        </is>
      </c>
    </row>
    <row r="473">
      <c r="A473" s="4" t="inlineStr">
        <is>
          <t>Census 2021 (Nomis)</t>
        </is>
      </c>
      <c r="B473" s="4" t="inlineStr">
        <is>
          <t>FAILED verification: link_live: dns_failure: HTTPSConnectionPool(host='www.nomisweb.co.uk', port=443): Max retri</t>
        </is>
      </c>
      <c r="C473" s="4" t="inlineStr">
        <is>
          <t>Office for National Statistics</t>
        </is>
      </c>
      <c r="D473" s="4" t="n">
        <v>2021</v>
      </c>
      <c r="E473" s="4" t="inlineStr">
        <is>
          <t>Curated</t>
        </is>
      </c>
      <c r="F473" s="17" t="inlineStr">
        <is>
          <t>https://www.nomisweb.co.uk/sources/census_2021</t>
        </is>
      </c>
      <c r="G473" s="4" t="inlineStr">
        <is>
          <t>gb_ons_census_2021_nomis</t>
        </is>
      </c>
    </row>
    <row r="474">
      <c r="A474" s="4" t="inlineStr">
        <is>
          <t>AirNow Department of State (DOS) U.S. embassy and consulate PM2.5 monitors (international)</t>
        </is>
      </c>
      <c r="B474" s="4" t="inlineStr">
        <is>
          <t>FAILED verification: link_live: HTTP 404</t>
        </is>
      </c>
      <c r="C474" s="4" t="inlineStr">
        <is>
          <t>U.S. EPA AirNow / U.S. Department of State</t>
        </is>
      </c>
      <c r="D474" s="4" t="inlineStr">
        <is>
          <t>current</t>
        </is>
      </c>
      <c r="E474" s="4" t="inlineStr">
        <is>
          <t>Curated</t>
        </is>
      </c>
      <c r="F474" s="17" t="inlineStr">
        <is>
          <t>https://www.airnow.gov/international/us-embassies-and-consulates/</t>
        </is>
      </c>
      <c r="G474" s="4" t="inlineStr">
        <is>
          <t>global_airnow_dos_embassies</t>
        </is>
      </c>
    </row>
    <row r="475">
      <c r="A475" s="4" t="inlineStr">
        <is>
          <t>Annual Mean PM2.5 Components (EC, NH4, NO3, OC, SO4) 50m Urban and 1km Non-Urban Area Grids for Contiguous U.S., 2000-2019, v1</t>
        </is>
      </c>
      <c r="B475" s="4" t="inlineStr">
        <is>
          <t xml:space="preserve">FAILED verification: link_live: no - 404 (browser check 2026-10-28): Columbia 'We couldn't find that page' in a </t>
        </is>
      </c>
      <c r="C475" s="4" t="inlineStr">
        <is>
          <t>NASA SEDAC (CIESIN, Columbia University)</t>
        </is>
      </c>
      <c r="D475" s="4" t="n">
        <v>2019</v>
      </c>
      <c r="E475" s="4" t="inlineStr">
        <is>
          <t>Curated</t>
        </is>
      </c>
      <c r="F475" s="17" t="inlineStr">
        <is>
          <t>https://www.ciesin.columbia.edu/data/aqdh/pm25component-EC-NH4-NO3-OC-SO4-2000-2019</t>
        </is>
      </c>
      <c r="G475" s="4" t="inlineStr">
        <is>
          <t>us_sedac_amini_pm25_components_50m</t>
        </is>
      </c>
    </row>
    <row r="476">
      <c r="A476" s="4" t="inlineStr">
        <is>
          <t>Daily and Annual PM2.5 Concentrations for the Contiguous United States, 1-km Grids (2000-2016)</t>
        </is>
      </c>
      <c r="B476" s="4" t="inlineStr">
        <is>
          <t>FAILED verification: link_live: no - host unreachable (browser check 2026-10-28): sedac.ciesin.columbia.edu does</t>
        </is>
      </c>
      <c r="C476" s="4" t="inlineStr">
        <is>
          <t>NASA SEDAC (CIESIN, Columbia University)</t>
        </is>
      </c>
      <c r="D476" s="4" t="inlineStr">
        <is>
          <t>current</t>
        </is>
      </c>
      <c r="E476" s="4" t="inlineStr">
        <is>
          <t>Curated</t>
        </is>
      </c>
      <c r="F476" s="17" t="inlineStr">
        <is>
          <t>https://sedac.ciesin.columbia.edu/data/set/aqdh-pm2-5-concentrations-contiguous-us-1-km-2000-2016</t>
        </is>
      </c>
      <c r="G476" s="4" t="inlineStr">
        <is>
          <t>us_sedac_di_pm25_1km_2000_2016</t>
        </is>
      </c>
    </row>
    <row r="477">
      <c r="A477" s="4" t="inlineStr">
        <is>
          <t>ELAPSE Western Europe 100 m land use regression surfaces (PM2.5, NO2, BC, O3)</t>
        </is>
      </c>
      <c r="B477" s="4" t="inlineStr">
        <is>
          <t>FAILED verification: link_live: no - host unreachable (browser check 2026-10-28): Navigation fails in a real bro</t>
        </is>
      </c>
      <c r="C477" s="4" t="inlineStr">
        <is>
          <t>ELAPSE consortium</t>
        </is>
      </c>
      <c r="D477" s="4" t="n">
        <v>2013</v>
      </c>
      <c r="E477" s="4" t="inlineStr">
        <is>
          <t>Curated</t>
        </is>
      </c>
      <c r="F477" s="17" t="inlineStr">
        <is>
          <t>https://www.elapseproject.eu/</t>
        </is>
      </c>
      <c r="G477" s="4" t="inlineStr">
        <is>
          <t>eu_elapse_lur_surfaces</t>
        </is>
      </c>
    </row>
    <row r="478">
      <c r="A478" s="4" t="inlineStr">
        <is>
          <t>EPA Map of Radon Zones</t>
        </is>
      </c>
      <c r="B478" s="4" t="inlineStr">
        <is>
          <t>FAILED verification: recency: Map developed in 1993 with no stated revision; latest data year 1993 (before 200</t>
        </is>
      </c>
      <c r="C478" s="4" t="inlineStr">
        <is>
          <t>US EPA</t>
        </is>
      </c>
      <c r="D478" s="4" t="n">
        <v>1993</v>
      </c>
      <c r="E478" s="4" t="inlineStr">
        <is>
          <t>Curated</t>
        </is>
      </c>
      <c r="F478" s="17" t="inlineStr">
        <is>
          <t>https://www.epa.gov/radon/epa-map-radon-zones</t>
        </is>
      </c>
      <c r="G478" s="4" t="inlineStr">
        <is>
          <t>us_epa_radon_zones</t>
        </is>
      </c>
    </row>
    <row r="479">
      <c r="A479" s="4" t="inlineStr">
        <is>
          <t>Modelled background pollution data (Pollution Climate Mapping)</t>
        </is>
      </c>
      <c r="B479" s="4" t="inlineStr">
        <is>
          <t>FAILED verification: soft404: generic title: "Website Maintenance" -&gt; https://uk-air.defra.gov.uk/maintenance/</t>
        </is>
      </c>
      <c r="C479" s="4" t="inlineStr">
        <is>
          <t>Department for Environment, Food &amp; Rural Affairs</t>
        </is>
      </c>
      <c r="D479" s="4" t="n">
        <v>2024</v>
      </c>
      <c r="E479" s="4" t="inlineStr">
        <is>
          <t>Curated</t>
        </is>
      </c>
      <c r="F479" s="17" t="inlineStr">
        <is>
          <t>https://uk-air.defra.gov.uk/data/pcm-data</t>
        </is>
      </c>
      <c r="G479" s="4" t="inlineStr">
        <is>
          <t>gb_defra_pcm</t>
        </is>
      </c>
    </row>
    <row r="480">
      <c r="A480" s="4" t="inlineStr">
        <is>
          <t>Normalised Difference Vegetation Index 1999-2020 (raster 1 km), global, 10-daily, version 3</t>
        </is>
      </c>
      <c r="B480" s="4" t="inlineStr">
        <is>
          <t>FAILED verification: recency: Latest year 2020 would pass, but the page states 'Temporal usability: Archive-on</t>
        </is>
      </c>
      <c r="C480" s="4" t="inlineStr">
        <is>
          <t>Copernicus Land Monitoring Service (CLMS)</t>
        </is>
      </c>
      <c r="D480" s="4" t="n">
        <v>2020</v>
      </c>
      <c r="E480" s="4" t="inlineStr">
        <is>
          <t>Curated</t>
        </is>
      </c>
      <c r="F480" s="17" t="inlineStr">
        <is>
          <t>https://land.copernicus.eu/en/products/vegetation/normalised-difference-vegetation-index-v3-0-1km</t>
        </is>
      </c>
      <c r="G480" s="4" t="inlineStr">
        <is>
          <t>global_copernicus_cgls_ndvi_1km_v3</t>
        </is>
      </c>
    </row>
    <row r="481">
      <c r="A481" s="4" t="inlineStr">
        <is>
          <t>Cancer Rates (Lake County, Illinois)</t>
        </is>
      </c>
      <c r="B481" s="4" t="inlineStr">
        <is>
          <t>FAILED verification: link_live: HTTP 404</t>
        </is>
      </c>
      <c r="C481" s="4" t="inlineStr">
        <is>
          <t>Lake County, Illinois</t>
        </is>
      </c>
      <c r="D481" s="4" t="inlineStr"/>
      <c r="E481" s="4" t="inlineStr">
        <is>
          <t>Curated</t>
        </is>
      </c>
      <c r="F481" s="17" t="inlineStr">
        <is>
          <t>https://catalog.data.gov/dataset/cancer-rates</t>
        </is>
      </c>
      <c r="G481" s="4" t="inlineStr">
        <is>
          <t>us_lake_county_il_cancer_rates</t>
        </is>
      </c>
    </row>
    <row r="482">
      <c r="A482" s="4" t="inlineStr">
        <is>
          <t>IHME Local Burden of Disease (LBD) 5x5 km geospatial estimates: child growth failure, under-5 mortality, educational attainment, HIV prevalence, DPT/vaccine coverage, diarrhoea, LRI, anaemia</t>
        </is>
      </c>
      <c r="B482" s="4" t="inlineStr">
        <is>
          <t>FAILED verification: link_live: HTTP 404</t>
        </is>
      </c>
      <c r="C482" s="4" t="inlineStr">
        <is>
          <t>Institute for Health Metrics and Evaluation (IHME), University of Washington</t>
        </is>
      </c>
      <c r="D482" s="4" t="n">
        <v>2021</v>
      </c>
      <c r="E482" s="4" t="inlineStr">
        <is>
          <t>Curated</t>
        </is>
      </c>
      <c r="F482" s="17" t="inlineStr">
        <is>
          <t>https://www.healthdata.org/research-analysis/health-risks-issues/local-burden-disease</t>
        </is>
      </c>
      <c r="G482" s="4" t="inlineStr">
        <is>
          <t>global_ihme_lbd_geospatial_estimates</t>
        </is>
      </c>
    </row>
    <row r="483">
      <c r="A483" s="4" t="inlineStr">
        <is>
          <t>Public Health Statistics - Life Expectancy By Community Area - Historical</t>
        </is>
      </c>
      <c r="B483" s="4" t="inlineStr">
        <is>
          <t>FAILED verification: recency: Latest data year 2010 and page states 'historical only and there are not corresp</t>
        </is>
      </c>
      <c r="C483" s="4" t="inlineStr">
        <is>
          <t>City of Chicago</t>
        </is>
      </c>
      <c r="D483" s="4" t="n">
        <v>2010</v>
      </c>
      <c r="E483" s="4" t="inlineStr">
        <is>
          <t>Curated</t>
        </is>
      </c>
      <c r="F483" s="17" t="inlineStr">
        <is>
          <t>https://catalog.data.gov/dataset/public-health-statistics-life-expectancy-by-community-area-historical</t>
        </is>
      </c>
      <c r="G483" s="4" t="inlineStr">
        <is>
          <t>us_chicago_life_expectancy_by_community_area</t>
        </is>
      </c>
    </row>
    <row r="484">
      <c r="A484" s="4" t="inlineStr">
        <is>
          <t>Public Health Statistics - Selected public health indicators by Chicago community area - Historical</t>
        </is>
      </c>
      <c r="B484" s="4" t="inlineStr">
        <is>
          <t>FAILED verification: recency: Page states 'historical only and there are not corresponding datasets for more r</t>
        </is>
      </c>
      <c r="C484" s="4" t="inlineStr">
        <is>
          <t>City of Chicago</t>
        </is>
      </c>
      <c r="D484" s="4" t="n">
        <v>2011</v>
      </c>
      <c r="E484" s="4" t="inlineStr">
        <is>
          <t>Curated</t>
        </is>
      </c>
      <c r="F484" s="17" t="inlineStr">
        <is>
          <t>https://catalog.data.gov/dataset/public-health-statistics-selected-public-health-indicators-by-chicago-community-area-histo</t>
        </is>
      </c>
      <c r="G484" s="4" t="inlineStr">
        <is>
          <t>us_chicago_public_health_indicators_by_community_area</t>
        </is>
      </c>
    </row>
    <row r="485">
      <c r="A485" s="4" t="inlineStr">
        <is>
          <t>U.S. Diabetes Surveillance System (county diabetes, obesity, inactivity estimates)</t>
        </is>
      </c>
      <c r="B485" s="4" t="inlineStr">
        <is>
          <t>FAILED verification: link_live: HTTP 404</t>
        </is>
      </c>
      <c r="C485" s="4" t="inlineStr">
        <is>
          <t>Centers for Disease Control and Prevention</t>
        </is>
      </c>
      <c r="D485" s="4" t="n">
        <v>2025</v>
      </c>
      <c r="E485" s="4" t="inlineStr">
        <is>
          <t>Curated</t>
        </is>
      </c>
      <c r="F485" s="17" t="inlineStr">
        <is>
          <t>https://www.cdc.gov/diabetes/php/data-research/data-and-statistics-faqs.html</t>
        </is>
      </c>
      <c r="G485" s="4" t="inlineStr">
        <is>
          <t>us_cdc_diabetes_surveillance</t>
        </is>
      </c>
    </row>
    <row r="486">
      <c r="A486" s="4" t="inlineStr">
        <is>
          <t>LongITools</t>
        </is>
      </c>
      <c r="B486" s="4" t="inlineStr">
        <is>
          <t>FAILED verification: recency: Project ended 30 June 2025 and 'This website will not be updated beyond August 2</t>
        </is>
      </c>
      <c r="C486" s="4" t="inlineStr">
        <is>
          <t>LongITools consortium</t>
        </is>
      </c>
      <c r="D486" s="4" t="n">
        <v>2025</v>
      </c>
      <c r="E486" s="4" t="inlineStr">
        <is>
          <t>Curated</t>
        </is>
      </c>
      <c r="F486" s="17" t="inlineStr">
        <is>
          <t>https://longitools.org/</t>
        </is>
      </c>
      <c r="G486" s="4" t="inlineStr">
        <is>
          <t>eu_longitools</t>
        </is>
      </c>
    </row>
    <row r="487">
      <c r="A487" s="4" t="inlineStr">
        <is>
          <t>Postal Code OM Conversion File (PCCF)</t>
        </is>
      </c>
      <c r="B487" s="4" t="inlineStr">
        <is>
          <t>FAILED verification: recency: Latest issue 2017 and the page says 'Status: Discontinued'</t>
        </is>
      </c>
      <c r="C487" s="4" t="inlineStr">
        <is>
          <t>Statistics Canada</t>
        </is>
      </c>
      <c r="D487" s="4" t="n">
        <v>2017</v>
      </c>
      <c r="E487" s="4" t="inlineStr">
        <is>
          <t>Curated</t>
        </is>
      </c>
      <c r="F487" s="17" t="inlineStr">
        <is>
          <t>https://www150.statcan.gc.ca/n1/en/catalogue/92-154-X</t>
        </is>
      </c>
      <c r="G487" s="4" t="inlineStr">
        <is>
          <t>ca_statcan_pccf</t>
        </is>
      </c>
    </row>
    <row r="488">
      <c r="A488" s="4" t="inlineStr">
        <is>
          <t>Characterization and Classification of Statistical Areas by Socio-Economic Level (socio-economic index)</t>
        </is>
      </c>
      <c r="B488" s="4" t="inlineStr">
        <is>
          <t>FAILED verification: soft404: generic title: "Oops, Something is wrong" -&gt; https://www.cbs.gov.il/en/subjects/</t>
        </is>
      </c>
      <c r="C488" s="4" t="inlineStr">
        <is>
          <t>Central Bureau of Statistics (Israel CBS)</t>
        </is>
      </c>
      <c r="D488" s="4" t="n">
        <v>2022</v>
      </c>
      <c r="E488" s="4" t="inlineStr">
        <is>
          <t>Curated</t>
        </is>
      </c>
      <c r="F488" s="17" t="inlineStr">
        <is>
          <t>https://www.cbs.gov.il/en/subjects/Pages/Statistical-Areas.aspx</t>
        </is>
      </c>
      <c r="G488" s="4" t="inlineStr">
        <is>
          <t>il_cbs_statistical_areas_ses</t>
        </is>
      </c>
    </row>
    <row r="489">
      <c r="A489" s="4" t="inlineStr">
        <is>
          <t>GDL Area Database</t>
        </is>
      </c>
      <c r="B489" s="4" t="inlineStr">
        <is>
          <t>FAILED verification: withdrawn: body: "Light Dark Auto Area Database Since March 2025, the Area Database is no l</t>
        </is>
      </c>
      <c r="C489" s="4" t="inlineStr">
        <is>
          <t>Global Data Lab</t>
        </is>
      </c>
      <c r="D489" s="4" t="n">
        <v>2025</v>
      </c>
      <c r="E489" s="4" t="inlineStr">
        <is>
          <t>Curated</t>
        </is>
      </c>
      <c r="F489" s="17" t="inlineStr">
        <is>
          <t>https://globaldatalab.org/areadata/</t>
        </is>
      </c>
      <c r="G489" s="4" t="inlineStr">
        <is>
          <t>global_gdl_area_database</t>
        </is>
      </c>
    </row>
    <row r="490">
      <c r="A490" s="4" t="inlineStr">
        <is>
          <t>German Index of Socioeconomic Deprivation (GISD)</t>
        </is>
      </c>
      <c r="B490" s="4" t="inlineStr">
        <is>
          <t>FAILED verification: link_live: HTTP 404</t>
        </is>
      </c>
      <c r="C490" s="4" t="inlineStr">
        <is>
          <t>Robert Koch-Institut (RKI)</t>
        </is>
      </c>
      <c r="D490" s="4" t="n">
        <v>2026</v>
      </c>
      <c r="E490" s="4" t="inlineStr">
        <is>
          <t>Curated</t>
        </is>
      </c>
      <c r="F490" s="17" t="inlineStr">
        <is>
          <t>https://www.rki.de/DE/Themen/Gesundheit-und-Gesellschaft/Soziale-Lage/German-Index-of-Socioeconomic-Deprivation/gisd-node.html</t>
        </is>
      </c>
      <c r="G490" s="4" t="inlineStr">
        <is>
          <t>de_rki_gisd</t>
        </is>
      </c>
    </row>
    <row r="491">
      <c r="A491" s="4" t="inlineStr">
        <is>
          <t>Heat Vulnerability by Census Tract (Philadelphia)</t>
        </is>
      </c>
      <c r="B491" s="4" t="inlineStr">
        <is>
          <t>FAILED verification: link_live: HTTP 404</t>
        </is>
      </c>
      <c r="C491" s="4" t="inlineStr">
        <is>
          <t>City of Philadelphia</t>
        </is>
      </c>
      <c r="D491" s="4" t="inlineStr"/>
      <c r="E491" s="4" t="inlineStr">
        <is>
          <t>Curated</t>
        </is>
      </c>
      <c r="F491" s="17" t="inlineStr">
        <is>
          <t>https://catalog.data.gov/dataset/heat-vulnerability-by-census-tract</t>
        </is>
      </c>
      <c r="G491" s="4" t="inlineStr">
        <is>
          <t>us_philadelphia_heat_vulnerability_by_census_tract</t>
        </is>
      </c>
    </row>
    <row r="492">
      <c r="A492" s="4" t="inlineStr">
        <is>
          <t>Location Affordability Index (LAI) v3</t>
        </is>
      </c>
      <c r="B492" s="4" t="inlineStr">
        <is>
          <t>FAILED verification: link_live: HTTP 404</t>
        </is>
      </c>
      <c r="C492" s="4" t="inlineStr">
        <is>
          <t>HUD</t>
        </is>
      </c>
      <c r="D492" s="4" t="n">
        <v>2025</v>
      </c>
      <c r="E492" s="4" t="inlineStr">
        <is>
          <t>Curated</t>
        </is>
      </c>
      <c r="F492" s="17" t="inlineStr">
        <is>
          <t>https://hudgis-hud.opendata.arcgis.com/datasets/b7ffe3607e8c4212bf7cf2428208dbb6</t>
        </is>
      </c>
      <c r="G492" s="4" t="inlineStr">
        <is>
          <t>us_hud_location_affordability_index</t>
        </is>
      </c>
    </row>
    <row r="493">
      <c r="A493" s="4" t="inlineStr">
        <is>
          <t>National Toxic Substance Incidents Program (NTSIP) public use data</t>
        </is>
      </c>
      <c r="B493" s="4" t="inlineStr">
        <is>
          <t>FAILED verification: recency: Latest confirmed data year 2014 and the source program is described as 'now-reti</t>
        </is>
      </c>
      <c r="C493" s="4" t="inlineStr">
        <is>
          <t>CDC/ATSDR</t>
        </is>
      </c>
      <c r="D493" s="4" t="n">
        <v>2014</v>
      </c>
      <c r="E493" s="4" t="inlineStr">
        <is>
          <t>Curated</t>
        </is>
      </c>
      <c r="F493" s="17" t="inlineStr">
        <is>
          <t>https://www.atsdr.cdc.gov/ntsip/docs/2014DictionaryWEB.docx</t>
        </is>
      </c>
      <c r="G493" s="4" t="inlineStr">
        <is>
          <t>us_atsdr_ntsip</t>
        </is>
      </c>
    </row>
    <row r="494">
      <c r="A494" s="4" t="inlineStr">
        <is>
          <t>NPL Superfund Site Boundaries (EPA)</t>
        </is>
      </c>
      <c r="B494" s="4" t="inlineStr">
        <is>
          <t>FAILED verification: link_live: HTTP 404</t>
        </is>
      </c>
      <c r="C494" s="4" t="inlineStr">
        <is>
          <t>US EPA</t>
        </is>
      </c>
      <c r="D494" s="4" t="inlineStr">
        <is>
          <t>current</t>
        </is>
      </c>
      <c r="E494" s="4" t="inlineStr">
        <is>
          <t>Curated</t>
        </is>
      </c>
      <c r="F494" s="17" t="inlineStr">
        <is>
          <t>https://catalog.data.gov/dataset/npl-superfund-site-boundaries-epa</t>
        </is>
      </c>
      <c r="G494" s="4" t="inlineStr">
        <is>
          <t>us_epa_npl_site_boundaries</t>
        </is>
      </c>
    </row>
    <row r="495">
      <c r="A495" s="4" t="inlineStr">
        <is>
          <t>Pure Earth / UNICEF lead exposure and toxic sites data (Toxic Sites Identification Program; 'The Toxic Truth' blood lead estimates)</t>
        </is>
      </c>
      <c r="B495" s="4" t="inlineStr">
        <is>
          <t>FAILED verification: link_live: HTTP 404</t>
        </is>
      </c>
      <c r="C495" s="4" t="inlineStr">
        <is>
          <t>Pure Earth</t>
        </is>
      </c>
      <c r="D495" s="4" t="inlineStr">
        <is>
          <t>current</t>
        </is>
      </c>
      <c r="E495" s="4" t="inlineStr">
        <is>
          <t>Curated</t>
        </is>
      </c>
      <c r="F495" s="17" t="inlineStr">
        <is>
          <t>https://www.pureearth.org/lead-pollution-map/</t>
        </is>
      </c>
      <c r="G495" s="4" t="inlineStr">
        <is>
          <t>global_pure_earth_lead_pollution</t>
        </is>
      </c>
    </row>
    <row r="496">
      <c r="A496" s="4" t="inlineStr">
        <is>
          <t>US Nuclear Power Plants</t>
        </is>
      </c>
      <c r="B496" s="4" t="inlineStr">
        <is>
          <t>FAILED verification: link_live: HTTP 404</t>
        </is>
      </c>
      <c r="C496" s="4" t="inlineStr">
        <is>
          <t>U.S Energy Information Administration (EIA)</t>
        </is>
      </c>
      <c r="D496" s="4" t="inlineStr"/>
      <c r="E496" s="4" t="inlineStr">
        <is>
          <t>Curated</t>
        </is>
      </c>
      <c r="F496" s="17" t="inlineStr">
        <is>
          <t>https://atlas.eia.gov/datasets/eia::nuclear/about</t>
        </is>
      </c>
      <c r="G496" s="4" t="inlineStr">
        <is>
          <t>gaia_us_nuclear_power_plants</t>
        </is>
      </c>
    </row>
  </sheetData>
  <autoFilter ref="A1:G49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5" r:id="rId273"/>
    <hyperlink xmlns:r="http://schemas.openxmlformats.org/officeDocument/2006/relationships" ref="F276" r:id="rId274"/>
    <hyperlink xmlns:r="http://schemas.openxmlformats.org/officeDocument/2006/relationships" ref="F277" r:id="rId275"/>
    <hyperlink xmlns:r="http://schemas.openxmlformats.org/officeDocument/2006/relationships" ref="F278" r:id="rId276"/>
    <hyperlink xmlns:r="http://schemas.openxmlformats.org/officeDocument/2006/relationships" ref="F279" r:id="rId277"/>
    <hyperlink xmlns:r="http://schemas.openxmlformats.org/officeDocument/2006/relationships" ref="F280" r:id="rId278"/>
    <hyperlink xmlns:r="http://schemas.openxmlformats.org/officeDocument/2006/relationships" ref="F281" r:id="rId279"/>
    <hyperlink xmlns:r="http://schemas.openxmlformats.org/officeDocument/2006/relationships" ref="F282" r:id="rId280"/>
    <hyperlink xmlns:r="http://schemas.openxmlformats.org/officeDocument/2006/relationships" ref="F283" r:id="rId281"/>
    <hyperlink xmlns:r="http://schemas.openxmlformats.org/officeDocument/2006/relationships" ref="F284" r:id="rId282"/>
    <hyperlink xmlns:r="http://schemas.openxmlformats.org/officeDocument/2006/relationships" ref="F285" r:id="rId283"/>
    <hyperlink xmlns:r="http://schemas.openxmlformats.org/officeDocument/2006/relationships" ref="F286" r:id="rId284"/>
    <hyperlink xmlns:r="http://schemas.openxmlformats.org/officeDocument/2006/relationships" ref="F287" r:id="rId285"/>
    <hyperlink xmlns:r="http://schemas.openxmlformats.org/officeDocument/2006/relationships" ref="F288" r:id="rId286"/>
    <hyperlink xmlns:r="http://schemas.openxmlformats.org/officeDocument/2006/relationships" ref="F289" r:id="rId287"/>
    <hyperlink xmlns:r="http://schemas.openxmlformats.org/officeDocument/2006/relationships" ref="F290" r:id="rId288"/>
    <hyperlink xmlns:r="http://schemas.openxmlformats.org/officeDocument/2006/relationships" ref="F291" r:id="rId289"/>
    <hyperlink xmlns:r="http://schemas.openxmlformats.org/officeDocument/2006/relationships" ref="F292" r:id="rId290"/>
    <hyperlink xmlns:r="http://schemas.openxmlformats.org/officeDocument/2006/relationships" ref="F293" r:id="rId291"/>
    <hyperlink xmlns:r="http://schemas.openxmlformats.org/officeDocument/2006/relationships" ref="F294" r:id="rId292"/>
    <hyperlink xmlns:r="http://schemas.openxmlformats.org/officeDocument/2006/relationships" ref="F295" r:id="rId293"/>
    <hyperlink xmlns:r="http://schemas.openxmlformats.org/officeDocument/2006/relationships" ref="F296" r:id="rId294"/>
    <hyperlink xmlns:r="http://schemas.openxmlformats.org/officeDocument/2006/relationships" ref="F297" r:id="rId295"/>
    <hyperlink xmlns:r="http://schemas.openxmlformats.org/officeDocument/2006/relationships" ref="F298" r:id="rId296"/>
    <hyperlink xmlns:r="http://schemas.openxmlformats.org/officeDocument/2006/relationships" ref="F299" r:id="rId297"/>
    <hyperlink xmlns:r="http://schemas.openxmlformats.org/officeDocument/2006/relationships" ref="F300" r:id="rId298"/>
    <hyperlink xmlns:r="http://schemas.openxmlformats.org/officeDocument/2006/relationships" ref="F301" r:id="rId299"/>
    <hyperlink xmlns:r="http://schemas.openxmlformats.org/officeDocument/2006/relationships" ref="F302" r:id="rId300"/>
    <hyperlink xmlns:r="http://schemas.openxmlformats.org/officeDocument/2006/relationships" ref="F303" r:id="rId301"/>
    <hyperlink xmlns:r="http://schemas.openxmlformats.org/officeDocument/2006/relationships" ref="F304" r:id="rId302"/>
    <hyperlink xmlns:r="http://schemas.openxmlformats.org/officeDocument/2006/relationships" ref="F305" r:id="rId303"/>
    <hyperlink xmlns:r="http://schemas.openxmlformats.org/officeDocument/2006/relationships" ref="F306" r:id="rId304"/>
    <hyperlink xmlns:r="http://schemas.openxmlformats.org/officeDocument/2006/relationships" ref="F307" r:id="rId305"/>
    <hyperlink xmlns:r="http://schemas.openxmlformats.org/officeDocument/2006/relationships" ref="F308" r:id="rId306"/>
    <hyperlink xmlns:r="http://schemas.openxmlformats.org/officeDocument/2006/relationships" ref="F309" r:id="rId307"/>
    <hyperlink xmlns:r="http://schemas.openxmlformats.org/officeDocument/2006/relationships" ref="F310" r:id="rId308"/>
    <hyperlink xmlns:r="http://schemas.openxmlformats.org/officeDocument/2006/relationships" ref="F311" r:id="rId309"/>
    <hyperlink xmlns:r="http://schemas.openxmlformats.org/officeDocument/2006/relationships" ref="F312" r:id="rId310"/>
    <hyperlink xmlns:r="http://schemas.openxmlformats.org/officeDocument/2006/relationships" ref="F313" r:id="rId311"/>
    <hyperlink xmlns:r="http://schemas.openxmlformats.org/officeDocument/2006/relationships" ref="F314" r:id="rId312"/>
    <hyperlink xmlns:r="http://schemas.openxmlformats.org/officeDocument/2006/relationships" ref="F315" r:id="rId313"/>
    <hyperlink xmlns:r="http://schemas.openxmlformats.org/officeDocument/2006/relationships" ref="F316" r:id="rId314"/>
    <hyperlink xmlns:r="http://schemas.openxmlformats.org/officeDocument/2006/relationships" ref="F317" r:id="rId315"/>
    <hyperlink xmlns:r="http://schemas.openxmlformats.org/officeDocument/2006/relationships" ref="F318" r:id="rId316"/>
    <hyperlink xmlns:r="http://schemas.openxmlformats.org/officeDocument/2006/relationships" ref="F319" r:id="rId317"/>
    <hyperlink xmlns:r="http://schemas.openxmlformats.org/officeDocument/2006/relationships" ref="F320" r:id="rId318"/>
    <hyperlink xmlns:r="http://schemas.openxmlformats.org/officeDocument/2006/relationships" ref="F321" r:id="rId319"/>
    <hyperlink xmlns:r="http://schemas.openxmlformats.org/officeDocument/2006/relationships" ref="F322" r:id="rId320"/>
    <hyperlink xmlns:r="http://schemas.openxmlformats.org/officeDocument/2006/relationships" ref="F323" r:id="rId321"/>
    <hyperlink xmlns:r="http://schemas.openxmlformats.org/officeDocument/2006/relationships" ref="F324" r:id="rId322"/>
    <hyperlink xmlns:r="http://schemas.openxmlformats.org/officeDocument/2006/relationships" ref="F325" r:id="rId323"/>
    <hyperlink xmlns:r="http://schemas.openxmlformats.org/officeDocument/2006/relationships" ref="F326" r:id="rId324"/>
    <hyperlink xmlns:r="http://schemas.openxmlformats.org/officeDocument/2006/relationships" ref="F327" r:id="rId325"/>
    <hyperlink xmlns:r="http://schemas.openxmlformats.org/officeDocument/2006/relationships" ref="F328" r:id="rId326"/>
    <hyperlink xmlns:r="http://schemas.openxmlformats.org/officeDocument/2006/relationships" ref="F329" r:id="rId327"/>
    <hyperlink xmlns:r="http://schemas.openxmlformats.org/officeDocument/2006/relationships" ref="F330" r:id="rId328"/>
    <hyperlink xmlns:r="http://schemas.openxmlformats.org/officeDocument/2006/relationships" ref="F331" r:id="rId329"/>
    <hyperlink xmlns:r="http://schemas.openxmlformats.org/officeDocument/2006/relationships" ref="F332" r:id="rId330"/>
    <hyperlink xmlns:r="http://schemas.openxmlformats.org/officeDocument/2006/relationships" ref="F333" r:id="rId331"/>
    <hyperlink xmlns:r="http://schemas.openxmlformats.org/officeDocument/2006/relationships" ref="F334" r:id="rId332"/>
    <hyperlink xmlns:r="http://schemas.openxmlformats.org/officeDocument/2006/relationships" ref="F335" r:id="rId333"/>
    <hyperlink xmlns:r="http://schemas.openxmlformats.org/officeDocument/2006/relationships" ref="F336" r:id="rId334"/>
    <hyperlink xmlns:r="http://schemas.openxmlformats.org/officeDocument/2006/relationships" ref="F337" r:id="rId335"/>
    <hyperlink xmlns:r="http://schemas.openxmlformats.org/officeDocument/2006/relationships" ref="F338" r:id="rId336"/>
    <hyperlink xmlns:r="http://schemas.openxmlformats.org/officeDocument/2006/relationships" ref="F339" r:id="rId337"/>
    <hyperlink xmlns:r="http://schemas.openxmlformats.org/officeDocument/2006/relationships" ref="F340" r:id="rId338"/>
    <hyperlink xmlns:r="http://schemas.openxmlformats.org/officeDocument/2006/relationships" ref="F341" r:id="rId339"/>
    <hyperlink xmlns:r="http://schemas.openxmlformats.org/officeDocument/2006/relationships" ref="F342" r:id="rId340"/>
    <hyperlink xmlns:r="http://schemas.openxmlformats.org/officeDocument/2006/relationships" ref="F343" r:id="rId341"/>
    <hyperlink xmlns:r="http://schemas.openxmlformats.org/officeDocument/2006/relationships" ref="F344" r:id="rId342"/>
    <hyperlink xmlns:r="http://schemas.openxmlformats.org/officeDocument/2006/relationships" ref="F345" r:id="rId343"/>
    <hyperlink xmlns:r="http://schemas.openxmlformats.org/officeDocument/2006/relationships" ref="F346" r:id="rId344"/>
    <hyperlink xmlns:r="http://schemas.openxmlformats.org/officeDocument/2006/relationships" ref="F347" r:id="rId345"/>
    <hyperlink xmlns:r="http://schemas.openxmlformats.org/officeDocument/2006/relationships" ref="F348" r:id="rId346"/>
    <hyperlink xmlns:r="http://schemas.openxmlformats.org/officeDocument/2006/relationships" ref="F349" r:id="rId347"/>
    <hyperlink xmlns:r="http://schemas.openxmlformats.org/officeDocument/2006/relationships" ref="F350" r:id="rId348"/>
    <hyperlink xmlns:r="http://schemas.openxmlformats.org/officeDocument/2006/relationships" ref="F351" r:id="rId349"/>
    <hyperlink xmlns:r="http://schemas.openxmlformats.org/officeDocument/2006/relationships" ref="F352" r:id="rId350"/>
    <hyperlink xmlns:r="http://schemas.openxmlformats.org/officeDocument/2006/relationships" ref="F353" r:id="rId351"/>
    <hyperlink xmlns:r="http://schemas.openxmlformats.org/officeDocument/2006/relationships" ref="F354" r:id="rId352"/>
    <hyperlink xmlns:r="http://schemas.openxmlformats.org/officeDocument/2006/relationships" ref="F355" r:id="rId353"/>
    <hyperlink xmlns:r="http://schemas.openxmlformats.org/officeDocument/2006/relationships" ref="F356" r:id="rId354"/>
    <hyperlink xmlns:r="http://schemas.openxmlformats.org/officeDocument/2006/relationships" ref="F357" r:id="rId355"/>
    <hyperlink xmlns:r="http://schemas.openxmlformats.org/officeDocument/2006/relationships" ref="F358" r:id="rId356"/>
    <hyperlink xmlns:r="http://schemas.openxmlformats.org/officeDocument/2006/relationships" ref="F359" r:id="rId357"/>
    <hyperlink xmlns:r="http://schemas.openxmlformats.org/officeDocument/2006/relationships" ref="F360" r:id="rId358"/>
    <hyperlink xmlns:r="http://schemas.openxmlformats.org/officeDocument/2006/relationships" ref="F361" r:id="rId359"/>
    <hyperlink xmlns:r="http://schemas.openxmlformats.org/officeDocument/2006/relationships" ref="F362" r:id="rId360"/>
    <hyperlink xmlns:r="http://schemas.openxmlformats.org/officeDocument/2006/relationships" ref="F363" r:id="rId361"/>
    <hyperlink xmlns:r="http://schemas.openxmlformats.org/officeDocument/2006/relationships" ref="F364" r:id="rId362"/>
    <hyperlink xmlns:r="http://schemas.openxmlformats.org/officeDocument/2006/relationships" ref="F365" r:id="rId363"/>
    <hyperlink xmlns:r="http://schemas.openxmlformats.org/officeDocument/2006/relationships" ref="F366" r:id="rId364"/>
    <hyperlink xmlns:r="http://schemas.openxmlformats.org/officeDocument/2006/relationships" ref="F367" r:id="rId365"/>
    <hyperlink xmlns:r="http://schemas.openxmlformats.org/officeDocument/2006/relationships" ref="F368" r:id="rId366"/>
    <hyperlink xmlns:r="http://schemas.openxmlformats.org/officeDocument/2006/relationships" ref="F369" r:id="rId367"/>
    <hyperlink xmlns:r="http://schemas.openxmlformats.org/officeDocument/2006/relationships" ref="F370" r:id="rId368"/>
    <hyperlink xmlns:r="http://schemas.openxmlformats.org/officeDocument/2006/relationships" ref="F371" r:id="rId369"/>
    <hyperlink xmlns:r="http://schemas.openxmlformats.org/officeDocument/2006/relationships" ref="F372" r:id="rId370"/>
    <hyperlink xmlns:r="http://schemas.openxmlformats.org/officeDocument/2006/relationships" ref="F373" r:id="rId371"/>
    <hyperlink xmlns:r="http://schemas.openxmlformats.org/officeDocument/2006/relationships" ref="F374" r:id="rId372"/>
    <hyperlink xmlns:r="http://schemas.openxmlformats.org/officeDocument/2006/relationships" ref="F375" r:id="rId373"/>
    <hyperlink xmlns:r="http://schemas.openxmlformats.org/officeDocument/2006/relationships" ref="F376" r:id="rId374"/>
    <hyperlink xmlns:r="http://schemas.openxmlformats.org/officeDocument/2006/relationships" ref="F377" r:id="rId375"/>
    <hyperlink xmlns:r="http://schemas.openxmlformats.org/officeDocument/2006/relationships" ref="F378" r:id="rId376"/>
    <hyperlink xmlns:r="http://schemas.openxmlformats.org/officeDocument/2006/relationships" ref="F379" r:id="rId377"/>
    <hyperlink xmlns:r="http://schemas.openxmlformats.org/officeDocument/2006/relationships" ref="F380" r:id="rId378"/>
    <hyperlink xmlns:r="http://schemas.openxmlformats.org/officeDocument/2006/relationships" ref="F381" r:id="rId379"/>
    <hyperlink xmlns:r="http://schemas.openxmlformats.org/officeDocument/2006/relationships" ref="F382" r:id="rId380"/>
    <hyperlink xmlns:r="http://schemas.openxmlformats.org/officeDocument/2006/relationships" ref="F383" r:id="rId381"/>
    <hyperlink xmlns:r="http://schemas.openxmlformats.org/officeDocument/2006/relationships" ref="F384" r:id="rId382"/>
    <hyperlink xmlns:r="http://schemas.openxmlformats.org/officeDocument/2006/relationships" ref="F385" r:id="rId383"/>
    <hyperlink xmlns:r="http://schemas.openxmlformats.org/officeDocument/2006/relationships" ref="F386" r:id="rId384"/>
    <hyperlink xmlns:r="http://schemas.openxmlformats.org/officeDocument/2006/relationships" ref="F387" r:id="rId385"/>
    <hyperlink xmlns:r="http://schemas.openxmlformats.org/officeDocument/2006/relationships" ref="F388" r:id="rId386"/>
    <hyperlink xmlns:r="http://schemas.openxmlformats.org/officeDocument/2006/relationships" ref="F389" r:id="rId387"/>
    <hyperlink xmlns:r="http://schemas.openxmlformats.org/officeDocument/2006/relationships" ref="F390" r:id="rId388"/>
    <hyperlink xmlns:r="http://schemas.openxmlformats.org/officeDocument/2006/relationships" ref="F391" r:id="rId389"/>
    <hyperlink xmlns:r="http://schemas.openxmlformats.org/officeDocument/2006/relationships" ref="F392" r:id="rId390"/>
    <hyperlink xmlns:r="http://schemas.openxmlformats.org/officeDocument/2006/relationships" ref="F393" r:id="rId391"/>
    <hyperlink xmlns:r="http://schemas.openxmlformats.org/officeDocument/2006/relationships" ref="F394" r:id="rId392"/>
    <hyperlink xmlns:r="http://schemas.openxmlformats.org/officeDocument/2006/relationships" ref="F395" r:id="rId393"/>
    <hyperlink xmlns:r="http://schemas.openxmlformats.org/officeDocument/2006/relationships" ref="F396" r:id="rId394"/>
    <hyperlink xmlns:r="http://schemas.openxmlformats.org/officeDocument/2006/relationships" ref="F397" r:id="rId395"/>
    <hyperlink xmlns:r="http://schemas.openxmlformats.org/officeDocument/2006/relationships" ref="F398" r:id="rId396"/>
    <hyperlink xmlns:r="http://schemas.openxmlformats.org/officeDocument/2006/relationships" ref="F399" r:id="rId397"/>
    <hyperlink xmlns:r="http://schemas.openxmlformats.org/officeDocument/2006/relationships" ref="F400" r:id="rId398"/>
    <hyperlink xmlns:r="http://schemas.openxmlformats.org/officeDocument/2006/relationships" ref="F401" r:id="rId399"/>
    <hyperlink xmlns:r="http://schemas.openxmlformats.org/officeDocument/2006/relationships" ref="F402" r:id="rId400"/>
    <hyperlink xmlns:r="http://schemas.openxmlformats.org/officeDocument/2006/relationships" ref="F403" r:id="rId401"/>
    <hyperlink xmlns:r="http://schemas.openxmlformats.org/officeDocument/2006/relationships" ref="F404" r:id="rId402"/>
    <hyperlink xmlns:r="http://schemas.openxmlformats.org/officeDocument/2006/relationships" ref="F405" r:id="rId403"/>
    <hyperlink xmlns:r="http://schemas.openxmlformats.org/officeDocument/2006/relationships" ref="F406" r:id="rId404"/>
    <hyperlink xmlns:r="http://schemas.openxmlformats.org/officeDocument/2006/relationships" ref="F407" r:id="rId405"/>
    <hyperlink xmlns:r="http://schemas.openxmlformats.org/officeDocument/2006/relationships" ref="F408" r:id="rId406"/>
    <hyperlink xmlns:r="http://schemas.openxmlformats.org/officeDocument/2006/relationships" ref="F409" r:id="rId407"/>
    <hyperlink xmlns:r="http://schemas.openxmlformats.org/officeDocument/2006/relationships" ref="F410" r:id="rId408"/>
    <hyperlink xmlns:r="http://schemas.openxmlformats.org/officeDocument/2006/relationships" ref="F411" r:id="rId409"/>
    <hyperlink xmlns:r="http://schemas.openxmlformats.org/officeDocument/2006/relationships" ref="F412" r:id="rId410"/>
    <hyperlink xmlns:r="http://schemas.openxmlformats.org/officeDocument/2006/relationships" ref="F413" r:id="rId411"/>
    <hyperlink xmlns:r="http://schemas.openxmlformats.org/officeDocument/2006/relationships" ref="F414" r:id="rId412"/>
    <hyperlink xmlns:r="http://schemas.openxmlformats.org/officeDocument/2006/relationships" ref="F415" r:id="rId413"/>
    <hyperlink xmlns:r="http://schemas.openxmlformats.org/officeDocument/2006/relationships" ref="F416" r:id="rId414"/>
    <hyperlink xmlns:r="http://schemas.openxmlformats.org/officeDocument/2006/relationships" ref="F417" r:id="rId415"/>
    <hyperlink xmlns:r="http://schemas.openxmlformats.org/officeDocument/2006/relationships" ref="F418" r:id="rId416"/>
    <hyperlink xmlns:r="http://schemas.openxmlformats.org/officeDocument/2006/relationships" ref="F419" r:id="rId417"/>
    <hyperlink xmlns:r="http://schemas.openxmlformats.org/officeDocument/2006/relationships" ref="F420" r:id="rId418"/>
    <hyperlink xmlns:r="http://schemas.openxmlformats.org/officeDocument/2006/relationships" ref="F421" r:id="rId419"/>
    <hyperlink xmlns:r="http://schemas.openxmlformats.org/officeDocument/2006/relationships" ref="F422" r:id="rId420"/>
    <hyperlink xmlns:r="http://schemas.openxmlformats.org/officeDocument/2006/relationships" ref="F423" r:id="rId421"/>
    <hyperlink xmlns:r="http://schemas.openxmlformats.org/officeDocument/2006/relationships" ref="F424" r:id="rId422"/>
    <hyperlink xmlns:r="http://schemas.openxmlformats.org/officeDocument/2006/relationships" ref="F425" r:id="rId423"/>
    <hyperlink xmlns:r="http://schemas.openxmlformats.org/officeDocument/2006/relationships" ref="F426" r:id="rId424"/>
    <hyperlink xmlns:r="http://schemas.openxmlformats.org/officeDocument/2006/relationships" ref="F427" r:id="rId425"/>
    <hyperlink xmlns:r="http://schemas.openxmlformats.org/officeDocument/2006/relationships" ref="F428" r:id="rId426"/>
    <hyperlink xmlns:r="http://schemas.openxmlformats.org/officeDocument/2006/relationships" ref="F429" r:id="rId427"/>
    <hyperlink xmlns:r="http://schemas.openxmlformats.org/officeDocument/2006/relationships" ref="F430" r:id="rId428"/>
    <hyperlink xmlns:r="http://schemas.openxmlformats.org/officeDocument/2006/relationships" ref="F431" r:id="rId429"/>
    <hyperlink xmlns:r="http://schemas.openxmlformats.org/officeDocument/2006/relationships" ref="F432" r:id="rId430"/>
    <hyperlink xmlns:r="http://schemas.openxmlformats.org/officeDocument/2006/relationships" ref="F433" r:id="rId431"/>
    <hyperlink xmlns:r="http://schemas.openxmlformats.org/officeDocument/2006/relationships" ref="F434" r:id="rId432"/>
    <hyperlink xmlns:r="http://schemas.openxmlformats.org/officeDocument/2006/relationships" ref="F435" r:id="rId433"/>
    <hyperlink xmlns:r="http://schemas.openxmlformats.org/officeDocument/2006/relationships" ref="F436" r:id="rId434"/>
    <hyperlink xmlns:r="http://schemas.openxmlformats.org/officeDocument/2006/relationships" ref="F437" r:id="rId435"/>
    <hyperlink xmlns:r="http://schemas.openxmlformats.org/officeDocument/2006/relationships" ref="F438" r:id="rId436"/>
    <hyperlink xmlns:r="http://schemas.openxmlformats.org/officeDocument/2006/relationships" ref="F439" r:id="rId437"/>
    <hyperlink xmlns:r="http://schemas.openxmlformats.org/officeDocument/2006/relationships" ref="F440" r:id="rId438"/>
    <hyperlink xmlns:r="http://schemas.openxmlformats.org/officeDocument/2006/relationships" ref="F441" r:id="rId439"/>
    <hyperlink xmlns:r="http://schemas.openxmlformats.org/officeDocument/2006/relationships" ref="F442" r:id="rId440"/>
    <hyperlink xmlns:r="http://schemas.openxmlformats.org/officeDocument/2006/relationships" ref="F443" r:id="rId441"/>
    <hyperlink xmlns:r="http://schemas.openxmlformats.org/officeDocument/2006/relationships" ref="F444" r:id="rId442"/>
    <hyperlink xmlns:r="http://schemas.openxmlformats.org/officeDocument/2006/relationships" ref="F445" r:id="rId443"/>
    <hyperlink xmlns:r="http://schemas.openxmlformats.org/officeDocument/2006/relationships" ref="F446" r:id="rId444"/>
    <hyperlink xmlns:r="http://schemas.openxmlformats.org/officeDocument/2006/relationships" ref="F447" r:id="rId445"/>
    <hyperlink xmlns:r="http://schemas.openxmlformats.org/officeDocument/2006/relationships" ref="F448" r:id="rId446"/>
    <hyperlink xmlns:r="http://schemas.openxmlformats.org/officeDocument/2006/relationships" ref="F449" r:id="rId447"/>
    <hyperlink xmlns:r="http://schemas.openxmlformats.org/officeDocument/2006/relationships" ref="F450" r:id="rId448"/>
    <hyperlink xmlns:r="http://schemas.openxmlformats.org/officeDocument/2006/relationships" ref="F451" r:id="rId449"/>
    <hyperlink xmlns:r="http://schemas.openxmlformats.org/officeDocument/2006/relationships" ref="F452" r:id="rId450"/>
    <hyperlink xmlns:r="http://schemas.openxmlformats.org/officeDocument/2006/relationships" ref="F453" r:id="rId451"/>
    <hyperlink xmlns:r="http://schemas.openxmlformats.org/officeDocument/2006/relationships" ref="F454" r:id="rId452"/>
    <hyperlink xmlns:r="http://schemas.openxmlformats.org/officeDocument/2006/relationships" ref="F455" r:id="rId453"/>
    <hyperlink xmlns:r="http://schemas.openxmlformats.org/officeDocument/2006/relationships" ref="F456" r:id="rId454"/>
    <hyperlink xmlns:r="http://schemas.openxmlformats.org/officeDocument/2006/relationships" ref="F457" r:id="rId455"/>
    <hyperlink xmlns:r="http://schemas.openxmlformats.org/officeDocument/2006/relationships" ref="F458" r:id="rId456"/>
    <hyperlink xmlns:r="http://schemas.openxmlformats.org/officeDocument/2006/relationships" ref="F459" r:id="rId457"/>
    <hyperlink xmlns:r="http://schemas.openxmlformats.org/officeDocument/2006/relationships" ref="F460" r:id="rId458"/>
    <hyperlink xmlns:r="http://schemas.openxmlformats.org/officeDocument/2006/relationships" ref="F461" r:id="rId459"/>
    <hyperlink xmlns:r="http://schemas.openxmlformats.org/officeDocument/2006/relationships" ref="F462" r:id="rId460"/>
    <hyperlink xmlns:r="http://schemas.openxmlformats.org/officeDocument/2006/relationships" ref="F463" r:id="rId461"/>
    <hyperlink xmlns:r="http://schemas.openxmlformats.org/officeDocument/2006/relationships" ref="F464" r:id="rId462"/>
    <hyperlink xmlns:r="http://schemas.openxmlformats.org/officeDocument/2006/relationships" ref="F465" r:id="rId463"/>
    <hyperlink xmlns:r="http://schemas.openxmlformats.org/officeDocument/2006/relationships" ref="F466" r:id="rId464"/>
    <hyperlink xmlns:r="http://schemas.openxmlformats.org/officeDocument/2006/relationships" ref="F467" r:id="rId465"/>
    <hyperlink xmlns:r="http://schemas.openxmlformats.org/officeDocument/2006/relationships" ref="F468" r:id="rId466"/>
    <hyperlink xmlns:r="http://schemas.openxmlformats.org/officeDocument/2006/relationships" ref="F469" r:id="rId467"/>
    <hyperlink xmlns:r="http://schemas.openxmlformats.org/officeDocument/2006/relationships" ref="F470" r:id="rId468"/>
    <hyperlink xmlns:r="http://schemas.openxmlformats.org/officeDocument/2006/relationships" ref="F471" r:id="rId469"/>
    <hyperlink xmlns:r="http://schemas.openxmlformats.org/officeDocument/2006/relationships" ref="F472" r:id="rId470"/>
    <hyperlink xmlns:r="http://schemas.openxmlformats.org/officeDocument/2006/relationships" ref="F473" r:id="rId471"/>
    <hyperlink xmlns:r="http://schemas.openxmlformats.org/officeDocument/2006/relationships" ref="F474" r:id="rId472"/>
    <hyperlink xmlns:r="http://schemas.openxmlformats.org/officeDocument/2006/relationships" ref="F475" r:id="rId473"/>
    <hyperlink xmlns:r="http://schemas.openxmlformats.org/officeDocument/2006/relationships" ref="F476" r:id="rId474"/>
    <hyperlink xmlns:r="http://schemas.openxmlformats.org/officeDocument/2006/relationships" ref="F477" r:id="rId475"/>
    <hyperlink xmlns:r="http://schemas.openxmlformats.org/officeDocument/2006/relationships" ref="F478" r:id="rId476"/>
    <hyperlink xmlns:r="http://schemas.openxmlformats.org/officeDocument/2006/relationships" ref="F479" r:id="rId477"/>
    <hyperlink xmlns:r="http://schemas.openxmlformats.org/officeDocument/2006/relationships" ref="F480" r:id="rId478"/>
    <hyperlink xmlns:r="http://schemas.openxmlformats.org/officeDocument/2006/relationships" ref="F481" r:id="rId479"/>
    <hyperlink xmlns:r="http://schemas.openxmlformats.org/officeDocument/2006/relationships" ref="F482" r:id="rId480"/>
    <hyperlink xmlns:r="http://schemas.openxmlformats.org/officeDocument/2006/relationships" ref="F483" r:id="rId481"/>
    <hyperlink xmlns:r="http://schemas.openxmlformats.org/officeDocument/2006/relationships" ref="F484" r:id="rId482"/>
    <hyperlink xmlns:r="http://schemas.openxmlformats.org/officeDocument/2006/relationships" ref="F485" r:id="rId483"/>
    <hyperlink xmlns:r="http://schemas.openxmlformats.org/officeDocument/2006/relationships" ref="F486" r:id="rId484"/>
    <hyperlink xmlns:r="http://schemas.openxmlformats.org/officeDocument/2006/relationships" ref="F487" r:id="rId485"/>
    <hyperlink xmlns:r="http://schemas.openxmlformats.org/officeDocument/2006/relationships" ref="F488" r:id="rId486"/>
    <hyperlink xmlns:r="http://schemas.openxmlformats.org/officeDocument/2006/relationships" ref="F489" r:id="rId487"/>
    <hyperlink xmlns:r="http://schemas.openxmlformats.org/officeDocument/2006/relationships" ref="F490" r:id="rId488"/>
    <hyperlink xmlns:r="http://schemas.openxmlformats.org/officeDocument/2006/relationships" ref="F491" r:id="rId489"/>
    <hyperlink xmlns:r="http://schemas.openxmlformats.org/officeDocument/2006/relationships" ref="F492" r:id="rId490"/>
    <hyperlink xmlns:r="http://schemas.openxmlformats.org/officeDocument/2006/relationships" ref="F493" r:id="rId491"/>
    <hyperlink xmlns:r="http://schemas.openxmlformats.org/officeDocument/2006/relationships" ref="F494" r:id="rId492"/>
    <hyperlink xmlns:r="http://schemas.openxmlformats.org/officeDocument/2006/relationships" ref="F495" r:id="rId493"/>
    <hyperlink xmlns:r="http://schemas.openxmlformats.org/officeDocument/2006/relationships" ref="F496" r:id="rId49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5" customWidth="1" min="2" max="2"/>
    <col width="11" customWidth="1" min="3" max="3"/>
    <col width="15" customWidth="1" min="4" max="4"/>
    <col width="32" customWidth="1" min="5" max="5"/>
    <col width="12" customWidth="1" min="6" max="6"/>
    <col width="11" customWidth="1" min="7" max="7"/>
    <col width="22" customWidth="1" min="8" max="8"/>
    <col width="10" customWidth="1" min="9" max="9"/>
    <col width="9" customWidth="1" min="10" max="10"/>
    <col width="24" customWidth="1" min="11" max="11"/>
    <col width="28" customWidth="1" min="12" max="12"/>
    <col width="10"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30" customWidth="1" min="24" max="24"/>
    <col width="45" customWidth="1" min="25" max="25"/>
    <col width="35" customWidth="1" min="26" max="26"/>
    <col width="30" customWidth="1" min="27" max="27"/>
    <col width="60" customWidth="1" min="28" max="28"/>
  </cols>
  <sheetData>
    <row r="1" ht="32" customHeight="1">
      <c r="A1" s="12" t="inlineStr">
        <is>
          <t>Dataset</t>
        </is>
      </c>
      <c r="B1" s="12" t="inlineStr">
        <is>
          <t>Tier</t>
        </is>
      </c>
      <c r="C1" s="12" t="inlineStr">
        <is>
          <t>URL health</t>
        </is>
      </c>
      <c r="D1" s="12" t="inlineStr">
        <is>
          <t>Theme</t>
        </is>
      </c>
      <c r="E1" s="12" t="inlineStr">
        <is>
          <t>Publisher</t>
        </is>
      </c>
      <c r="F1" s="12" t="inlineStr">
        <is>
          <t>Coverage</t>
        </is>
      </c>
      <c r="G1" s="12" t="inlineStr">
        <is>
          <t>Finest unit</t>
        </is>
      </c>
      <c r="H1" s="12" t="inlineStr">
        <is>
          <t>Gaia fit</t>
        </is>
      </c>
      <c r="I1" s="12" t="inlineStr">
        <is>
          <t>Health relevance (0-3)</t>
        </is>
      </c>
      <c r="J1" s="12" t="inlineStr">
        <is>
          <t>Latest year</t>
        </is>
      </c>
      <c r="K1" s="12" t="inlineStr">
        <is>
          <t>Format</t>
        </is>
      </c>
      <c r="L1" s="12" t="inlineStr">
        <is>
          <t>Licence (as listed)</t>
        </is>
      </c>
      <c r="M1" s="12" t="inlineStr">
        <is>
          <t>Confidence</t>
        </is>
      </c>
      <c r="N1" s="12" t="inlineStr">
        <is>
          <t>✓ link live</t>
        </is>
      </c>
      <c r="O1" s="12" t="inlineStr">
        <is>
          <t>✓ redirect</t>
        </is>
      </c>
      <c r="P1" s="12" t="inlineStr">
        <is>
          <t>✓ tls</t>
        </is>
      </c>
      <c r="Q1" s="12" t="inlineStr">
        <is>
          <t>✓ soft404</t>
        </is>
      </c>
      <c r="R1" s="12" t="inlineStr">
        <is>
          <t>✓ withdrawn</t>
        </is>
      </c>
      <c r="S1" s="12" t="inlineStr">
        <is>
          <t>✓ access url</t>
        </is>
      </c>
      <c r="T1" s="12" t="inlineStr">
        <is>
          <t>✓ format match</t>
        </is>
      </c>
      <c r="U1" s="12" t="inlineStr">
        <is>
          <t>✓ machine metadata</t>
        </is>
      </c>
      <c r="V1" s="12" t="inlineStr">
        <is>
          <t>✓ persistent id</t>
        </is>
      </c>
      <c r="W1" s="12" t="inlineStr">
        <is>
          <t>✓ archived</t>
        </is>
      </c>
      <c r="X1" s="12" t="inlineStr">
        <is>
          <t>Blockers</t>
        </is>
      </c>
      <c r="Y1" s="12" t="inlineStr">
        <is>
          <t>Landing page</t>
        </is>
      </c>
      <c r="Z1" s="12" t="inlineStr">
        <is>
          <t>Archive copy</t>
        </is>
      </c>
      <c r="AA1" s="12" t="inlineStr">
        <is>
          <t>id</t>
        </is>
      </c>
      <c r="AB1" s="12" t="inlineStr">
        <is>
          <t>Notes</t>
        </is>
      </c>
    </row>
    <row r="2">
      <c r="A2" s="4" t="inlineStr">
        <is>
          <t>A spatial database of health facilities managed by the public health sector in sub-Saharan Africa</t>
        </is>
      </c>
      <c r="B2" s="20" t="inlineStr">
        <is>
          <t>Bronze</t>
        </is>
      </c>
      <c r="C2" s="4" t="inlineStr">
        <is>
          <t>healthy</t>
        </is>
      </c>
      <c r="D2" s="4" t="inlineStr">
        <is>
          <t>sdoh</t>
        </is>
      </c>
      <c r="E2" s="4" t="inlineStr">
        <is>
          <t>KEMRI-Wellcome Trust Research Programme / WHO Global Malaria Programme (Maina et al. 2019)</t>
        </is>
      </c>
      <c r="F2" s="4" t="inlineStr">
        <is>
          <t>sub-Saharan Africa (50 countries and islands)</t>
        </is>
      </c>
      <c r="G2" s="4" t="inlineStr">
        <is>
          <t>point</t>
        </is>
      </c>
      <c r="H2" s="4" t="inlineStr">
        <is>
          <t>Needs a count/distance step</t>
        </is>
      </c>
      <c r="I2" s="4" t="n">
        <v>3</v>
      </c>
      <c r="J2" s="4" t="n">
        <v>2019</v>
      </c>
      <c r="K2" s="4" t="inlineStr">
        <is>
          <t>xlsx;csv</t>
        </is>
      </c>
      <c r="L2" s="4" t="inlineStr">
        <is>
          <t>CC BY 4.0 (paper; dataset licence not read)</t>
        </is>
      </c>
      <c r="M2" s="4" t="inlineStr">
        <is>
          <t>medium</t>
        </is>
      </c>
      <c r="N2" s="14" t="inlineStr">
        <is>
          <t>pass</t>
        </is>
      </c>
      <c r="O2" s="14" t="inlineStr">
        <is>
          <t>pass</t>
        </is>
      </c>
      <c r="P2" s="14" t="inlineStr">
        <is>
          <t>pass</t>
        </is>
      </c>
      <c r="Q2" s="14" t="inlineStr">
        <is>
          <t>pass</t>
        </is>
      </c>
      <c r="R2" s="14" t="inlineStr">
        <is>
          <t>pass</t>
        </is>
      </c>
      <c r="S2" s="14" t="inlineStr">
        <is>
          <t>pass</t>
        </is>
      </c>
      <c r="T2" s="16" t="inlineStr">
        <is>
          <t>warn</t>
        </is>
      </c>
      <c r="U2" s="16" t="inlineStr">
        <is>
          <t>warn</t>
        </is>
      </c>
      <c r="V2" s="16" t="inlineStr">
        <is>
          <t>warn</t>
        </is>
      </c>
      <c r="W2" s="14" t="inlineStr">
        <is>
          <t>pass</t>
        </is>
      </c>
      <c r="X2" s="4" t="inlineStr">
        <is>
          <t>format_match(warn);machine_metadata(warn);persistent_id(warn)</t>
        </is>
      </c>
      <c r="Y2" s="17" t="inlineStr">
        <is>
          <t>https://www.who.int/publications/m/item/who-cds-gmp-2019-01</t>
        </is>
      </c>
      <c r="Z2" s="17" t="inlineStr">
        <is>
          <t>https://web.archive.org/web/20250206201804/https://www.who.int/publications/m/item/who-cds-gmp-2019-01</t>
        </is>
      </c>
      <c r="AA2" s="4" t="inlineStr">
        <is>
          <t>ssa_kemri_who_public_health_facilities</t>
        </is>
      </c>
      <c r="AB2" s="4" t="inlineStr">
        <is>
          <t>98,745 public-sector facilities geocoded from national master facility lists; the WHO page confirms scope and date but not fields or formats (those come from search snippets: figshare Excel, HDX copy 'Health Facilities in Sub-Saharan Africa' with coordinates rounded to 4 dp). figshare and HDX returned 403. One-off 2019 snapshot (post-2015, so kept); public sector only.</t>
        </is>
      </c>
    </row>
    <row r="3">
      <c r="A3" s="4" t="inlineStr">
        <is>
          <t>Catálogo Nacional de Hospitales</t>
        </is>
      </c>
      <c r="B3" s="20" t="inlineStr">
        <is>
          <t>Bronze</t>
        </is>
      </c>
      <c r="C3" s="4" t="inlineStr">
        <is>
          <t>degraded</t>
        </is>
      </c>
      <c r="D3" s="4" t="inlineStr">
        <is>
          <t>sdoh</t>
        </is>
      </c>
      <c r="E3" s="4" t="inlineStr">
        <is>
          <t>Ministerio de Sanidad (Spain)</t>
        </is>
      </c>
      <c r="F3" s="4" t="inlineStr">
        <is>
          <t>ES</t>
        </is>
      </c>
      <c r="G3" s="4" t="inlineStr">
        <is>
          <t>address</t>
        </is>
      </c>
      <c r="H3" s="4" t="inlineStr">
        <is>
          <t>Needs a count/distance step</t>
        </is>
      </c>
      <c r="I3" s="4" t="n">
        <v>3</v>
      </c>
      <c r="J3" s="4" t="n">
        <v>2025</v>
      </c>
      <c r="K3" s="4" t="inlineStr">
        <is>
          <t>xlsx;pdf</t>
        </is>
      </c>
      <c r="L3" s="4" t="inlineStr"/>
      <c r="M3" s="4" t="inlineStr">
        <is>
          <t>medium</t>
        </is>
      </c>
      <c r="N3" s="14" t="inlineStr">
        <is>
          <t>pass</t>
        </is>
      </c>
      <c r="O3" s="14" t="inlineStr">
        <is>
          <t>pass</t>
        </is>
      </c>
      <c r="P3" s="14" t="inlineStr">
        <is>
          <t>pass</t>
        </is>
      </c>
      <c r="Q3" s="14" t="inlineStr">
        <is>
          <t>pass</t>
        </is>
      </c>
      <c r="R3" s="14" t="inlineStr">
        <is>
          <t>pass</t>
        </is>
      </c>
      <c r="S3" s="14" t="inlineStr">
        <is>
          <t>pass</t>
        </is>
      </c>
      <c r="T3" s="14" t="inlineStr">
        <is>
          <t>pass</t>
        </is>
      </c>
      <c r="U3" s="18" t="inlineStr">
        <is>
          <t>fail</t>
        </is>
      </c>
      <c r="V3" s="16" t="inlineStr">
        <is>
          <t>warn</t>
        </is>
      </c>
      <c r="W3" s="14" t="inlineStr">
        <is>
          <t>pass</t>
        </is>
      </c>
      <c r="X3" s="4" t="inlineStr">
        <is>
          <t>machine_metadata;persistent_id(warn)</t>
        </is>
      </c>
      <c r="Y3" s="17" t="inlineStr">
        <is>
          <t>https://www.sanidad.gob.es/estadEstudios/estadisticas/sisInfSanSNS/ofertaRecursos/hospitales/home.htm</t>
        </is>
      </c>
      <c r="Z3" s="17" t="inlineStr">
        <is>
          <t>https://web.archive.org/web/20261016174850/https://www.sanidad.gob.es/estadEstudios/estadisticas/sisInfSanSNS/ofertaRecursos/hospitales/home.htm</t>
        </is>
      </c>
      <c r="AA3" s="4" t="inlineStr">
        <is>
          <t>es_sanidad_catalogo_nacional_hospitales</t>
        </is>
      </c>
      <c r="AB3" s="4" t="inlineStr">
        <is>
          <t>Hospitals operating on 31 December each year, drawn from the REGCESS registry; Excel includes harmonised autonomous-community codes. Fields not listed on the page (variable examples from the catalogue's description in search snippets); no coordinates: needs geocoding. Banco de Datos lists it under free access ('Acceso libre') with microdata from 1995.</t>
        </is>
      </c>
    </row>
    <row r="4">
      <c r="A4" s="4" t="inlineStr">
        <is>
          <t>CNES - Cadastro Nacional de Estabelecimentos de Saúde (base de dados mensal)</t>
        </is>
      </c>
      <c r="B4" s="20" t="inlineStr">
        <is>
          <t>Bronze</t>
        </is>
      </c>
      <c r="C4" s="4" t="inlineStr">
        <is>
          <t>degraded</t>
        </is>
      </c>
      <c r="D4" s="4" t="inlineStr">
        <is>
          <t>sdoh</t>
        </is>
      </c>
      <c r="E4" s="4" t="inlineStr">
        <is>
          <t>Ministério da Saúde / DATASUS</t>
        </is>
      </c>
      <c r="F4" s="4" t="inlineStr">
        <is>
          <t>BR</t>
        </is>
      </c>
      <c r="G4" s="4" t="inlineStr">
        <is>
          <t>point</t>
        </is>
      </c>
      <c r="H4" s="4" t="inlineStr">
        <is>
          <t>Needs a count/distance step</t>
        </is>
      </c>
      <c r="I4" s="4" t="n">
        <v>3</v>
      </c>
      <c r="J4" s="4" t="n">
        <v>2026</v>
      </c>
      <c r="K4" s="4" t="inlineStr">
        <is>
          <t>csv</t>
        </is>
      </c>
      <c r="L4" s="4" t="inlineStr"/>
      <c r="M4" s="4" t="inlineStr">
        <is>
          <t>low</t>
        </is>
      </c>
      <c r="N4" s="14" t="inlineStr">
        <is>
          <t>pass</t>
        </is>
      </c>
      <c r="O4" s="14" t="inlineStr">
        <is>
          <t>pass</t>
        </is>
      </c>
      <c r="P4" s="14" t="inlineStr">
        <is>
          <t>pass</t>
        </is>
      </c>
      <c r="Q4" s="14" t="inlineStr">
        <is>
          <t>pass</t>
        </is>
      </c>
      <c r="R4" s="14" t="inlineStr">
        <is>
          <t>pass</t>
        </is>
      </c>
      <c r="S4" s="15" t="inlineStr">
        <is>
          <t>n.a.</t>
        </is>
      </c>
      <c r="T4" s="15" t="inlineStr">
        <is>
          <t>n.a.</t>
        </is>
      </c>
      <c r="U4" s="18" t="inlineStr">
        <is>
          <t>fail</t>
        </is>
      </c>
      <c r="V4" s="16" t="inlineStr">
        <is>
          <t>warn</t>
        </is>
      </c>
      <c r="W4" s="14" t="inlineStr">
        <is>
          <t>pass</t>
        </is>
      </c>
      <c r="X4" s="4" t="inlineStr">
        <is>
          <t>machine_metadata;persistent_id(warn)</t>
        </is>
      </c>
      <c r="Y4" s="17" t="inlineStr">
        <is>
          <t>https://cnes.datasus.gov.br/pages/downloads/arquivosBaseDados.jsp</t>
        </is>
      </c>
      <c r="Z4" s="17" t="inlineStr">
        <is>
          <t>https://web.archive.org/web/20261003191347/https://cnes.datasus.gov.br/pages/downloads/arquivosBaseDados.jsp</t>
        </is>
      </c>
      <c r="AA4" s="4" t="inlineStr">
        <is>
          <t>br_datasus_cnes_estabelecimentos</t>
        </is>
      </c>
      <c r="AB4" s="4" t="inlineStr">
        <is>
          <t>The CNES downloads page is JavaScript-rendered (file list did not load) and the OpenDataSUS dataset URL redirected to the portal home, so cadence, formats and licence are not confirmed from an official page. The geobr documentation confirms CNES carries producer coordinates (geobr supplements them with geocodebr; YYYYMM releases, e.g. 202601). Search snippets: Portaria 359/2019 makes location mandatory; roughly 400,000 facilities. Specific CNES product, distinct from the round-1 generic DATASUS transfer page.</t>
        </is>
      </c>
    </row>
    <row r="5">
      <c r="A5" s="4" t="inlineStr">
        <is>
          <t>CQC care directory (with filters / with ratings)</t>
        </is>
      </c>
      <c r="B5" s="20" t="inlineStr">
        <is>
          <t>Bronze</t>
        </is>
      </c>
      <c r="C5" s="4" t="inlineStr">
        <is>
          <t>degraded</t>
        </is>
      </c>
      <c r="D5" s="4" t="inlineStr">
        <is>
          <t>sdoh</t>
        </is>
      </c>
      <c r="E5" s="4" t="inlineStr">
        <is>
          <t>Care Quality Commission (CQC)</t>
        </is>
      </c>
      <c r="F5" s="4" t="inlineStr">
        <is>
          <t>England</t>
        </is>
      </c>
      <c r="G5" s="4" t="inlineStr">
        <is>
          <t>address</t>
        </is>
      </c>
      <c r="H5" s="4" t="inlineStr">
        <is>
          <t>Needs a count/distance step</t>
        </is>
      </c>
      <c r="I5" s="4" t="n">
        <v>3</v>
      </c>
      <c r="J5" s="4" t="n">
        <v>2020</v>
      </c>
      <c r="K5" s="4" t="inlineStr">
        <is>
          <t>csv;xlsx</t>
        </is>
      </c>
      <c r="L5" s="4" t="inlineStr">
        <is>
          <t>OGL v2 (as stated on the Data Mill North mirror)</t>
        </is>
      </c>
      <c r="M5" s="4" t="inlineStr">
        <is>
          <t>low</t>
        </is>
      </c>
      <c r="N5" s="14" t="inlineStr">
        <is>
          <t>pass</t>
        </is>
      </c>
      <c r="O5" s="14" t="inlineStr">
        <is>
          <t>pass</t>
        </is>
      </c>
      <c r="P5" s="14" t="inlineStr">
        <is>
          <t>pass</t>
        </is>
      </c>
      <c r="Q5" s="14" t="inlineStr">
        <is>
          <t>pass</t>
        </is>
      </c>
      <c r="R5" s="14" t="inlineStr">
        <is>
          <t>pass</t>
        </is>
      </c>
      <c r="S5" s="15" t="inlineStr">
        <is>
          <t>n.a.</t>
        </is>
      </c>
      <c r="T5" s="15" t="inlineStr">
        <is>
          <t>n.a.</t>
        </is>
      </c>
      <c r="U5" s="18" t="inlineStr">
        <is>
          <t>fail</t>
        </is>
      </c>
      <c r="V5" s="16" t="inlineStr">
        <is>
          <t>warn</t>
        </is>
      </c>
      <c r="W5" s="14" t="inlineStr">
        <is>
          <t>pass</t>
        </is>
      </c>
      <c r="X5" s="4" t="inlineStr">
        <is>
          <t>machine_metadata;persistent_id(warn)</t>
        </is>
      </c>
      <c r="Y5" s="17" t="inlineStr">
        <is>
          <t>https://www.cqc.org.uk/about-us/transparency/using-cqc-data</t>
        </is>
      </c>
      <c r="Z5" s="17" t="inlineStr">
        <is>
          <t>https://web.archive.org/web/20261016230038/https://www.cqc.org.uk/about-us/transparency/using-cqc-data</t>
        </is>
      </c>
      <c r="AA5" s="4" t="inlineStr">
        <is>
          <t>gb_cqc_care_directory</t>
        </is>
      </c>
      <c r="AB5" s="4" t="inlineStr">
        <is>
          <t>cqc.org.uk and the data.gov.uk record returned 403/404, so values come from a 2020 mirror on Data Mill North plus search snippets of the CQC page ('CQC usually update this file once a month'; filters by regulated activity, service type, service user band; dual registrations only visible here, not in the API). Covers every CQC-registered location: hospitals, care homes, dentists, GP practices, hospices, ambulance services. Address+postcode: needs geocoding. Snippets also note CQC's 2025-26 system migration delayed file generation.</t>
        </is>
      </c>
    </row>
    <row r="6">
      <c r="A6" s="4" t="inlineStr">
        <is>
          <t>Dialysis Facility - Listing by Facility</t>
        </is>
      </c>
      <c r="B6" s="20" t="inlineStr">
        <is>
          <t>Bronze</t>
        </is>
      </c>
      <c r="C6" s="4" t="inlineStr">
        <is>
          <t>degraded</t>
        </is>
      </c>
      <c r="D6" s="4" t="inlineStr">
        <is>
          <t>sdoh</t>
        </is>
      </c>
      <c r="E6" s="4" t="inlineStr">
        <is>
          <t>Centers for Medicare &amp; Medicaid Services (CMS), Provider Data Catalog</t>
        </is>
      </c>
      <c r="F6" s="4" t="inlineStr">
        <is>
          <t>US</t>
        </is>
      </c>
      <c r="G6" s="4" t="inlineStr">
        <is>
          <t>address</t>
        </is>
      </c>
      <c r="H6" s="4" t="inlineStr">
        <is>
          <t>Needs a count/distance step</t>
        </is>
      </c>
      <c r="I6" s="4" t="n">
        <v>3</v>
      </c>
      <c r="J6" s="4" t="n">
        <v>2026</v>
      </c>
      <c r="K6" s="4" t="inlineStr">
        <is>
          <t>csv;api</t>
        </is>
      </c>
      <c r="L6" s="4" t="inlineStr"/>
      <c r="M6" s="4" t="inlineStr">
        <is>
          <t>medium</t>
        </is>
      </c>
      <c r="N6" s="14" t="inlineStr">
        <is>
          <t>pass</t>
        </is>
      </c>
      <c r="O6" s="14" t="inlineStr">
        <is>
          <t>pass</t>
        </is>
      </c>
      <c r="P6" s="14" t="inlineStr">
        <is>
          <t>pass</t>
        </is>
      </c>
      <c r="Q6" s="16" t="inlineStr">
        <is>
          <t>warn</t>
        </is>
      </c>
      <c r="R6" s="15" t="inlineStr">
        <is>
          <t>not_checked</t>
        </is>
      </c>
      <c r="S6" s="18" t="inlineStr">
        <is>
          <t>fail</t>
        </is>
      </c>
      <c r="T6" s="15" t="inlineStr">
        <is>
          <t>n.a.</t>
        </is>
      </c>
      <c r="U6" s="18" t="inlineStr">
        <is>
          <t>fail</t>
        </is>
      </c>
      <c r="V6" s="16" t="inlineStr">
        <is>
          <t>warn</t>
        </is>
      </c>
      <c r="W6" s="14" t="inlineStr">
        <is>
          <t>pass</t>
        </is>
      </c>
      <c r="X6" s="4" t="inlineStr">
        <is>
          <t>access_url;machine_metadata;soft404(warn);persistent_id(warn)</t>
        </is>
      </c>
      <c r="Y6" s="17" t="inlineStr">
        <is>
          <t>https://data.cms.gov/provider-data/dataset/23ew-n7w9</t>
        </is>
      </c>
      <c r="Z6" s="17" t="inlineStr">
        <is>
          <t>https://web.archive.org/web/20261021033251/https://data.cms.gov/provider-data/dataset/23ew-n7w9</t>
        </is>
      </c>
      <c r="AA6" s="4" t="inlineStr">
        <is>
          <t>us_cms_dialysis_facility_listing</t>
        </is>
      </c>
      <c r="AB6" s="4" t="inlineStr">
        <is>
          <t>All Medicare-registered dialysis facilities. The data.cms.gov page is JavaScript-rendered (returned only 'PQDC'), so fields were read from the data.gov catalog record; update frequency and licence not stated there. Address-only: needs geocoding. Separate product from the round-1 hospital/nursing-home/POS files.</t>
        </is>
      </c>
    </row>
    <row r="7">
      <c r="A7" s="4" t="inlineStr">
        <is>
          <t>FINESS Extraction du Fichier des établissements</t>
        </is>
      </c>
      <c r="B7" s="20" t="inlineStr">
        <is>
          <t>Bronze</t>
        </is>
      </c>
      <c r="C7" s="4" t="inlineStr">
        <is>
          <t>healthy</t>
        </is>
      </c>
      <c r="D7" s="4" t="inlineStr">
        <is>
          <t>sdoh</t>
        </is>
      </c>
      <c r="E7" s="4" t="inlineStr">
        <is>
          <t>Ministère des Solidarités et de la Santé / Agence du Numérique en Santé (ANS)</t>
        </is>
      </c>
      <c r="F7" s="4" t="inlineStr">
        <is>
          <t>FR (metropole and overseas)</t>
        </is>
      </c>
      <c r="G7" s="4" t="inlineStr">
        <is>
          <t>point</t>
        </is>
      </c>
      <c r="H7" s="4" t="inlineStr">
        <is>
          <t>Needs a count/distance step</t>
        </is>
      </c>
      <c r="I7" s="4" t="n">
        <v>3</v>
      </c>
      <c r="J7" s="4" t="n">
        <v>2026</v>
      </c>
      <c r="K7" s="4" t="inlineStr">
        <is>
          <t>csv;pdf</t>
        </is>
      </c>
      <c r="L7" s="4" t="inlineStr">
        <is>
          <t>Licence Ouverte / Open Licence</t>
        </is>
      </c>
      <c r="M7" s="4" t="inlineStr">
        <is>
          <t>high</t>
        </is>
      </c>
      <c r="N7" s="14" t="inlineStr">
        <is>
          <t>pass</t>
        </is>
      </c>
      <c r="O7" s="14" t="inlineStr">
        <is>
          <t>pass</t>
        </is>
      </c>
      <c r="P7" s="14" t="inlineStr">
        <is>
          <t>pass</t>
        </is>
      </c>
      <c r="Q7" s="14" t="inlineStr">
        <is>
          <t>pass</t>
        </is>
      </c>
      <c r="R7" s="14" t="inlineStr">
        <is>
          <t>pass</t>
        </is>
      </c>
      <c r="S7" s="14" t="inlineStr">
        <is>
          <t>pass</t>
        </is>
      </c>
      <c r="T7" s="14" t="inlineStr">
        <is>
          <t>pass</t>
        </is>
      </c>
      <c r="U7" s="14" t="inlineStr">
        <is>
          <t>pass</t>
        </is>
      </c>
      <c r="V7" s="16" t="inlineStr">
        <is>
          <t>warn</t>
        </is>
      </c>
      <c r="W7" s="14" t="inlineStr">
        <is>
          <t>pass</t>
        </is>
      </c>
      <c r="X7" s="4" t="inlineStr">
        <is>
          <t>persistent_id(warn)</t>
        </is>
      </c>
      <c r="Y7" s="17" t="inlineStr">
        <is>
          <t>https://www.data.gouv.fr/datasets/finess-extraction-du-fichier-des-etablissements</t>
        </is>
      </c>
      <c r="Z7" s="17" t="inlineStr">
        <is>
          <t>https://web.archive.org/web/20260925170415/https://www.data.gouv.fr/datasets/finess-extraction-du-fichier-des-etablissements</t>
        </is>
      </c>
      <c r="AA7" s="4" t="inlineStr">
        <is>
          <t>fr_ans_finess_etablissements</t>
        </is>
      </c>
      <c r="AB7" s="4" t="inlineStr">
        <is>
          <t>National register of all health, social and medico-social establishments with projected coordinates (multiple CRS by territory; needs reprojection). The page states this extraction is no longer updated since the FINESS+ migration; users are directed to the new ANS flows (github ansforge/finess). Kept because the file is still served and the geocoded successor (Atlasanté t_finess, next row) continues.</t>
        </is>
      </c>
    </row>
    <row r="8">
      <c r="A8" s="4" t="inlineStr">
        <is>
          <t>GRID3 Sierra Leone National Health Facilities Dataset, Version 01</t>
        </is>
      </c>
      <c r="B8" s="20" t="inlineStr">
        <is>
          <t>Bronze</t>
        </is>
      </c>
      <c r="C8" s="4" t="inlineStr">
        <is>
          <t>healthy</t>
        </is>
      </c>
      <c r="D8" s="4" t="inlineStr">
        <is>
          <t>sdoh</t>
        </is>
      </c>
      <c r="E8" s="4" t="inlineStr">
        <is>
          <t>GRID3 with Sierra Leone Ministry of Health and Sanitation (DPPI)</t>
        </is>
      </c>
      <c r="F8" s="4" t="inlineStr">
        <is>
          <t>SL</t>
        </is>
      </c>
      <c r="G8" s="4" t="inlineStr">
        <is>
          <t>point</t>
        </is>
      </c>
      <c r="H8" s="4" t="inlineStr">
        <is>
          <t>Needs a count/distance step</t>
        </is>
      </c>
      <c r="I8" s="4" t="n">
        <v>3</v>
      </c>
      <c r="J8" s="4" t="n">
        <v>2023</v>
      </c>
      <c r="K8" s="4" t="inlineStr"/>
      <c r="L8" s="4" t="inlineStr"/>
      <c r="M8" s="4" t="inlineStr">
        <is>
          <t>medium</t>
        </is>
      </c>
      <c r="N8" s="14" t="inlineStr">
        <is>
          <t>pass</t>
        </is>
      </c>
      <c r="O8" s="14" t="inlineStr">
        <is>
          <t>pass</t>
        </is>
      </c>
      <c r="P8" s="14" t="inlineStr">
        <is>
          <t>pass</t>
        </is>
      </c>
      <c r="Q8" s="14" t="inlineStr">
        <is>
          <t>pass</t>
        </is>
      </c>
      <c r="R8" s="14" t="inlineStr">
        <is>
          <t>pass</t>
        </is>
      </c>
      <c r="S8" s="14" t="inlineStr">
        <is>
          <t>pass</t>
        </is>
      </c>
      <c r="T8" s="15" t="inlineStr">
        <is>
          <t>n.a.</t>
        </is>
      </c>
      <c r="U8" s="16" t="inlineStr">
        <is>
          <t>warn</t>
        </is>
      </c>
      <c r="V8" s="16" t="inlineStr">
        <is>
          <t>warn</t>
        </is>
      </c>
      <c r="W8" s="14" t="inlineStr">
        <is>
          <t>pass</t>
        </is>
      </c>
      <c r="X8" s="4" t="inlineStr">
        <is>
          <t>machine_metadata(warn);persistent_id(warn)</t>
        </is>
      </c>
      <c r="Y8" s="17" t="inlineStr">
        <is>
          <t>https://grid3.org/news/sierra-leone-health-facilities-dataset</t>
        </is>
      </c>
      <c r="Z8" s="17" t="inlineStr">
        <is>
          <t>https://web.archive.org/web/20260713192921/https://grid3.org/news/sierra-leone-health-facilities-dataset</t>
        </is>
      </c>
      <c r="AA8" s="4" t="inlineStr">
        <is>
          <t>sl_grid3_sierra_leone_health_facilities</t>
        </is>
      </c>
      <c r="AB8" s="4" t="inlineStr">
        <is>
          <t>Over 1,500 facilities; the first openly accessible, government-approved national facility dataset for Sierra Leone. Formats and licence not stated on the news page; the GRID3 Data Hub landing page is JavaScript-only (returned only its title). One-off snapshot after 2015.</t>
        </is>
      </c>
    </row>
    <row r="9">
      <c r="A9" s="4" t="inlineStr">
        <is>
          <t>GRID3 Zambia Operational Health Facility Layer, Version 01 (Beta)</t>
        </is>
      </c>
      <c r="B9" s="20" t="inlineStr">
        <is>
          <t>Bronze</t>
        </is>
      </c>
      <c r="C9" s="4" t="inlineStr">
        <is>
          <t>healthy</t>
        </is>
      </c>
      <c r="D9" s="4" t="inlineStr">
        <is>
          <t>sdoh</t>
        </is>
      </c>
      <c r="E9" s="4" t="inlineStr">
        <is>
          <t>GRID3 / CIESIN (Columbia University) with Zambia Ministry of Health, ZamStats, Office of the Surveyor General</t>
        </is>
      </c>
      <c r="F9" s="4" t="inlineStr">
        <is>
          <t>ZM</t>
        </is>
      </c>
      <c r="G9" s="4" t="inlineStr">
        <is>
          <t>point</t>
        </is>
      </c>
      <c r="H9" s="4" t="inlineStr">
        <is>
          <t>Needs a count/distance step</t>
        </is>
      </c>
      <c r="I9" s="4" t="n">
        <v>3</v>
      </c>
      <c r="J9" s="4" t="n">
        <v>2020</v>
      </c>
      <c r="K9" s="4" t="inlineStr">
        <is>
          <t>shp</t>
        </is>
      </c>
      <c r="L9" s="4" t="inlineStr">
        <is>
          <t>CC BY 4.0</t>
        </is>
      </c>
      <c r="M9" s="4" t="inlineStr">
        <is>
          <t>low</t>
        </is>
      </c>
      <c r="N9" s="14" t="inlineStr">
        <is>
          <t>pass</t>
        </is>
      </c>
      <c r="O9" s="14" t="inlineStr">
        <is>
          <t>pass</t>
        </is>
      </c>
      <c r="P9" s="14" t="inlineStr">
        <is>
          <t>pass</t>
        </is>
      </c>
      <c r="Q9" s="14" t="inlineStr">
        <is>
          <t>pass</t>
        </is>
      </c>
      <c r="R9" s="14" t="inlineStr">
        <is>
          <t>pass</t>
        </is>
      </c>
      <c r="S9" s="15" t="inlineStr">
        <is>
          <t>n.a.</t>
        </is>
      </c>
      <c r="T9" s="15" t="inlineStr">
        <is>
          <t>n.a.</t>
        </is>
      </c>
      <c r="U9" s="16" t="inlineStr">
        <is>
          <t>warn</t>
        </is>
      </c>
      <c r="V9" s="14" t="inlineStr">
        <is>
          <t>pass</t>
        </is>
      </c>
      <c r="W9" s="14" t="inlineStr">
        <is>
          <t>pass</t>
        </is>
      </c>
      <c r="X9" s="4" t="inlineStr">
        <is>
          <t>machine_metadata(warn)</t>
        </is>
      </c>
      <c r="Y9" s="17" t="inlineStr">
        <is>
          <t>https://academiccommons.columbia.edu/doi/10.7916/d8-xksb-0t02</t>
        </is>
      </c>
      <c r="Z9" s="17" t="inlineStr">
        <is>
          <t>https://web.archive.org/web/20260521083244/https://academiccommons.columbia.edu/doi/10.7916/d8-xksb-0t02</t>
        </is>
      </c>
      <c r="AA9" s="4" t="inlineStr">
        <is>
          <t>zm_grid3_zambia_operational_health_facility_layer</t>
        </is>
      </c>
      <c r="AB9" s="4" t="inlineStr">
        <is>
          <t>Academic Commons is behind Anubis bot protection (page not readable); all values are from search-result snippets of that record (2,384 MoH points + 416 ZamStats + 302 OSG, merged and de-duplicated). The Zambia MoH live MFL portal (mfl.moh.gov.zm) failed with a certificate mismatch and is listed under blocked_pages. Beta, no newer GRID3 Zambia version found.</t>
        </is>
      </c>
    </row>
    <row r="10">
      <c r="A10" s="4" t="inlineStr">
        <is>
          <t>Healthdirect - NHSD - Services Directory (June 2026 and earlier snapshots)</t>
        </is>
      </c>
      <c r="B10" s="20" t="inlineStr">
        <is>
          <t>Bronze</t>
        </is>
      </c>
      <c r="C10" s="4" t="inlineStr">
        <is>
          <t>healthy</t>
        </is>
      </c>
      <c r="D10" s="4" t="inlineStr">
        <is>
          <t>sdoh</t>
        </is>
      </c>
      <c r="E10" s="4" t="inlineStr">
        <is>
          <t>Healthdirect Australia (distributed via AURIN)</t>
        </is>
      </c>
      <c r="F10" s="4" t="inlineStr">
        <is>
          <t>AU</t>
        </is>
      </c>
      <c r="G10" s="4" t="inlineStr">
        <is>
          <t>point</t>
        </is>
      </c>
      <c r="H10" s="4" t="inlineStr">
        <is>
          <t>Needs a count/distance step</t>
        </is>
      </c>
      <c r="I10" s="4" t="n">
        <v>3</v>
      </c>
      <c r="J10" s="4" t="n">
        <v>2026</v>
      </c>
      <c r="K10" s="4" t="inlineStr"/>
      <c r="L10" s="4" t="inlineStr">
        <is>
          <t>Other: (c) Healthdirect Australia 2026; NHSD terms of use via AURIN</t>
        </is>
      </c>
      <c r="M10" s="4" t="inlineStr">
        <is>
          <t>medium</t>
        </is>
      </c>
      <c r="N10" s="14" t="inlineStr">
        <is>
          <t>pass</t>
        </is>
      </c>
      <c r="O10" s="14" t="inlineStr">
        <is>
          <t>pass</t>
        </is>
      </c>
      <c r="P10" s="14" t="inlineStr">
        <is>
          <t>pass</t>
        </is>
      </c>
      <c r="Q10" s="14" t="inlineStr">
        <is>
          <t>pass</t>
        </is>
      </c>
      <c r="R10" s="14" t="inlineStr">
        <is>
          <t>pass</t>
        </is>
      </c>
      <c r="S10" s="14" t="inlineStr">
        <is>
          <t>pass</t>
        </is>
      </c>
      <c r="T10" s="15" t="inlineStr">
        <is>
          <t>n.a.</t>
        </is>
      </c>
      <c r="U10" s="14" t="inlineStr">
        <is>
          <t>pass</t>
        </is>
      </c>
      <c r="V10" s="16" t="inlineStr">
        <is>
          <t>warn</t>
        </is>
      </c>
      <c r="W10" s="18" t="inlineStr">
        <is>
          <t>fail</t>
        </is>
      </c>
      <c r="X10" s="4" t="inlineStr">
        <is>
          <t>archived;persistent_id(warn)</t>
        </is>
      </c>
      <c r="Y10" s="17" t="inlineStr">
        <is>
          <t>https://researchdata.edu.au/healthdirect-nhsd-services-june-2026/4136231</t>
        </is>
      </c>
      <c r="Z10" s="4" t="inlineStr"/>
      <c r="AA10" s="4" t="inlineStr">
        <is>
          <t>au_healthdirect_nhsd_services_directory</t>
        </is>
      </c>
      <c r="AB10" s="4" t="inlineStr">
        <is>
          <t>Full national directory of public and private health services (all service types, with practitioner attributes), spatialised as points (WGS84). Academic users can download through the AURIN Download Manager after accepting NHSD terms; others must apply. data.gov.au copies not read (robots.txt blocks scripts). Complements the open GA subset above.</t>
        </is>
      </c>
    </row>
    <row r="11">
      <c r="A11" s="4" t="inlineStr">
        <is>
          <t>Home Health Care Agencies</t>
        </is>
      </c>
      <c r="B11" s="20" t="inlineStr">
        <is>
          <t>Bronze</t>
        </is>
      </c>
      <c r="C11" s="4" t="inlineStr">
        <is>
          <t>degraded</t>
        </is>
      </c>
      <c r="D11" s="4" t="inlineStr">
        <is>
          <t>sdoh</t>
        </is>
      </c>
      <c r="E11" s="4" t="inlineStr">
        <is>
          <t>Centers for Medicare &amp; Medicaid Services (CMS), Provider Data Catalog</t>
        </is>
      </c>
      <c r="F11" s="4" t="inlineStr">
        <is>
          <t>US</t>
        </is>
      </c>
      <c r="G11" s="4" t="inlineStr">
        <is>
          <t>address</t>
        </is>
      </c>
      <c r="H11" s="4" t="inlineStr">
        <is>
          <t>Needs a count/distance step</t>
        </is>
      </c>
      <c r="I11" s="4" t="n">
        <v>3</v>
      </c>
      <c r="J11" s="4" t="n">
        <v>2026</v>
      </c>
      <c r="K11" s="4" t="inlineStr">
        <is>
          <t>csv;api</t>
        </is>
      </c>
      <c r="L11" s="4" t="inlineStr"/>
      <c r="M11" s="4" t="inlineStr">
        <is>
          <t>medium</t>
        </is>
      </c>
      <c r="N11" s="14" t="inlineStr">
        <is>
          <t>pass</t>
        </is>
      </c>
      <c r="O11" s="14" t="inlineStr">
        <is>
          <t>pass</t>
        </is>
      </c>
      <c r="P11" s="14" t="inlineStr">
        <is>
          <t>pass</t>
        </is>
      </c>
      <c r="Q11" s="14" t="inlineStr">
        <is>
          <t>pass</t>
        </is>
      </c>
      <c r="R11" s="14" t="inlineStr">
        <is>
          <t>pass</t>
        </is>
      </c>
      <c r="S11" s="18" t="inlineStr">
        <is>
          <t>fail</t>
        </is>
      </c>
      <c r="T11" s="15" t="inlineStr">
        <is>
          <t>n.a.</t>
        </is>
      </c>
      <c r="U11" s="14" t="inlineStr">
        <is>
          <t>pass</t>
        </is>
      </c>
      <c r="V11" s="16" t="inlineStr">
        <is>
          <t>warn</t>
        </is>
      </c>
      <c r="W11" s="18" t="inlineStr">
        <is>
          <t>fail</t>
        </is>
      </c>
      <c r="X11" s="4" t="inlineStr">
        <is>
          <t>access_url;archived;persistent_id(warn)</t>
        </is>
      </c>
      <c r="Y11" s="17" t="inlineStr">
        <is>
          <t>https://healthdata.gov/d/h8ke-ii5g</t>
        </is>
      </c>
      <c r="Z11" s="4" t="inlineStr"/>
      <c r="AA11" s="4" t="inlineStr">
        <is>
          <t>us_cms_home_health_care_agencies</t>
        </is>
      </c>
      <c r="AB11" s="4" t="inlineStr">
        <is>
          <t>'A list of all Home Health Agencies that have been registered with Medicare' with addresses and quality ratings. Read from the data.gov catalog record; update frequency and licence not stated. Address-only: needs geocoding.</t>
        </is>
      </c>
    </row>
    <row r="12">
      <c r="A12" s="4" t="inlineStr">
        <is>
          <t>Hospice - General Information</t>
        </is>
      </c>
      <c r="B12" s="20" t="inlineStr">
        <is>
          <t>Bronze</t>
        </is>
      </c>
      <c r="C12" s="4" t="inlineStr">
        <is>
          <t>degraded</t>
        </is>
      </c>
      <c r="D12" s="4" t="inlineStr">
        <is>
          <t>sdoh</t>
        </is>
      </c>
      <c r="E12" s="4" t="inlineStr">
        <is>
          <t>Centers for Medicare &amp; Medicaid Services (CMS), Provider Data Catalog</t>
        </is>
      </c>
      <c r="F12" s="4" t="inlineStr">
        <is>
          <t>US</t>
        </is>
      </c>
      <c r="G12" s="4" t="inlineStr">
        <is>
          <t>address</t>
        </is>
      </c>
      <c r="H12" s="4" t="inlineStr">
        <is>
          <t>Needs a count/distance step</t>
        </is>
      </c>
      <c r="I12" s="4" t="n">
        <v>3</v>
      </c>
      <c r="J12" s="4" t="n">
        <v>2026</v>
      </c>
      <c r="K12" s="4" t="inlineStr">
        <is>
          <t>csv;api</t>
        </is>
      </c>
      <c r="L12" s="4" t="inlineStr"/>
      <c r="M12" s="4" t="inlineStr">
        <is>
          <t>medium</t>
        </is>
      </c>
      <c r="N12" s="14" t="inlineStr">
        <is>
          <t>pass</t>
        </is>
      </c>
      <c r="O12" s="14" t="inlineStr">
        <is>
          <t>pass</t>
        </is>
      </c>
      <c r="P12" s="14" t="inlineStr">
        <is>
          <t>pass</t>
        </is>
      </c>
      <c r="Q12" s="14" t="inlineStr">
        <is>
          <t>pass</t>
        </is>
      </c>
      <c r="R12" s="14" t="inlineStr">
        <is>
          <t>pass</t>
        </is>
      </c>
      <c r="S12" s="18" t="inlineStr">
        <is>
          <t>fail</t>
        </is>
      </c>
      <c r="T12" s="15" t="inlineStr">
        <is>
          <t>n.a.</t>
        </is>
      </c>
      <c r="U12" s="14" t="inlineStr">
        <is>
          <t>pass</t>
        </is>
      </c>
      <c r="V12" s="16" t="inlineStr">
        <is>
          <t>warn</t>
        </is>
      </c>
      <c r="W12" s="18" t="inlineStr">
        <is>
          <t>fail</t>
        </is>
      </c>
      <c r="X12" s="4" t="inlineStr">
        <is>
          <t>access_url;archived;persistent_id(warn)</t>
        </is>
      </c>
      <c r="Y12" s="17" t="inlineStr">
        <is>
          <t>https://healthdata.gov/d/b66f-nrt5</t>
        </is>
      </c>
      <c r="Z12" s="4" t="inlineStr"/>
      <c r="AA12" s="4" t="inlineStr">
        <is>
          <t>us_cms_hospice_general_information</t>
        </is>
      </c>
      <c r="AB12" s="4" t="inlineStr">
        <is>
          <t>Characteristics of Medicare hospice providers 'such as address, phone number, ownership data'. Read from the data.gov catalog record; update frequency and licence not stated. Address-only: needs geocoding.</t>
        </is>
      </c>
    </row>
    <row r="13">
      <c r="A13" s="4" t="inlineStr">
        <is>
          <t>Hospital Codes - Current NHS Hospitals in Scotland</t>
        </is>
      </c>
      <c r="B13" s="20" t="inlineStr">
        <is>
          <t>Bronze</t>
        </is>
      </c>
      <c r="C13" s="4" t="inlineStr">
        <is>
          <t>healthy</t>
        </is>
      </c>
      <c r="D13" s="4" t="inlineStr">
        <is>
          <t>sdoh</t>
        </is>
      </c>
      <c r="E13" s="4" t="inlineStr">
        <is>
          <t>Public Health Scotland (Scottish Health and Social Care Open Data)</t>
        </is>
      </c>
      <c r="F13" s="4" t="inlineStr">
        <is>
          <t>Scotland</t>
        </is>
      </c>
      <c r="G13" s="4" t="inlineStr">
        <is>
          <t>address</t>
        </is>
      </c>
      <c r="H13" s="4" t="inlineStr">
        <is>
          <t>Needs a count/distance step</t>
        </is>
      </c>
      <c r="I13" s="4" t="n">
        <v>3</v>
      </c>
      <c r="J13" s="4" t="n">
        <v>2026</v>
      </c>
      <c r="K13" s="4" t="inlineStr">
        <is>
          <t>csv;api</t>
        </is>
      </c>
      <c r="L13" s="4" t="inlineStr">
        <is>
          <t>OGL</t>
        </is>
      </c>
      <c r="M13" s="4" t="inlineStr">
        <is>
          <t>high</t>
        </is>
      </c>
      <c r="N13" s="14" t="inlineStr">
        <is>
          <t>pass</t>
        </is>
      </c>
      <c r="O13" s="14" t="inlineStr">
        <is>
          <t>pass</t>
        </is>
      </c>
      <c r="P13" s="14" t="inlineStr">
        <is>
          <t>pass</t>
        </is>
      </c>
      <c r="Q13" s="14" t="inlineStr">
        <is>
          <t>pass</t>
        </is>
      </c>
      <c r="R13" s="14" t="inlineStr">
        <is>
          <t>pass</t>
        </is>
      </c>
      <c r="S13" s="14" t="inlineStr">
        <is>
          <t>pass</t>
        </is>
      </c>
      <c r="T13" s="14" t="inlineStr">
        <is>
          <t>pass</t>
        </is>
      </c>
      <c r="U13" s="14" t="inlineStr">
        <is>
          <t>pass</t>
        </is>
      </c>
      <c r="V13" s="16" t="inlineStr">
        <is>
          <t>warn</t>
        </is>
      </c>
      <c r="W13" s="14" t="inlineStr">
        <is>
          <t>pass</t>
        </is>
      </c>
      <c r="X13" s="4" t="inlineStr">
        <is>
          <t>persistent_id(warn)</t>
        </is>
      </c>
      <c r="Y13" s="17" t="inlineStr">
        <is>
          <t>https://www.opendata.nhs.scot/dataset/hospital-codes</t>
        </is>
      </c>
      <c r="Z13" s="17" t="inlineStr">
        <is>
          <t>https://web.archive.org/web/20260305112905/https://www.opendata.nhs.scot/dataset/hospital-codes</t>
        </is>
      </c>
      <c r="AA13" s="4" t="inlineStr">
        <is>
          <t>gb_phs_hospital_codes</t>
        </is>
      </c>
      <c r="AB13" s="4" t="inlineStr">
        <is>
          <t>Lookup of all NHS hospitals in Scotland (not only acute) with geographic details; tags list address, council area, data zone, HSCP, health board. A companion 'Hospital Locations Lookup File' adds hospitals closed in the last ten financial years. Column list not shown on the page; grid coordinates not confirmed, so treated as address/postcode (needs geocoding; the data-zone key allows a direct area join).</t>
        </is>
      </c>
    </row>
    <row r="14">
      <c r="A14" s="4" t="inlineStr">
        <is>
          <t>National HealthDirect Health Facilities</t>
        </is>
      </c>
      <c r="B14" s="20" t="inlineStr">
        <is>
          <t>Bronze</t>
        </is>
      </c>
      <c r="C14" s="4" t="inlineStr">
        <is>
          <t>healthy</t>
        </is>
      </c>
      <c r="D14" s="4" t="inlineStr">
        <is>
          <t>sdoh</t>
        </is>
      </c>
      <c r="E14" s="4" t="inlineStr">
        <is>
          <t>Geoscience Australia (data from Healthdirect Australia NHSD)</t>
        </is>
      </c>
      <c r="F14" s="4" t="inlineStr">
        <is>
          <t>AU</t>
        </is>
      </c>
      <c r="G14" s="4" t="inlineStr">
        <is>
          <t>point</t>
        </is>
      </c>
      <c r="H14" s="4" t="inlineStr">
        <is>
          <t>Needs a count/distance step</t>
        </is>
      </c>
      <c r="I14" s="4" t="n">
        <v>3</v>
      </c>
      <c r="J14" s="4" t="n">
        <v>2025</v>
      </c>
      <c r="K14" s="4" t="inlineStr">
        <is>
          <t>geojson;csv;kml;xlsx;gdb;api</t>
        </is>
      </c>
      <c r="L14" s="4" t="inlineStr">
        <is>
          <t>CC BY 4.0 (incorporates G-NAF under the G-NAF EULA)</t>
        </is>
      </c>
      <c r="M14" s="4" t="inlineStr">
        <is>
          <t>high</t>
        </is>
      </c>
      <c r="N14" s="14" t="inlineStr">
        <is>
          <t>pass</t>
        </is>
      </c>
      <c r="O14" s="14" t="inlineStr">
        <is>
          <t>pass</t>
        </is>
      </c>
      <c r="P14" s="14" t="inlineStr">
        <is>
          <t>pass</t>
        </is>
      </c>
      <c r="Q14" s="14" t="inlineStr">
        <is>
          <t>pass</t>
        </is>
      </c>
      <c r="R14" s="14" t="inlineStr">
        <is>
          <t>pass</t>
        </is>
      </c>
      <c r="S14" s="14" t="inlineStr">
        <is>
          <t>pass</t>
        </is>
      </c>
      <c r="T14" s="14" t="inlineStr">
        <is>
          <t>pass</t>
        </is>
      </c>
      <c r="U14" s="14" t="inlineStr">
        <is>
          <t>pass</t>
        </is>
      </c>
      <c r="V14" s="14" t="inlineStr">
        <is>
          <t>pass</t>
        </is>
      </c>
      <c r="W14" s="18" t="inlineStr">
        <is>
          <t>fail</t>
        </is>
      </c>
      <c r="X14" s="4" t="inlineStr">
        <is>
          <t>archived</t>
        </is>
      </c>
      <c r="Y14" s="17" t="inlineStr">
        <is>
          <t>https://ecat.ga.gov.au/geonetwork/srv/api/records/696d12c2-38c6-4afa-96b6-309a1ac9a50b</t>
        </is>
      </c>
      <c r="Z14" s="4" t="inlineStr"/>
      <c r="AA14" s="4" t="inlineStr">
        <is>
          <t>au_ga_national_healthdirect_health_facilities</t>
        </is>
      </c>
      <c r="AB14" s="4" t="inlineStr">
        <is>
          <t>Open subset of the NHSD: three point layers (hospitals, GPs, pharmacies; aged care dropped after NHSD removed it). GDA2020 (EPSG:7844). WFS/WMS/MapServer services. data.gov.au mirrors exist but data.gov.au blocks scripts (robots.txt), so the GA eCat record was read instead.</t>
        </is>
      </c>
    </row>
    <row r="15">
      <c r="A15" s="4" t="inlineStr">
        <is>
          <t>National Hospital Directory with Geo Code and additional parameters (updated till last month)</t>
        </is>
      </c>
      <c r="B15" s="20" t="inlineStr">
        <is>
          <t>Bronze</t>
        </is>
      </c>
      <c r="C15" s="4" t="inlineStr">
        <is>
          <t>healthy</t>
        </is>
      </c>
      <c r="D15" s="4" t="inlineStr">
        <is>
          <t>sdoh</t>
        </is>
      </c>
      <c r="E15" s="4" t="inlineStr">
        <is>
          <t>National Institute of Health and Family Welfare (NIHFW), via AIKosh / data.gov.in</t>
        </is>
      </c>
      <c r="F15" s="4" t="inlineStr">
        <is>
          <t>IN</t>
        </is>
      </c>
      <c r="G15" s="4" t="inlineStr">
        <is>
          <t>point</t>
        </is>
      </c>
      <c r="H15" s="4" t="inlineStr">
        <is>
          <t>Needs a count/distance step</t>
        </is>
      </c>
      <c r="I15" s="4" t="n">
        <v>3</v>
      </c>
      <c r="J15" s="4" t="n">
        <v>2017</v>
      </c>
      <c r="K15" s="4" t="inlineStr">
        <is>
          <t>csv</t>
        </is>
      </c>
      <c r="L15" s="4" t="inlineStr">
        <is>
          <t>GODL (Government Open Data License - India)</t>
        </is>
      </c>
      <c r="M15" s="4" t="inlineStr">
        <is>
          <t>medium</t>
        </is>
      </c>
      <c r="N15" s="14" t="inlineStr">
        <is>
          <t>pass</t>
        </is>
      </c>
      <c r="O15" s="14" t="inlineStr">
        <is>
          <t>pass</t>
        </is>
      </c>
      <c r="P15" s="14" t="inlineStr">
        <is>
          <t>pass</t>
        </is>
      </c>
      <c r="Q15" s="14" t="inlineStr">
        <is>
          <t>pass</t>
        </is>
      </c>
      <c r="R15" s="14" t="inlineStr">
        <is>
          <t>pass</t>
        </is>
      </c>
      <c r="S15" s="16" t="inlineStr">
        <is>
          <t>warn</t>
        </is>
      </c>
      <c r="T15" s="15" t="inlineStr">
        <is>
          <t>n.a.</t>
        </is>
      </c>
      <c r="U15" s="16" t="inlineStr">
        <is>
          <t>warn</t>
        </is>
      </c>
      <c r="V15" s="16" t="inlineStr">
        <is>
          <t>warn</t>
        </is>
      </c>
      <c r="W15" s="18" t="inlineStr">
        <is>
          <t>fail</t>
        </is>
      </c>
      <c r="X15" s="4" t="inlineStr">
        <is>
          <t>archived;access_url(warn);machine_metadata(warn);persistent_id(warn)</t>
        </is>
      </c>
      <c r="Y15" s="17" t="inlineStr">
        <is>
          <t>https://aikosh.indiaai.gov.in/home/datasets/details/national_hospital_directory_with_geo_code_and_additional_parameters_updated_till_last_month.html</t>
        </is>
      </c>
      <c r="Z15" s="4" t="inlineStr"/>
      <c r="AA15" s="4" t="inlineStr">
        <is>
          <t>in_nihfw_national_hospital_directory_geocode</t>
        </is>
      </c>
      <c r="AB15" s="4" t="inlineStr">
        <is>
          <t>NIN (National Identification Number) health facility directory with coordinates. The data.gov.in resource page could not be fetched (connection reset twice), so currency of the official copy is unconfirmed; the AIKosh copy is dated 2017 with 'updated till last month' in the title. Pin code and state come from the data.gov.in snippet, not the AIKosh page. The newer ABDM Health Facility Registry (facility.abdm.gov.in) was not found to offer a bulk download.</t>
        </is>
      </c>
    </row>
    <row r="16">
      <c r="A16" s="4" t="inlineStr">
        <is>
          <t>Nigeria Health Facility Registry (HFR)</t>
        </is>
      </c>
      <c r="B16" s="20" t="inlineStr">
        <is>
          <t>Bronze</t>
        </is>
      </c>
      <c r="C16" s="4" t="inlineStr">
        <is>
          <t>healthy</t>
        </is>
      </c>
      <c r="D16" s="4" t="inlineStr">
        <is>
          <t>sdoh</t>
        </is>
      </c>
      <c r="E16" s="4" t="inlineStr">
        <is>
          <t>Federal Ministry of Health, Nigeria</t>
        </is>
      </c>
      <c r="F16" s="4" t="inlineStr">
        <is>
          <t>NG</t>
        </is>
      </c>
      <c r="G16" s="4" t="inlineStr">
        <is>
          <t>point</t>
        </is>
      </c>
      <c r="H16" s="4" t="inlineStr">
        <is>
          <t>Needs a count/distance step</t>
        </is>
      </c>
      <c r="I16" s="4" t="n">
        <v>3</v>
      </c>
      <c r="J16" s="4" t="n">
        <v>2026</v>
      </c>
      <c r="K16" s="4" t="inlineStr">
        <is>
          <t>api;html</t>
        </is>
      </c>
      <c r="L16" s="4" t="inlineStr"/>
      <c r="M16" s="4" t="inlineStr">
        <is>
          <t>low</t>
        </is>
      </c>
      <c r="N16" s="14" t="inlineStr">
        <is>
          <t>pass</t>
        </is>
      </c>
      <c r="O16" s="14" t="inlineStr">
        <is>
          <t>pass</t>
        </is>
      </c>
      <c r="P16" s="14" t="inlineStr">
        <is>
          <t>pass</t>
        </is>
      </c>
      <c r="Q16" s="14" t="inlineStr">
        <is>
          <t>pass</t>
        </is>
      </c>
      <c r="R16" s="14" t="inlineStr">
        <is>
          <t>pass</t>
        </is>
      </c>
      <c r="S16" s="15" t="inlineStr">
        <is>
          <t>n.a.</t>
        </is>
      </c>
      <c r="T16" s="15" t="inlineStr">
        <is>
          <t>n.a.</t>
        </is>
      </c>
      <c r="U16" s="16" t="inlineStr">
        <is>
          <t>warn</t>
        </is>
      </c>
      <c r="V16" s="16" t="inlineStr">
        <is>
          <t>warn</t>
        </is>
      </c>
      <c r="W16" s="14" t="inlineStr">
        <is>
          <t>pass</t>
        </is>
      </c>
      <c r="X16" s="4" t="inlineStr">
        <is>
          <t>machine_metadata(warn);persistent_id(warn)</t>
        </is>
      </c>
      <c r="Y16" s="17" t="inlineStr">
        <is>
          <t>https://hfr.fmohconnect.gov.ng/</t>
        </is>
      </c>
      <c r="Z16" s="17" t="inlineStr">
        <is>
          <t>https://web.archive.org/web/20260710222531/https://hfr.fmohconnect.gov.ng/</t>
        </is>
      </c>
      <c r="AA16" s="4" t="inlineStr">
        <is>
          <t>ng_fmoh_health_facility_registry</t>
        </is>
      </c>
      <c r="AB16" s="4" t="inlineStr">
        <is>
          <t>Official master facility list application (facility finder, facility list, overview by state/ownership, API section). The landing page gives no counts, field list, download format or licence; the MEASURE Evaluation public-access manual (2019, search snippet) describes guest download of facility lists. Coordinates not confirmed on the page; GRID3 NGA Health Facilities (round-1 ng_grid3_nigeria; v3.0 Aug 2026) is derived from this registry plus GRID3 updates.</t>
        </is>
      </c>
    </row>
    <row r="17">
      <c r="A17" s="4" t="inlineStr">
        <is>
          <t>NPPES Data Dissemination (NPI Downloadable File)</t>
        </is>
      </c>
      <c r="B17" s="20" t="inlineStr">
        <is>
          <t>Bronze</t>
        </is>
      </c>
      <c r="C17" s="4" t="inlineStr">
        <is>
          <t>degraded</t>
        </is>
      </c>
      <c r="D17" s="4" t="inlineStr">
        <is>
          <t>sdoh</t>
        </is>
      </c>
      <c r="E17" s="4" t="inlineStr">
        <is>
          <t>Centers for Medicare &amp; Medicaid Services (CMS)</t>
        </is>
      </c>
      <c r="F17" s="4" t="inlineStr">
        <is>
          <t>US</t>
        </is>
      </c>
      <c r="G17" s="4" t="inlineStr">
        <is>
          <t>address</t>
        </is>
      </c>
      <c r="H17" s="4" t="inlineStr">
        <is>
          <t>Needs a count/distance step</t>
        </is>
      </c>
      <c r="I17" s="4" t="n">
        <v>3</v>
      </c>
      <c r="J17" s="4" t="n">
        <v>2026</v>
      </c>
      <c r="K17" s="4" t="inlineStr">
        <is>
          <t>csv</t>
        </is>
      </c>
      <c r="L17" s="4" t="inlineStr"/>
      <c r="M17" s="4" t="inlineStr">
        <is>
          <t>medium</t>
        </is>
      </c>
      <c r="N17" s="14" t="inlineStr">
        <is>
          <t>pass</t>
        </is>
      </c>
      <c r="O17" s="14" t="inlineStr">
        <is>
          <t>pass</t>
        </is>
      </c>
      <c r="P17" s="14" t="inlineStr">
        <is>
          <t>pass</t>
        </is>
      </c>
      <c r="Q17" s="14" t="inlineStr">
        <is>
          <t>pass</t>
        </is>
      </c>
      <c r="R17" s="14" t="inlineStr">
        <is>
          <t>pass</t>
        </is>
      </c>
      <c r="S17" s="14" t="inlineStr">
        <is>
          <t>pass</t>
        </is>
      </c>
      <c r="T17" s="16" t="inlineStr">
        <is>
          <t>warn</t>
        </is>
      </c>
      <c r="U17" s="18" t="inlineStr">
        <is>
          <t>fail</t>
        </is>
      </c>
      <c r="V17" s="16" t="inlineStr">
        <is>
          <t>warn</t>
        </is>
      </c>
      <c r="W17" s="14" t="inlineStr">
        <is>
          <t>pass</t>
        </is>
      </c>
      <c r="X17" s="4" t="inlineStr">
        <is>
          <t>machine_metadata;format_match(warn);persistent_id(warn)</t>
        </is>
      </c>
      <c r="Y17" s="17" t="inlineStr">
        <is>
          <t>https://www.cms.gov/medicare/regulations-guidance/administrative-simplification/data-dissemination</t>
        </is>
      </c>
      <c r="Z17" s="17" t="inlineStr">
        <is>
          <t>https://web.archive.org/web/20261009163703/https://www.cms.gov/medicare/regulations-guidance/administrative-simplification/data-dissemination</t>
        </is>
      </c>
      <c r="AA17" s="4" t="inlineStr">
        <is>
          <t>us_cms_nppes_npi_file</t>
        </is>
      </c>
      <c r="AB17" s="4" t="inlineStr">
        <is>
          <t>All US providers and organisations with an NPI (not only facilities). Zip of CSV data file &gt;4 GB plus Read Me, Code Values, Header file; since 2018 includes Other Name, Practice Location and Endpoint reference files. No charge, no support. The download page itself showed only 'This site will be down for maintenance until further notice' when read on 2026-10-28, so file list/dates were not read. Address-only: needs geocoding.</t>
        </is>
      </c>
    </row>
    <row r="18">
      <c r="A18" s="4" t="inlineStr">
        <is>
          <t>Référentiel Finess (t_finess) DataSanté</t>
        </is>
      </c>
      <c r="B18" s="20" t="inlineStr">
        <is>
          <t>Bronze</t>
        </is>
      </c>
      <c r="C18" s="4" t="inlineStr">
        <is>
          <t>healthy</t>
        </is>
      </c>
      <c r="D18" s="4" t="inlineStr">
        <is>
          <t>sdoh</t>
        </is>
      </c>
      <c r="E18" s="4" t="inlineStr">
        <is>
          <t>Atlasanté (ARS shared GIS project)</t>
        </is>
      </c>
      <c r="F18" s="4" t="inlineStr">
        <is>
          <t>FR</t>
        </is>
      </c>
      <c r="G18" s="4" t="inlineStr">
        <is>
          <t>point</t>
        </is>
      </c>
      <c r="H18" s="4" t="inlineStr">
        <is>
          <t>Needs a count/distance step</t>
        </is>
      </c>
      <c r="I18" s="4" t="n">
        <v>3</v>
      </c>
      <c r="J18" s="4" t="n">
        <v>2026</v>
      </c>
      <c r="K18" s="4" t="inlineStr">
        <is>
          <t>csv;xlsx;pdf</t>
        </is>
      </c>
      <c r="L18" s="4" t="inlineStr">
        <is>
          <t>Licence Ouverte / Open Licence</t>
        </is>
      </c>
      <c r="M18" s="4" t="inlineStr">
        <is>
          <t>medium</t>
        </is>
      </c>
      <c r="N18" s="14" t="inlineStr">
        <is>
          <t>pass</t>
        </is>
      </c>
      <c r="O18" s="14" t="inlineStr">
        <is>
          <t>pass</t>
        </is>
      </c>
      <c r="P18" s="14" t="inlineStr">
        <is>
          <t>pass</t>
        </is>
      </c>
      <c r="Q18" s="14" t="inlineStr">
        <is>
          <t>pass</t>
        </is>
      </c>
      <c r="R18" s="14" t="inlineStr">
        <is>
          <t>pass</t>
        </is>
      </c>
      <c r="S18" s="14" t="inlineStr">
        <is>
          <t>pass</t>
        </is>
      </c>
      <c r="T18" s="14" t="inlineStr">
        <is>
          <t>pass</t>
        </is>
      </c>
      <c r="U18" s="14" t="inlineStr">
        <is>
          <t>pass</t>
        </is>
      </c>
      <c r="V18" s="16" t="inlineStr">
        <is>
          <t>warn</t>
        </is>
      </c>
      <c r="W18" s="14" t="inlineStr">
        <is>
          <t>pass</t>
        </is>
      </c>
      <c r="X18" s="4" t="inlineStr">
        <is>
          <t>persistent_id(warn)</t>
        </is>
      </c>
      <c r="Y18" s="17" t="inlineStr">
        <is>
          <t>https://www.data.gouv.fr/datasets/referentiel-finess-t-finess</t>
        </is>
      </c>
      <c r="Z18" s="17" t="inlineStr">
        <is>
          <t>https://web.archive.org/web/20260526074348/https://www.data.gouv.fr/datasets/referentiel-finess-t-finess</t>
        </is>
      </c>
      <c r="AA18" s="4" t="inlineStr">
        <is>
          <t>fr_atlasante_t_finess</t>
        </is>
      </c>
      <c r="AB18" s="4" t="inlineStr">
        <is>
          <t>Geocoded FINESS reference table (active and inactive sites and legal entities) from the ARS Atlasanté project; geocoding via BAN since Sept 2024 with BD-ADRESSE fallback. Lat/long columns are stated in search snippets of the dataset's own description but were not visible in the fetched page text, hence medium. Page warns the FINESS+ changes may disrupt publication in late 2026.</t>
        </is>
      </c>
    </row>
    <row r="19">
      <c r="A19" s="4" t="inlineStr">
        <is>
          <t>The Open Database of Healthcare Facilities (ODHF)</t>
        </is>
      </c>
      <c r="B19" s="20" t="inlineStr">
        <is>
          <t>Bronze</t>
        </is>
      </c>
      <c r="C19" s="4" t="inlineStr">
        <is>
          <t>healthy</t>
        </is>
      </c>
      <c r="D19" s="4" t="inlineStr">
        <is>
          <t>sdoh</t>
        </is>
      </c>
      <c r="E19" s="4" t="inlineStr">
        <is>
          <t>Statistics Canada (Linkable Open Data Environment)</t>
        </is>
      </c>
      <c r="F19" s="4" t="inlineStr">
        <is>
          <t>CA</t>
        </is>
      </c>
      <c r="G19" s="4" t="inlineStr">
        <is>
          <t>point</t>
        </is>
      </c>
      <c r="H19" s="4" t="inlineStr">
        <is>
          <t>Needs a count/distance step</t>
        </is>
      </c>
      <c r="I19" s="4" t="n">
        <v>3</v>
      </c>
      <c r="J19" s="4" t="n">
        <v>2025</v>
      </c>
      <c r="K19" s="4" t="inlineStr">
        <is>
          <t>csv</t>
        </is>
      </c>
      <c r="L19" s="4" t="inlineStr">
        <is>
          <t>Open Government Licence - Canada</t>
        </is>
      </c>
      <c r="M19" s="4" t="inlineStr">
        <is>
          <t>high</t>
        </is>
      </c>
      <c r="N19" s="14" t="inlineStr">
        <is>
          <t>pass</t>
        </is>
      </c>
      <c r="O19" s="14" t="inlineStr">
        <is>
          <t>pass</t>
        </is>
      </c>
      <c r="P19" s="14" t="inlineStr">
        <is>
          <t>pass</t>
        </is>
      </c>
      <c r="Q19" s="14" t="inlineStr">
        <is>
          <t>pass</t>
        </is>
      </c>
      <c r="R19" s="14" t="inlineStr">
        <is>
          <t>pass</t>
        </is>
      </c>
      <c r="S19" s="14" t="inlineStr">
        <is>
          <t>pass</t>
        </is>
      </c>
      <c r="T19" s="16" t="inlineStr">
        <is>
          <t>warn</t>
        </is>
      </c>
      <c r="U19" s="16" t="inlineStr">
        <is>
          <t>warn</t>
        </is>
      </c>
      <c r="V19" s="16" t="inlineStr">
        <is>
          <t>warn</t>
        </is>
      </c>
      <c r="W19" s="14" t="inlineStr">
        <is>
          <t>pass</t>
        </is>
      </c>
      <c r="X19" s="4" t="inlineStr">
        <is>
          <t>format_match(warn);machine_metadata(warn);persistent_id(warn)</t>
        </is>
      </c>
      <c r="Y19" s="17" t="inlineStr">
        <is>
          <t>https://www.statcan.gc.ca/en/lode/databases/odhf</t>
        </is>
      </c>
      <c r="Z19" s="17" t="inlineStr">
        <is>
          <t>https://web.archive.org/web/20261017220645/https://www.statcan.gc.ca/en/lode/databases/odhf</t>
        </is>
      </c>
      <c r="AA19" s="4" t="inlineStr">
        <is>
          <t>ca_statcan_odhf</t>
        </is>
      </c>
      <c r="AB19" s="4" t="inlineStr">
        <is>
          <t>About 7,000 facilities compiled from provincial/municipal open data; StatCan states it is not exhaustive. Point coordinates and postal code supplied, plus CSD identifiers for a direct area join. No CIHI open facility-location file was found (CIHI 'Your Health System' is under a CIHI licence).</t>
        </is>
      </c>
    </row>
    <row r="20">
      <c r="A20" s="4" t="inlineStr">
        <is>
          <t>Verzeichnis der Krankenhäuser und Vorsorge- oder Rehabilitationseinrichtungen in Deutschland (Krankenhausverzeichnis)</t>
        </is>
      </c>
      <c r="B20" s="20" t="inlineStr">
        <is>
          <t>Bronze</t>
        </is>
      </c>
      <c r="C20" s="4" t="inlineStr">
        <is>
          <t>healthy</t>
        </is>
      </c>
      <c r="D20" s="4" t="inlineStr">
        <is>
          <t>sdoh</t>
        </is>
      </c>
      <c r="E20" s="4" t="inlineStr">
        <is>
          <t>Statistische Ämter des Bundes und der Länder (Destatis / Statistikportal)</t>
        </is>
      </c>
      <c r="F20" s="4" t="inlineStr">
        <is>
          <t>DE</t>
        </is>
      </c>
      <c r="G20" s="4" t="inlineStr">
        <is>
          <t>address</t>
        </is>
      </c>
      <c r="H20" s="4" t="inlineStr">
        <is>
          <t>Needs a count/distance step</t>
        </is>
      </c>
      <c r="I20" s="4" t="n">
        <v>3</v>
      </c>
      <c r="J20" s="4" t="n">
        <v>2024</v>
      </c>
      <c r="K20" s="4" t="inlineStr">
        <is>
          <t>xlsx</t>
        </is>
      </c>
      <c r="L20" s="4" t="inlineStr">
        <is>
          <t>free of charge; reproduction and distribution permitted with source credit</t>
        </is>
      </c>
      <c r="M20" s="4" t="inlineStr">
        <is>
          <t>high</t>
        </is>
      </c>
      <c r="N20" s="14" t="inlineStr">
        <is>
          <t>pass</t>
        </is>
      </c>
      <c r="O20" s="14" t="inlineStr">
        <is>
          <t>pass</t>
        </is>
      </c>
      <c r="P20" s="14" t="inlineStr">
        <is>
          <t>pass</t>
        </is>
      </c>
      <c r="Q20" s="14" t="inlineStr">
        <is>
          <t>pass</t>
        </is>
      </c>
      <c r="R20" s="14" t="inlineStr">
        <is>
          <t>pass</t>
        </is>
      </c>
      <c r="S20" s="14" t="inlineStr">
        <is>
          <t>pass</t>
        </is>
      </c>
      <c r="T20" s="14" t="inlineStr">
        <is>
          <t>pass</t>
        </is>
      </c>
      <c r="U20" s="16" t="inlineStr">
        <is>
          <t>warn</t>
        </is>
      </c>
      <c r="V20" s="16" t="inlineStr">
        <is>
          <t>warn</t>
        </is>
      </c>
      <c r="W20" s="14" t="inlineStr">
        <is>
          <t>pass</t>
        </is>
      </c>
      <c r="X20" s="4" t="inlineStr">
        <is>
          <t>machine_metadata(warn);persistent_id(warn)</t>
        </is>
      </c>
      <c r="Y20" s="17" t="inlineStr">
        <is>
          <t>https://www.statistikportal.de/de/veroeffentlichungen/krankenhausverzeichnis</t>
        </is>
      </c>
      <c r="Z20" s="17" t="inlineStr">
        <is>
          <t>https://web.archive.org/web/20260309211010/https://www.statistikportal.de/de/veroeffentlichungen/krankenhausverzeichnis</t>
        </is>
      </c>
      <c r="AA20" s="4" t="inlineStr">
        <is>
          <t>de_destatis_krankenhausverzeichnis</t>
        </is>
      </c>
      <c r="AB20" s="4" t="inlineStr">
        <is>
          <t>Official directory from the hospital statistics (all hospitals and prevention/rehabilitation facilities) with address and bed structure. No coordinates: needs geocoding. Update cadence not stated on the page but editions are annual.</t>
        </is>
      </c>
    </row>
    <row r="21">
      <c r="A21" s="4" t="inlineStr">
        <is>
          <t>Healthsites.io (Global Healthsites Mapping Project)</t>
        </is>
      </c>
      <c r="B21" s="20" t="inlineStr">
        <is>
          <t>Bronze</t>
        </is>
      </c>
      <c r="C21" s="4" t="inlineStr">
        <is>
          <t>healthy</t>
        </is>
      </c>
      <c r="D21" s="4" t="inlineStr">
        <is>
          <t>sdoh</t>
        </is>
      </c>
      <c r="E21" s="4" t="inlineStr">
        <is>
          <t>Healthsites.io / Global Healthsites Mapping Project</t>
        </is>
      </c>
      <c r="F21" s="4" t="inlineStr">
        <is>
          <t>global</t>
        </is>
      </c>
      <c r="G21" s="4" t="inlineStr">
        <is>
          <t>point</t>
        </is>
      </c>
      <c r="H21" s="4" t="inlineStr">
        <is>
          <t>Needs a count/distance step</t>
        </is>
      </c>
      <c r="I21" s="4" t="n">
        <v>2</v>
      </c>
      <c r="J21" s="4" t="inlineStr"/>
      <c r="K21" s="4" t="inlineStr">
        <is>
          <t>geojson;shp;kml;csv;api</t>
        </is>
      </c>
      <c r="L21" s="4" t="inlineStr">
        <is>
          <t>ODbL</t>
        </is>
      </c>
      <c r="M21" s="4" t="inlineStr">
        <is>
          <t>medium</t>
        </is>
      </c>
      <c r="N21" s="14" t="inlineStr">
        <is>
          <t>pass</t>
        </is>
      </c>
      <c r="O21" s="14" t="inlineStr">
        <is>
          <t>pass</t>
        </is>
      </c>
      <c r="P21" s="14" t="inlineStr">
        <is>
          <t>pass</t>
        </is>
      </c>
      <c r="Q21" s="14" t="inlineStr">
        <is>
          <t>pass</t>
        </is>
      </c>
      <c r="R21" s="14" t="inlineStr">
        <is>
          <t>pass</t>
        </is>
      </c>
      <c r="S21" s="15" t="inlineStr">
        <is>
          <t>n.a.</t>
        </is>
      </c>
      <c r="T21" s="15" t="inlineStr">
        <is>
          <t>n.a.</t>
        </is>
      </c>
      <c r="U21" s="16" t="inlineStr">
        <is>
          <t>warn</t>
        </is>
      </c>
      <c r="V21" s="16" t="inlineStr">
        <is>
          <t>warn</t>
        </is>
      </c>
      <c r="W21" s="14" t="inlineStr">
        <is>
          <t>pass</t>
        </is>
      </c>
      <c r="X21" s="4" t="inlineStr">
        <is>
          <t>machine_metadata(warn);persistent_id(warn)</t>
        </is>
      </c>
      <c r="Y21" s="17" t="inlineStr">
        <is>
          <t>https://healthsites.io/</t>
        </is>
      </c>
      <c r="Z21" s="17" t="inlineStr">
        <is>
          <t>https://web.archive.org/web/20261012063008/https://healthsites.io/</t>
        </is>
      </c>
      <c r="AA21" s="4" t="inlineStr">
        <is>
          <t>global_healthsites_io</t>
        </is>
      </c>
      <c r="AB21" s="4" t="inlineStr">
        <is>
          <t>Curated, OpenStreetMap-based global facility layer with per-country downloads and an API; facility counts and update cadence were not readable from the landing page. Listed as a named target in the brief, but it is OSM-derived, so coverage is uneven and not an official registry. Health relevance scored 2 for that reason. WHO GHFD (round 1) is the official counterpart.</t>
        </is>
      </c>
    </row>
    <row r="22">
      <c r="A22" s="4" t="inlineStr">
        <is>
          <t>Regulated services (HIW register of regulated services in Wales)</t>
        </is>
      </c>
      <c r="B22" s="20" t="inlineStr">
        <is>
          <t>Bronze</t>
        </is>
      </c>
      <c r="C22" s="4" t="inlineStr">
        <is>
          <t>healthy</t>
        </is>
      </c>
      <c r="D22" s="4" t="inlineStr">
        <is>
          <t>sdoh</t>
        </is>
      </c>
      <c r="E22" s="4" t="inlineStr">
        <is>
          <t>Healthcare Inspectorate Wales / Welsh Government (FOI release ATISN 27064)</t>
        </is>
      </c>
      <c r="F22" s="4" t="inlineStr">
        <is>
          <t>Wales</t>
        </is>
      </c>
      <c r="G22" s="4" t="inlineStr">
        <is>
          <t>address</t>
        </is>
      </c>
      <c r="H22" s="4" t="inlineStr">
        <is>
          <t>Needs a count/distance step</t>
        </is>
      </c>
      <c r="I22" s="4" t="n">
        <v>2</v>
      </c>
      <c r="J22" s="4" t="n">
        <v>2026</v>
      </c>
      <c r="K22" s="4" t="inlineStr">
        <is>
          <t>pdf;xlsx</t>
        </is>
      </c>
      <c r="L22" s="4" t="inlineStr"/>
      <c r="M22" s="4" t="inlineStr">
        <is>
          <t>low</t>
        </is>
      </c>
      <c r="N22" s="14" t="inlineStr">
        <is>
          <t>pass</t>
        </is>
      </c>
      <c r="O22" s="14" t="inlineStr">
        <is>
          <t>pass</t>
        </is>
      </c>
      <c r="P22" s="14" t="inlineStr">
        <is>
          <t>pass</t>
        </is>
      </c>
      <c r="Q22" s="14" t="inlineStr">
        <is>
          <t>pass</t>
        </is>
      </c>
      <c r="R22" s="14" t="inlineStr">
        <is>
          <t>pass</t>
        </is>
      </c>
      <c r="S22" s="15" t="inlineStr">
        <is>
          <t>n.a.</t>
        </is>
      </c>
      <c r="T22" s="15" t="inlineStr">
        <is>
          <t>n.a.</t>
        </is>
      </c>
      <c r="U22" s="16" t="inlineStr">
        <is>
          <t>warn</t>
        </is>
      </c>
      <c r="V22" s="16" t="inlineStr">
        <is>
          <t>warn</t>
        </is>
      </c>
      <c r="W22" s="18" t="inlineStr">
        <is>
          <t>fail</t>
        </is>
      </c>
      <c r="X22" s="4" t="inlineStr">
        <is>
          <t>archived;machine_metadata(warn);persistent_id(warn)</t>
        </is>
      </c>
      <c r="Y22" s="17" t="inlineStr">
        <is>
          <t>https://www.gov.wales/node/77371</t>
        </is>
      </c>
      <c r="Z22" s="4" t="inlineStr"/>
      <c r="AA22" s="4" t="inlineStr">
        <is>
          <t>gb_hiw_regulated_services_register</t>
        </is>
      </c>
      <c r="AB22" s="4" t="inlineStr">
        <is>
          <t>Only independent healthcare services regulated by HIW (not NHS Wales hospitals, which are in ODS). Published as FOI releases (PDF 132 KB plus XLS 329 KB) rather than a maintained open dataset; the page does not describe fields, so address content is unconfirmed. Partial list, address at best: needs geocoding.</t>
        </is>
      </c>
    </row>
    <row r="23">
      <c r="A23" s="4" t="inlineStr">
        <is>
          <t>Facility code table (Common code tables)</t>
        </is>
      </c>
      <c r="B23" s="21" t="inlineStr">
        <is>
          <t>Browser needed</t>
        </is>
      </c>
      <c r="C23" s="4" t="inlineStr">
        <is>
          <t>blocked</t>
        </is>
      </c>
      <c r="D23" s="4" t="inlineStr">
        <is>
          <t>sdoh</t>
        </is>
      </c>
      <c r="E23" s="4" t="inlineStr">
        <is>
          <t>Health New Zealand | Te Whatu Ora</t>
        </is>
      </c>
      <c r="F23" s="4" t="inlineStr">
        <is>
          <t>NZ</t>
        </is>
      </c>
      <c r="G23" s="4" t="inlineStr">
        <is>
          <t>address</t>
        </is>
      </c>
      <c r="H23" s="4" t="inlineStr">
        <is>
          <t>Needs a count/distance step</t>
        </is>
      </c>
      <c r="I23" s="4" t="n">
        <v>3</v>
      </c>
      <c r="J23" s="4" t="n">
        <v>2026</v>
      </c>
      <c r="K23" s="4" t="inlineStr">
        <is>
          <t>xlsx</t>
        </is>
      </c>
      <c r="L23" s="4" t="inlineStr"/>
      <c r="M23" s="4" t="inlineStr">
        <is>
          <t>medium</t>
        </is>
      </c>
      <c r="N23" s="16" t="inlineStr">
        <is>
          <t>warn</t>
        </is>
      </c>
      <c r="O23" s="15" t="inlineStr">
        <is>
          <t>not_checked</t>
        </is>
      </c>
      <c r="P23" s="15" t="inlineStr">
        <is>
          <t>not_checked</t>
        </is>
      </c>
      <c r="Q23" s="15" t="inlineStr">
        <is>
          <t>not_checked</t>
        </is>
      </c>
      <c r="R23" s="15" t="inlineStr">
        <is>
          <t>not_checked</t>
        </is>
      </c>
      <c r="S23" s="15" t="inlineStr">
        <is>
          <t>n.a.</t>
        </is>
      </c>
      <c r="T23" s="15" t="inlineStr">
        <is>
          <t>n.a.</t>
        </is>
      </c>
      <c r="U23" s="15" t="inlineStr">
        <is>
          <t>not_checked</t>
        </is>
      </c>
      <c r="V23" s="15" t="inlineStr">
        <is>
          <t>not_checked</t>
        </is>
      </c>
      <c r="W23" s="14" t="inlineStr">
        <is>
          <t>pass</t>
        </is>
      </c>
      <c r="X23" s="4" t="inlineStr">
        <is>
          <t>link_live(warn)</t>
        </is>
      </c>
      <c r="Y23" s="17" t="inlineStr">
        <is>
          <t>https://www.healthnz.govt.nz/about-us/data-management-and-standards/data-references/code-tables/common-code-tables</t>
        </is>
      </c>
      <c r="Z23" s="17" t="inlineStr">
        <is>
          <t>https://web.archive.org/web/20261025141614/https://www.healthnz.govt.nz/about-us/data-management-and-standards/data-references/code-tables/common-code-tables</t>
        </is>
      </c>
      <c r="AA23" s="4" t="inlineStr">
        <is>
          <t>nz_healthnz_facility_code_table</t>
        </is>
      </c>
      <c r="AB23" s="4" t="inlineStr">
        <is>
          <t>Master facility identifier table (HPI Facility Id for all facilities; legacy facility codes where national collections need them). Minimum registration data include facility name, street address and facility type. No coordinates stated: needs geocoding. The separate 'certified providers' list on health.govt.nz was not read.</t>
        </is>
      </c>
    </row>
    <row r="24">
      <c r="A24" s="4" t="inlineStr">
        <is>
          <t>Kenya Master Health Facility List (KMHFL)</t>
        </is>
      </c>
      <c r="B24" s="21" t="inlineStr">
        <is>
          <t>Browser needed</t>
        </is>
      </c>
      <c r="C24" s="4" t="inlineStr">
        <is>
          <t>blocked</t>
        </is>
      </c>
      <c r="D24" s="4" t="inlineStr">
        <is>
          <t>sdoh</t>
        </is>
      </c>
      <c r="E24" s="4" t="inlineStr">
        <is>
          <t>Kenya Ministry of Health</t>
        </is>
      </c>
      <c r="F24" s="4" t="inlineStr">
        <is>
          <t>KE</t>
        </is>
      </c>
      <c r="G24" s="4" t="inlineStr">
        <is>
          <t>point</t>
        </is>
      </c>
      <c r="H24" s="4" t="inlineStr">
        <is>
          <t>Needs a count/distance step</t>
        </is>
      </c>
      <c r="I24" s="4" t="n">
        <v>3</v>
      </c>
      <c r="J24" s="4" t="n">
        <v>2020</v>
      </c>
      <c r="K24" s="4" t="inlineStr">
        <is>
          <t>csv;api</t>
        </is>
      </c>
      <c r="L24" s="4" t="inlineStr">
        <is>
          <t>CC BY (open.africa snapshot)</t>
        </is>
      </c>
      <c r="M24" s="4" t="inlineStr">
        <is>
          <t>low</t>
        </is>
      </c>
      <c r="N24" s="16" t="inlineStr">
        <is>
          <t>warn</t>
        </is>
      </c>
      <c r="O24" s="15" t="inlineStr">
        <is>
          <t>n.a.</t>
        </is>
      </c>
      <c r="P24" s="15" t="inlineStr">
        <is>
          <t>n.a.</t>
        </is>
      </c>
      <c r="Q24" s="15" t="inlineStr">
        <is>
          <t>n.a.</t>
        </is>
      </c>
      <c r="R24" s="15" t="inlineStr">
        <is>
          <t>n.a.</t>
        </is>
      </c>
      <c r="S24" s="16" t="inlineStr">
        <is>
          <t>warn</t>
        </is>
      </c>
      <c r="T24" s="15" t="inlineStr">
        <is>
          <t>n.a.</t>
        </is>
      </c>
      <c r="U24" s="15" t="inlineStr">
        <is>
          <t>n.a.</t>
        </is>
      </c>
      <c r="V24" s="15" t="inlineStr">
        <is>
          <t>not_checked</t>
        </is>
      </c>
      <c r="W24" s="14" t="inlineStr">
        <is>
          <t>pass</t>
        </is>
      </c>
      <c r="X24" s="4" t="inlineStr">
        <is>
          <t>link_live(warn);access_url(warn)</t>
        </is>
      </c>
      <c r="Y24" s="17" t="inlineStr">
        <is>
          <t>https://kmhfl.health.go.ke/</t>
        </is>
      </c>
      <c r="Z24" s="17" t="inlineStr">
        <is>
          <t>https://web.archive.org/web/20260723111121/https://kmhfl.health.go.ke/</t>
        </is>
      </c>
      <c r="AA24" s="4" t="inlineStr">
        <is>
          <t>ke_moh_kmhfl</t>
        </is>
      </c>
      <c r="AB24" s="4" t="inlineStr">
        <is>
          <t>kmhfl.health.go.ke reset the connection twice and open.africa returned 403, so every field comes from search snippets (open.africa package: CSV resources credited to kmhfl.health.go.ke, CC BY; GitHub mfl_api: canonical production system; readthedocs: public search of facilities and community units). Coordinates not confirmed from a page; the Maina 2019 SSA database used KMHFL coordinates per snippets. The round-1 HDX Kenya row is a different (HDX) product. | browser pass 2026-10-29 (browser): opened=no (host unreachable); kmhfl.health.go.ke did not load; the HOT/OSM Kenya export is the open alternative; evidence https://kmhfl.health.go.ke/</t>
        </is>
      </c>
    </row>
    <row r="25">
      <c r="A25" s="4" t="inlineStr">
        <is>
          <t>ODS Data Search and Export (DSE) predefined reports: NHS organisations and sites</t>
        </is>
      </c>
      <c r="B25" s="21" t="inlineStr">
        <is>
          <t>Browser needed</t>
        </is>
      </c>
      <c r="C25" s="4" t="inlineStr">
        <is>
          <t>blocked</t>
        </is>
      </c>
      <c r="D25" s="4" t="inlineStr">
        <is>
          <t>sdoh</t>
        </is>
      </c>
      <c r="E25" s="4" t="inlineStr">
        <is>
          <t>NHS England, Organisation Data Service (ODS)</t>
        </is>
      </c>
      <c r="F25" s="4" t="inlineStr">
        <is>
          <t>England;Wales;Northern Ireland (Scotland via API/XML only)</t>
        </is>
      </c>
      <c r="G25" s="4" t="inlineStr">
        <is>
          <t>address</t>
        </is>
      </c>
      <c r="H25" s="4" t="inlineStr">
        <is>
          <t>Needs a count/distance step</t>
        </is>
      </c>
      <c r="I25" s="4" t="n">
        <v>3</v>
      </c>
      <c r="J25" s="4" t="inlineStr"/>
      <c r="K25" s="4" t="inlineStr">
        <is>
          <t>csv;api</t>
        </is>
      </c>
      <c r="L25" s="4" t="inlineStr"/>
      <c r="M25" s="4" t="inlineStr">
        <is>
          <t>low</t>
        </is>
      </c>
      <c r="N25" s="16" t="inlineStr">
        <is>
          <t>warn</t>
        </is>
      </c>
      <c r="O25" s="14" t="inlineStr">
        <is>
          <t>pass</t>
        </is>
      </c>
      <c r="P25" s="14" t="inlineStr">
        <is>
          <t>pass</t>
        </is>
      </c>
      <c r="Q25" s="15" t="inlineStr">
        <is>
          <t>not_checked</t>
        </is>
      </c>
      <c r="R25" s="15" t="inlineStr">
        <is>
          <t>not_checked</t>
        </is>
      </c>
      <c r="S25" s="15" t="inlineStr">
        <is>
          <t>n.a.</t>
        </is>
      </c>
      <c r="T25" s="15" t="inlineStr">
        <is>
          <t>n.a.</t>
        </is>
      </c>
      <c r="U25" s="15" t="inlineStr">
        <is>
          <t>not_checked</t>
        </is>
      </c>
      <c r="V25" s="15" t="inlineStr">
        <is>
          <t>not_checked</t>
        </is>
      </c>
      <c r="W25" s="14" t="inlineStr">
        <is>
          <t>pass</t>
        </is>
      </c>
      <c r="X25" s="4" t="inlineStr">
        <is>
          <t>link_live(warn)</t>
        </is>
      </c>
      <c r="Y25" s="17" t="inlineStr">
        <is>
          <t>https://digital.nhs.uk/services/organisation-data-service/data-search-and-export</t>
        </is>
      </c>
      <c r="Z25" s="17" t="inlineStr">
        <is>
          <t>https://web.archive.org/web/20260312095924/https://digital.nhs.uk/services/organisation-data-service/data-search-and-export</t>
        </is>
      </c>
      <c r="AA25" s="4" t="inlineStr">
        <is>
          <t>gb_nhs_ods_dse_organisations</t>
        </is>
      </c>
      <c r="AB25" s="4" t="inlineStr">
        <is>
          <t>digital.nhs.uk returned HTTP 403 to the fetcher, so this row is read from a mirror of the ODS pages (openprescribing proxy) and a stale 2017 data.gov.uk record (OGL v3 there). The mirror confirms DSE has replaced the legacy CSV downloads, that reports (trusts, sites, pharmacies, etc.) are downloadable as CSV and via the DSE API, and lists NI CSV files (niorg, npraccur) and an Isle of Man file. Organisation types beyond GP practices (round-1 gb_nhs_ods_gp_practices) are the gap this fills. Address+postcode only: needs geocoding (postcode centroid is usually enough in GB).</t>
        </is>
      </c>
    </row>
  </sheetData>
  <autoFilter ref="A1:AB25"/>
  <hyperlinks>
    <hyperlink xmlns:r="http://schemas.openxmlformats.org/officeDocument/2006/relationships" ref="Y2" r:id="rId1"/>
    <hyperlink xmlns:r="http://schemas.openxmlformats.org/officeDocument/2006/relationships" ref="Z2" r:id="rId2"/>
    <hyperlink xmlns:r="http://schemas.openxmlformats.org/officeDocument/2006/relationships" ref="Y3" r:id="rId3"/>
    <hyperlink xmlns:r="http://schemas.openxmlformats.org/officeDocument/2006/relationships" ref="Z3" r:id="rId4"/>
    <hyperlink xmlns:r="http://schemas.openxmlformats.org/officeDocument/2006/relationships" ref="Y4" r:id="rId5"/>
    <hyperlink xmlns:r="http://schemas.openxmlformats.org/officeDocument/2006/relationships" ref="Z4" r:id="rId6"/>
    <hyperlink xmlns:r="http://schemas.openxmlformats.org/officeDocument/2006/relationships" ref="Y5" r:id="rId7"/>
    <hyperlink xmlns:r="http://schemas.openxmlformats.org/officeDocument/2006/relationships" ref="Z5" r:id="rId8"/>
    <hyperlink xmlns:r="http://schemas.openxmlformats.org/officeDocument/2006/relationships" ref="Y6" r:id="rId9"/>
    <hyperlink xmlns:r="http://schemas.openxmlformats.org/officeDocument/2006/relationships" ref="Z6" r:id="rId10"/>
    <hyperlink xmlns:r="http://schemas.openxmlformats.org/officeDocument/2006/relationships" ref="Y7" r:id="rId11"/>
    <hyperlink xmlns:r="http://schemas.openxmlformats.org/officeDocument/2006/relationships" ref="Z7" r:id="rId12"/>
    <hyperlink xmlns:r="http://schemas.openxmlformats.org/officeDocument/2006/relationships" ref="Y8" r:id="rId13"/>
    <hyperlink xmlns:r="http://schemas.openxmlformats.org/officeDocument/2006/relationships" ref="Z8" r:id="rId14"/>
    <hyperlink xmlns:r="http://schemas.openxmlformats.org/officeDocument/2006/relationships" ref="Y9" r:id="rId15"/>
    <hyperlink xmlns:r="http://schemas.openxmlformats.org/officeDocument/2006/relationships" ref="Z9" r:id="rId16"/>
    <hyperlink xmlns:r="http://schemas.openxmlformats.org/officeDocument/2006/relationships" ref="Y10" r:id="rId17"/>
    <hyperlink xmlns:r="http://schemas.openxmlformats.org/officeDocument/2006/relationships" ref="Y11" r:id="rId18"/>
    <hyperlink xmlns:r="http://schemas.openxmlformats.org/officeDocument/2006/relationships" ref="Y12" r:id="rId19"/>
    <hyperlink xmlns:r="http://schemas.openxmlformats.org/officeDocument/2006/relationships" ref="Y13" r:id="rId20"/>
    <hyperlink xmlns:r="http://schemas.openxmlformats.org/officeDocument/2006/relationships" ref="Z13" r:id="rId21"/>
    <hyperlink xmlns:r="http://schemas.openxmlformats.org/officeDocument/2006/relationships" ref="Y14" r:id="rId22"/>
    <hyperlink xmlns:r="http://schemas.openxmlformats.org/officeDocument/2006/relationships" ref="Y15" r:id="rId23"/>
    <hyperlink xmlns:r="http://schemas.openxmlformats.org/officeDocument/2006/relationships" ref="Y16" r:id="rId24"/>
    <hyperlink xmlns:r="http://schemas.openxmlformats.org/officeDocument/2006/relationships" ref="Z16" r:id="rId25"/>
    <hyperlink xmlns:r="http://schemas.openxmlformats.org/officeDocument/2006/relationships" ref="Y17" r:id="rId26"/>
    <hyperlink xmlns:r="http://schemas.openxmlformats.org/officeDocument/2006/relationships" ref="Z17" r:id="rId27"/>
    <hyperlink xmlns:r="http://schemas.openxmlformats.org/officeDocument/2006/relationships" ref="Y18" r:id="rId28"/>
    <hyperlink xmlns:r="http://schemas.openxmlformats.org/officeDocument/2006/relationships" ref="Z18" r:id="rId29"/>
    <hyperlink xmlns:r="http://schemas.openxmlformats.org/officeDocument/2006/relationships" ref="Y19" r:id="rId30"/>
    <hyperlink xmlns:r="http://schemas.openxmlformats.org/officeDocument/2006/relationships" ref="Z19" r:id="rId31"/>
    <hyperlink xmlns:r="http://schemas.openxmlformats.org/officeDocument/2006/relationships" ref="Y20" r:id="rId32"/>
    <hyperlink xmlns:r="http://schemas.openxmlformats.org/officeDocument/2006/relationships" ref="Z20" r:id="rId33"/>
    <hyperlink xmlns:r="http://schemas.openxmlformats.org/officeDocument/2006/relationships" ref="Y21" r:id="rId34"/>
    <hyperlink xmlns:r="http://schemas.openxmlformats.org/officeDocument/2006/relationships" ref="Z21" r:id="rId35"/>
    <hyperlink xmlns:r="http://schemas.openxmlformats.org/officeDocument/2006/relationships" ref="Y22" r:id="rId36"/>
    <hyperlink xmlns:r="http://schemas.openxmlformats.org/officeDocument/2006/relationships" ref="Y23" r:id="rId37"/>
    <hyperlink xmlns:r="http://schemas.openxmlformats.org/officeDocument/2006/relationships" ref="Z23" r:id="rId38"/>
    <hyperlink xmlns:r="http://schemas.openxmlformats.org/officeDocument/2006/relationships" ref="Y24" r:id="rId39"/>
    <hyperlink xmlns:r="http://schemas.openxmlformats.org/officeDocument/2006/relationships" ref="Z24" r:id="rId40"/>
    <hyperlink xmlns:r="http://schemas.openxmlformats.org/officeDocument/2006/relationships" ref="Y25" r:id="rId41"/>
    <hyperlink xmlns:r="http://schemas.openxmlformats.org/officeDocument/2006/relationships" ref="Z25"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2026-10-29T05:45:23Z</dcterms:created>
  <dcterms:modified xmlns:dcterms="http://purl.org/dc/terms/" xmlns:xsi="http://www.w3.org/2001/XMLSchema-instance" xsi:type="dcterms:W3CDTF">2026-10-29T05:45:28Z</dcterms:modified>
</cp:coreProperties>
</file>